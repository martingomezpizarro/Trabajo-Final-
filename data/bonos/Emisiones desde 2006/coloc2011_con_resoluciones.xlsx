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-15" yWindow="-15" windowWidth="12120" windowHeight="3915" tabRatio="520"/>
  </bookViews>
  <sheets>
    <sheet name="Emisiones 2011" sheetId="1" r:id="rId1"/>
  </sheets>
  <definedNames>
    <definedName name="_xlnm._FilterDatabase" localSheetId="0" hidden="1">'Emisiones 2011'!$A$86:$K$86</definedName>
    <definedName name="_xlnm.Print_Area" localSheetId="0">'Emisiones 2011'!$A$43:$N$60</definedName>
  </definedNames>
  <calcPr calcId="144525"/>
</workbook>
</file>

<file path=xl/calcChain.xml><?xml version="1.0" encoding="utf-8"?>
<calcChain xmlns="http://schemas.openxmlformats.org/spreadsheetml/2006/main">
  <c r="L63" i="1"/>
  <c r="L62"/>
  <c r="I43"/>
  <c r="H43"/>
</calcChain>
</file>

<file path=xl/sharedStrings.xml><?xml version="1.0" encoding="utf-8"?>
<sst xmlns="http://schemas.openxmlformats.org/spreadsheetml/2006/main" count="286" uniqueCount="112">
  <si>
    <t>Moneda</t>
  </si>
  <si>
    <t>Amortización</t>
  </si>
  <si>
    <t>Fecha de emisión</t>
  </si>
  <si>
    <t>Valor nominal</t>
  </si>
  <si>
    <t>Valor efectivo</t>
  </si>
  <si>
    <t>Total</t>
  </si>
  <si>
    <t>Integra al vencimiento</t>
  </si>
  <si>
    <t>Monto emitido</t>
  </si>
  <si>
    <t>Fecha de Vencimiento</t>
  </si>
  <si>
    <t>Acreedor</t>
  </si>
  <si>
    <t>Intereses</t>
  </si>
  <si>
    <t>Instrumento</t>
  </si>
  <si>
    <t>Vencimiento</t>
  </si>
  <si>
    <t>Cupón</t>
  </si>
  <si>
    <t>Precio de emisión</t>
  </si>
  <si>
    <t>Vida promedio</t>
  </si>
  <si>
    <t>Plazo (en días)</t>
  </si>
  <si>
    <t>Valor nominal en Pesos</t>
  </si>
  <si>
    <t>Moneda de Origen</t>
  </si>
  <si>
    <t xml:space="preserve"> - Instituto Nacional de Reaseguros – en liquidación (INDER - EL)</t>
  </si>
  <si>
    <t xml:space="preserve"> - Fondo Fiduciario Federal de Infraestructura Regional (FFFIR)</t>
  </si>
  <si>
    <t xml:space="preserve"> - Superintendencia de Riesgos de Trabajo (SRT)</t>
  </si>
  <si>
    <t xml:space="preserve"> - Fondo Fiduciario de Refinanciación Hipotecaria (FFRH)</t>
  </si>
  <si>
    <t xml:space="preserve"> - LOTERIA NACIONAL S.E.</t>
  </si>
  <si>
    <t xml:space="preserve"> - Fondo Fiduciario de Recuperación de Empresas (FFRE)</t>
  </si>
  <si>
    <t xml:space="preserve"> - Administración Nacional de la Seguridad Social (ANSES)</t>
  </si>
  <si>
    <t xml:space="preserve"> - Administración Federal de Ingresos Públicos (AFIP)</t>
  </si>
  <si>
    <t xml:space="preserve"> - Banco de Inversión y Comercio Exterior (BICE)</t>
  </si>
  <si>
    <t>- Agua y Saneamientos Argentinos (AySA)</t>
  </si>
  <si>
    <t>- Programa de Asistencia Medica Integral (PAMI)</t>
  </si>
  <si>
    <t>- Fondo Fiduciario de Infraestructura de Transporte (FFIT)</t>
  </si>
  <si>
    <t>- Administracion General de Puertos (AGP SE)</t>
  </si>
  <si>
    <t>- Instituto de Ayuda Financiara (IAF)</t>
  </si>
  <si>
    <t>Valor nominal en Dolares</t>
  </si>
  <si>
    <t>Stock al</t>
  </si>
  <si>
    <t>En Pesos</t>
  </si>
  <si>
    <t>En Dólares</t>
  </si>
  <si>
    <t>Fecha de colocación</t>
  </si>
  <si>
    <t>- Fondo de Garantia de Sustentabilidad (FGS)</t>
  </si>
  <si>
    <t>USD</t>
  </si>
  <si>
    <t>Fecha colocación</t>
  </si>
  <si>
    <t xml:space="preserve"> -  Emisiones en moneda local (millones de pesos)</t>
  </si>
  <si>
    <t>Financiamiento BNA</t>
  </si>
  <si>
    <t>BADLAR mas 100pb.</t>
  </si>
  <si>
    <t>FFRE</t>
  </si>
  <si>
    <t xml:space="preserve"> -  Emisiones directas al B.C.R.A. (millones, moneda de origen)</t>
  </si>
  <si>
    <t>Letra Intransferible</t>
  </si>
  <si>
    <t>SRT</t>
  </si>
  <si>
    <t>Monto Emitido</t>
  </si>
  <si>
    <t>Pesos</t>
  </si>
  <si>
    <t xml:space="preserve"> -  Emisión de Letras Intra Sector Público (en millones)</t>
  </si>
  <si>
    <t>Stock y vencimientos de Letras Intra Sector Público vigentes (en millones)</t>
  </si>
  <si>
    <t xml:space="preserve"> -  Emisiones en moneda extranjera (millones, moneda de origen)</t>
  </si>
  <si>
    <t>Discount  Ley Argentina</t>
  </si>
  <si>
    <t>8,28% con capitalización parcial.</t>
  </si>
  <si>
    <t>20 cuotas semestrales, iguales y consecutivas comenzando el 30/06/2024.</t>
  </si>
  <si>
    <t>TNA de corte de licitación de LEBAC a tasa fija a un plazo similar a un  semestre. Fecha previa mas cercana.Tasa primer período 11,6099%.</t>
  </si>
  <si>
    <t>TNA de corte de licitación de LEBAC a tasa fija a un plazo similar a un  semestre. Fecha previa mas cercana.Tasa primer período 11,33%.</t>
  </si>
  <si>
    <t>TNA de corte de licitación de LEBAC a tasa fija a un plazo similar a un  semestre. Fecha previa mas cercana. Tasa primer período 11,6099%.</t>
  </si>
  <si>
    <t>24 cuotas mensuales, iguales y consecutivas a partir del 6/01/12</t>
  </si>
  <si>
    <t xml:space="preserve"> LOTERIA NACIONAL</t>
  </si>
  <si>
    <t>FFRH</t>
  </si>
  <si>
    <t>LEBAC a tasa fija a 180 días o plazo similar.  Base de cálculo: actual/365</t>
  </si>
  <si>
    <t>PAMI</t>
  </si>
  <si>
    <t>Bonar 2016</t>
  </si>
  <si>
    <t>BADLAR mas 325pb.</t>
  </si>
  <si>
    <t>LEBAC a tasa fija a un año o plazo similar.  Base de cálculo: actual/365. Primer cupón 14,2798%</t>
  </si>
  <si>
    <t>IAF</t>
  </si>
  <si>
    <t>AGP</t>
  </si>
  <si>
    <t>INDER</t>
  </si>
  <si>
    <t>Resolución</t>
  </si>
  <si>
    <t>Resolución Conj. SH 242 y SF 68.pdf</t>
  </si>
  <si>
    <t>Resolución Conj. SH 83 y SF 21-2011.pdf</t>
  </si>
  <si>
    <t>Resolución Conj. SH 175 y SF 45.pdf</t>
  </si>
  <si>
    <t>Resolución Conj. SH 441 y SF 139.pdf</t>
  </si>
  <si>
    <t>Resolución Conj. SH 193 y SF 53.pdf</t>
  </si>
  <si>
    <t>Resolución Conj. SH 18 y SF 4.pdf</t>
  </si>
  <si>
    <t>Resolución Conj. SH 384 y SF 115.pdf</t>
  </si>
  <si>
    <t>Resolución Conj. SH 436 y SF 136.pdf</t>
  </si>
  <si>
    <t>Resolución Conj. SH 58 y SF 15.pdf</t>
  </si>
  <si>
    <t>Resolución Conj. SH 261 y SF 70.pdf</t>
  </si>
  <si>
    <t>Resolución Conj. SH 272 y SF 73.pdf</t>
  </si>
  <si>
    <t>Resolución ME 1.pdf</t>
  </si>
  <si>
    <t>Resolución ME 64.pdf</t>
  </si>
  <si>
    <t>Resolución Conj. SH 439 y SF 137.pdf</t>
  </si>
  <si>
    <t>Resolución Conj. SH 280 y SF 76.pdf</t>
  </si>
  <si>
    <t>Resolución Conj. SH 267 y SF 71.pdf</t>
  </si>
  <si>
    <t>Resolución Conj. SH 61 y SF 18.pdf</t>
  </si>
  <si>
    <t>Resolución Conj. SH 301 y SF 84.pdf</t>
  </si>
  <si>
    <t>Resolución Conj. SH 7 y SF 1.pdf</t>
  </si>
  <si>
    <t>Resolución Conj. SH 378 y SF 113.pdf</t>
  </si>
  <si>
    <t>Resolución Conj. SH 278 y SF 74.pdf</t>
  </si>
  <si>
    <t>Resolución Conj. SH 430 y SF 135.pdf</t>
  </si>
  <si>
    <t>Resolución Conj. SH 198 y SF 57.pdf</t>
  </si>
  <si>
    <t>Emisiones de deuda pública durante 2011 (datos al 31 de Diciembre de 2011)</t>
  </si>
  <si>
    <t>Bonar 18</t>
  </si>
  <si>
    <t>Tasa nominal anual: 9%</t>
  </si>
  <si>
    <t>Resolución Conj. SH 424 y SF 132</t>
  </si>
  <si>
    <r>
      <t>Tasa de interés igual a la de las reservas internacionales del BCRA para el mismo período hasta un máximo de LIBOR anual menos un punto porcentual.</t>
    </r>
    <r>
      <rPr>
        <sz val="10"/>
        <color indexed="8"/>
        <rFont val="Arial"/>
        <family val="2"/>
      </rPr>
      <t xml:space="preserve"> Pagaderos semestralmente.</t>
    </r>
  </si>
  <si>
    <r>
      <t xml:space="preserve">Tasa de interés igual a la de las reservas internacionales del BCRA para el mismo período hasta un máximo de LIBOR anual menos un punto porcentual. </t>
    </r>
    <r>
      <rPr>
        <sz val="10"/>
        <color indexed="8"/>
        <rFont val="Arial"/>
        <family val="2"/>
      </rPr>
      <t>Pagaderos semestralmente.</t>
    </r>
  </si>
  <si>
    <t>24 cuotas mensuales, iguales y consecutivas a partir del 07/06/12</t>
  </si>
  <si>
    <r>
      <t xml:space="preserve">Tasa anual: 1,3% - Base de cálculo: actual/365. </t>
    </r>
    <r>
      <rPr>
        <sz val="10"/>
        <color indexed="8"/>
        <rFont val="Arial"/>
        <family val="2"/>
      </rPr>
      <t>Pagaderos al vencimiento.</t>
    </r>
  </si>
  <si>
    <r>
      <t xml:space="preserve">Tasa anual: 1,3% - Base de cálculo: actual/365 </t>
    </r>
    <r>
      <rPr>
        <sz val="10"/>
        <color indexed="8"/>
        <rFont val="Arial"/>
        <family val="2"/>
      </rPr>
      <t>Pagaderos al vencimiento.</t>
    </r>
  </si>
  <si>
    <r>
      <t>LEBAC a tasa fija a 180 días o plazo similar.  Base de cálculo: actu</t>
    </r>
    <r>
      <rPr>
        <sz val="10"/>
        <color indexed="8"/>
        <rFont val="Arial"/>
        <family val="2"/>
      </rPr>
      <t>al/365. Pagaderos al vencimiento.</t>
    </r>
  </si>
  <si>
    <r>
      <t>LEBAC a tas</t>
    </r>
    <r>
      <rPr>
        <sz val="10"/>
        <color indexed="8"/>
        <rFont val="Arial"/>
        <family val="2"/>
      </rPr>
      <t>a fija a 180 días o plazo similar.  Base de cálculo: actual/365. Pagaderos al vencimiento.</t>
    </r>
  </si>
  <si>
    <r>
      <t>LEBAC a tasa fija a 180 días o plazo similar.  Base de cálculo: a</t>
    </r>
    <r>
      <rPr>
        <sz val="10"/>
        <color indexed="8"/>
        <rFont val="Arial"/>
        <family val="2"/>
      </rPr>
      <t>ctual/366. Tasa primer período 11,4727%.  Pagaderos al vencimiento.</t>
    </r>
  </si>
  <si>
    <t>LEBAC a tasa fija a un año o plazo similar.  Base de cálculo: actual/365. Pagaderos al vencimiento.</t>
  </si>
  <si>
    <t>Resolución Conj. SH 295 y SF 79.pdf</t>
  </si>
  <si>
    <t>LEBAC a tasa fija a un semestre o plazo similar. Base de cálculo: actual/365. Pagaderos al vencimiento.</t>
  </si>
  <si>
    <t>LEBAC a tasa fija similar a 182 días.  Base de cálculo: actual/365. Primer cupón 14,0220%. Pagaderos al vencimiento.</t>
  </si>
  <si>
    <t>LEBAC a tasa fija a un semestre o plazo similar.  Base de cálculo: actual/365. Pagaderos al vencimiento.</t>
  </si>
  <si>
    <r>
      <t xml:space="preserve">LEBAC a tasa fija similar a 112 días.  Base de cálculo: actual/365. Primer cupón 13,9764%. </t>
    </r>
    <r>
      <rPr>
        <sz val="10"/>
        <color indexed="8"/>
        <rFont val="Arial"/>
        <family val="2"/>
      </rPr>
      <t>Pagaderos al vencimiento.</t>
    </r>
  </si>
</sst>
</file>

<file path=xl/styles.xml><?xml version="1.0" encoding="utf-8"?>
<styleSheet xmlns="http://schemas.openxmlformats.org/spreadsheetml/2006/main">
  <numFmts count="9">
    <numFmt numFmtId="164" formatCode="_-* #,##0.00\ _P_t_a_-;\-* #,##0.00\ _P_t_a_-;_-* &quot;-&quot;??\ _P_t_a_-;_-@_-"/>
    <numFmt numFmtId="165" formatCode="0.0"/>
    <numFmt numFmtId="166" formatCode="General_)"/>
    <numFmt numFmtId="167" formatCode="#,"/>
    <numFmt numFmtId="168" formatCode="0.0%"/>
    <numFmt numFmtId="169" formatCode="_-* #,##0.00\ [$€]_-;\-* #,##0.00\ [$€]_-;_-* &quot;-&quot;??\ [$€]_-;_-@_-"/>
    <numFmt numFmtId="170" formatCode="#,##0.0000000"/>
    <numFmt numFmtId="171" formatCode="dd/mm/yy"/>
    <numFmt numFmtId="172" formatCode="#,##0.0"/>
  </numFmts>
  <fonts count="31">
    <font>
      <sz val="10"/>
      <name val="Arial"/>
    </font>
    <font>
      <sz val="10"/>
      <name val="Arial"/>
    </font>
    <font>
      <sz val="10"/>
      <name val="Arial"/>
      <family val="2"/>
    </font>
    <font>
      <b/>
      <u/>
      <sz val="14"/>
      <color indexed="32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6"/>
      <color indexed="32"/>
      <name val="Arial"/>
      <family val="2"/>
    </font>
    <font>
      <sz val="16"/>
      <name val="Arial"/>
      <family val="2"/>
    </font>
    <font>
      <sz val="16"/>
      <color indexed="9"/>
      <name val="Arial"/>
      <family val="2"/>
    </font>
    <font>
      <b/>
      <u/>
      <sz val="18"/>
      <color indexed="32"/>
      <name val="Arial"/>
      <family val="2"/>
    </font>
    <font>
      <sz val="18"/>
      <name val="Arial"/>
      <family val="2"/>
    </font>
    <font>
      <sz val="8"/>
      <name val="Arial"/>
      <family val="2"/>
    </font>
    <font>
      <sz val="10"/>
      <name val="MS Sans Serif"/>
    </font>
    <font>
      <sz val="12"/>
      <name val="Courier"/>
    </font>
    <font>
      <b/>
      <sz val="1"/>
      <color indexed="8"/>
      <name val="Courier"/>
    </font>
    <font>
      <b/>
      <sz val="10"/>
      <color indexed="10"/>
      <name val="Arial"/>
      <family val="2"/>
    </font>
    <font>
      <sz val="8"/>
      <name val="Arial"/>
    </font>
    <font>
      <b/>
      <sz val="16"/>
      <color indexed="10"/>
      <name val="Arial"/>
      <family val="2"/>
    </font>
    <font>
      <vertAlign val="superscript"/>
      <sz val="8"/>
      <name val="Arial"/>
      <family val="2"/>
    </font>
    <font>
      <u/>
      <sz val="10"/>
      <name val="Arial"/>
      <family val="2"/>
    </font>
    <font>
      <sz val="18"/>
      <color indexed="10"/>
      <name val="Arial"/>
      <family val="2"/>
    </font>
    <font>
      <sz val="16"/>
      <color indexed="63"/>
      <name val="Arial"/>
      <family val="2"/>
    </font>
    <font>
      <sz val="10"/>
      <color indexed="63"/>
      <name val="Arial"/>
      <family val="2"/>
    </font>
    <font>
      <b/>
      <u/>
      <sz val="18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u/>
      <sz val="11"/>
      <color indexed="32"/>
      <name val="Arial"/>
      <family val="2"/>
    </font>
    <font>
      <b/>
      <sz val="11"/>
      <color indexed="1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0">
    <xf numFmtId="0" fontId="0" fillId="0" borderId="0"/>
    <xf numFmtId="169" fontId="1" fillId="0" borderId="0" applyFont="0" applyFill="0" applyBorder="0" applyAlignment="0" applyProtection="0"/>
    <xf numFmtId="0" fontId="12" fillId="0" borderId="0"/>
    <xf numFmtId="15" fontId="1" fillId="0" borderId="0"/>
    <xf numFmtId="164" fontId="1" fillId="0" borderId="0" applyFont="0" applyFill="0" applyBorder="0" applyAlignment="0" applyProtection="0"/>
    <xf numFmtId="166" fontId="13" fillId="0" borderId="0"/>
    <xf numFmtId="167" fontId="14" fillId="0" borderId="0">
      <protection locked="0"/>
    </xf>
    <xf numFmtId="9" fontId="1" fillId="0" borderId="0" applyFont="0" applyFill="0" applyBorder="0" applyAlignment="0" applyProtection="0"/>
    <xf numFmtId="0" fontId="12" fillId="0" borderId="0"/>
    <xf numFmtId="0" fontId="28" fillId="0" borderId="0" applyNumberFormat="0" applyFill="0" applyBorder="0" applyAlignment="0" applyProtection="0"/>
  </cellStyleXfs>
  <cellXfs count="21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65" fontId="2" fillId="3" borderId="0" xfId="0" applyNumberFormat="1" applyFont="1" applyFill="1"/>
    <xf numFmtId="0" fontId="3" fillId="3" borderId="0" xfId="0" applyFont="1" applyFill="1"/>
    <xf numFmtId="0" fontId="0" fillId="3" borderId="0" xfId="0" applyFill="1"/>
    <xf numFmtId="0" fontId="6" fillId="3" borderId="0" xfId="0" applyFont="1" applyFill="1"/>
    <xf numFmtId="0" fontId="8" fillId="3" borderId="0" xfId="0" applyFont="1" applyFill="1"/>
    <xf numFmtId="165" fontId="8" fillId="3" borderId="0" xfId="0" applyNumberFormat="1" applyFont="1" applyFill="1"/>
    <xf numFmtId="0" fontId="7" fillId="3" borderId="0" xfId="0" applyFont="1" applyFill="1"/>
    <xf numFmtId="165" fontId="5" fillId="3" borderId="0" xfId="0" applyNumberFormat="1" applyFont="1" applyFill="1"/>
    <xf numFmtId="0" fontId="11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14" fontId="2" fillId="3" borderId="0" xfId="0" applyNumberFormat="1" applyFont="1" applyFill="1"/>
    <xf numFmtId="0" fontId="5" fillId="2" borderId="1" xfId="0" quotePrefix="1" applyFont="1" applyFill="1" applyBorder="1" applyAlignment="1">
      <alignment horizontal="center" vertical="center" wrapText="1"/>
    </xf>
    <xf numFmtId="3" fontId="2" fillId="3" borderId="0" xfId="0" applyNumberFormat="1" applyFont="1" applyFill="1"/>
    <xf numFmtId="0" fontId="6" fillId="3" borderId="0" xfId="0" quotePrefix="1" applyFont="1" applyFill="1" applyAlignment="1">
      <alignment horizontal="left"/>
    </xf>
    <xf numFmtId="164" fontId="2" fillId="3" borderId="0" xfId="4" applyFont="1" applyFill="1"/>
    <xf numFmtId="0" fontId="2" fillId="3" borderId="0" xfId="0" applyFont="1" applyFill="1" applyAlignment="1">
      <alignment horizontal="right" indent="4"/>
    </xf>
    <xf numFmtId="3" fontId="2" fillId="3" borderId="0" xfId="0" applyNumberFormat="1" applyFont="1" applyFill="1" applyBorder="1" applyAlignment="1">
      <alignment horizontal="center" vertical="center" wrapText="1"/>
    </xf>
    <xf numFmtId="3" fontId="15" fillId="3" borderId="0" xfId="0" applyNumberFormat="1" applyFont="1" applyFill="1" applyBorder="1" applyAlignment="1">
      <alignment horizontal="right" indent="5"/>
    </xf>
    <xf numFmtId="3" fontId="15" fillId="3" borderId="0" xfId="4" applyNumberFormat="1" applyFont="1" applyFill="1" applyBorder="1" applyAlignment="1">
      <alignment horizontal="right" vertical="center" wrapText="1" indent="4"/>
    </xf>
    <xf numFmtId="3" fontId="15" fillId="3" borderId="0" xfId="4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19" fillId="3" borderId="0" xfId="0" applyNumberFormat="1" applyFont="1" applyFill="1"/>
    <xf numFmtId="0" fontId="19" fillId="3" borderId="0" xfId="0" applyFont="1" applyFill="1"/>
    <xf numFmtId="14" fontId="2" fillId="0" borderId="1" xfId="5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3" fontId="2" fillId="0" borderId="1" xfId="4" applyNumberFormat="1" applyFont="1" applyFill="1" applyBorder="1" applyAlignment="1">
      <alignment horizontal="center" vertical="center" wrapText="1"/>
    </xf>
    <xf numFmtId="3" fontId="2" fillId="0" borderId="3" xfId="4" applyNumberFormat="1" applyFont="1" applyFill="1" applyBorder="1" applyAlignment="1">
      <alignment horizontal="center" vertical="center" wrapText="1"/>
    </xf>
    <xf numFmtId="14" fontId="2" fillId="0" borderId="4" xfId="5" applyNumberFormat="1" applyFont="1" applyFill="1" applyBorder="1" applyAlignment="1">
      <alignment horizontal="center" vertical="center" wrapText="1"/>
    </xf>
    <xf numFmtId="10" fontId="2" fillId="3" borderId="0" xfId="7" quotePrefix="1" applyNumberFormat="1" applyFont="1" applyFill="1" applyBorder="1" applyAlignment="1">
      <alignment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2" fillId="0" borderId="6" xfId="5" applyNumberFormat="1" applyFont="1" applyFill="1" applyBorder="1" applyAlignment="1">
      <alignment horizontal="center" vertical="center" wrapText="1"/>
    </xf>
    <xf numFmtId="1" fontId="2" fillId="0" borderId="6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20" fillId="0" borderId="0" xfId="0" applyFont="1" applyFill="1"/>
    <xf numFmtId="0" fontId="17" fillId="0" borderId="0" xfId="0" applyFont="1" applyFill="1"/>
    <xf numFmtId="3" fontId="2" fillId="0" borderId="0" xfId="0" applyNumberFormat="1" applyFont="1" applyFill="1" applyAlignment="1">
      <alignment horizontal="right" indent="4"/>
    </xf>
    <xf numFmtId="0" fontId="15" fillId="3" borderId="0" xfId="0" applyFont="1" applyFill="1"/>
    <xf numFmtId="3" fontId="2" fillId="0" borderId="0" xfId="0" applyNumberFormat="1" applyFont="1" applyFill="1"/>
    <xf numFmtId="0" fontId="9" fillId="0" borderId="0" xfId="0" applyFont="1" applyFill="1"/>
    <xf numFmtId="0" fontId="10" fillId="0" borderId="0" xfId="0" applyFont="1" applyFill="1"/>
    <xf numFmtId="3" fontId="2" fillId="0" borderId="6" xfId="0" quotePrefix="1" applyNumberFormat="1" applyFont="1" applyFill="1" applyBorder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3" fontId="2" fillId="3" borderId="9" xfId="0" applyNumberFormat="1" applyFont="1" applyFill="1" applyBorder="1" applyAlignment="1">
      <alignment horizontal="center" vertical="center"/>
    </xf>
    <xf numFmtId="3" fontId="2" fillId="3" borderId="10" xfId="0" applyNumberFormat="1" applyFont="1" applyFill="1" applyBorder="1" applyAlignment="1">
      <alignment horizontal="center" vertical="center"/>
    </xf>
    <xf numFmtId="3" fontId="2" fillId="3" borderId="11" xfId="0" applyNumberFormat="1" applyFont="1" applyFill="1" applyBorder="1" applyAlignment="1">
      <alignment horizontal="center" vertical="center"/>
    </xf>
    <xf numFmtId="3" fontId="2" fillId="3" borderId="12" xfId="0" applyNumberFormat="1" applyFont="1" applyFill="1" applyBorder="1" applyAlignment="1">
      <alignment horizontal="center" vertical="center"/>
    </xf>
    <xf numFmtId="3" fontId="2" fillId="3" borderId="13" xfId="0" applyNumberFormat="1" applyFont="1" applyFill="1" applyBorder="1" applyAlignment="1">
      <alignment horizontal="center" vertical="center"/>
    </xf>
    <xf numFmtId="3" fontId="2" fillId="3" borderId="14" xfId="0" applyNumberFormat="1" applyFont="1" applyFill="1" applyBorder="1" applyAlignment="1">
      <alignment horizontal="center" vertical="center"/>
    </xf>
    <xf numFmtId="3" fontId="2" fillId="3" borderId="15" xfId="0" applyNumberFormat="1" applyFont="1" applyFill="1" applyBorder="1" applyAlignment="1">
      <alignment horizontal="center" vertical="center"/>
    </xf>
    <xf numFmtId="3" fontId="2" fillId="0" borderId="12" xfId="0" applyNumberFormat="1" applyFont="1" applyFill="1" applyBorder="1" applyAlignment="1">
      <alignment horizontal="center" vertical="center"/>
    </xf>
    <xf numFmtId="3" fontId="2" fillId="0" borderId="13" xfId="0" applyNumberFormat="1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3" fontId="2" fillId="0" borderId="15" xfId="0" applyNumberFormat="1" applyFont="1" applyFill="1" applyBorder="1" applyAlignment="1">
      <alignment horizontal="center" vertical="center"/>
    </xf>
    <xf numFmtId="0" fontId="23" fillId="0" borderId="0" xfId="0" applyFont="1" applyFill="1"/>
    <xf numFmtId="0" fontId="9" fillId="0" borderId="0" xfId="0" quotePrefix="1" applyFont="1" applyFill="1" applyAlignment="1">
      <alignment horizontal="left"/>
    </xf>
    <xf numFmtId="0" fontId="21" fillId="0" borderId="0" xfId="0" applyFont="1" applyFill="1"/>
    <xf numFmtId="0" fontId="22" fillId="0" borderId="0" xfId="0" applyFont="1" applyFill="1"/>
    <xf numFmtId="0" fontId="0" fillId="0" borderId="0" xfId="0" applyFill="1"/>
    <xf numFmtId="3" fontId="2" fillId="3" borderId="0" xfId="0" applyNumberFormat="1" applyFont="1" applyFill="1" applyAlignment="1">
      <alignment horizontal="right" indent="4"/>
    </xf>
    <xf numFmtId="170" fontId="7" fillId="3" borderId="0" xfId="0" applyNumberFormat="1" applyFont="1" applyFill="1"/>
    <xf numFmtId="14" fontId="2" fillId="3" borderId="4" xfId="5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3" borderId="6" xfId="5" applyNumberFormat="1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center" wrapText="1"/>
    </xf>
    <xf numFmtId="171" fontId="0" fillId="3" borderId="18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2" fillId="3" borderId="1" xfId="4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71" fontId="0" fillId="3" borderId="1" xfId="0" applyNumberFormat="1" applyFill="1" applyBorder="1" applyAlignment="1">
      <alignment horizontal="center" vertical="center"/>
    </xf>
    <xf numFmtId="3" fontId="0" fillId="3" borderId="19" xfId="0" applyNumberFormat="1" applyFill="1" applyBorder="1" applyAlignment="1">
      <alignment horizontal="center" vertical="center"/>
    </xf>
    <xf numFmtId="171" fontId="2" fillId="3" borderId="1" xfId="0" applyNumberFormat="1" applyFont="1" applyFill="1" applyBorder="1" applyAlignment="1">
      <alignment horizontal="center" vertical="center"/>
    </xf>
    <xf numFmtId="3" fontId="2" fillId="3" borderId="19" xfId="0" applyNumberFormat="1" applyFont="1" applyFill="1" applyBorder="1" applyAlignment="1">
      <alignment horizontal="center" vertical="center"/>
    </xf>
    <xf numFmtId="3" fontId="0" fillId="3" borderId="20" xfId="0" applyNumberFormat="1" applyFill="1" applyBorder="1" applyAlignment="1">
      <alignment horizontal="center" vertical="center"/>
    </xf>
    <xf numFmtId="0" fontId="9" fillId="3" borderId="0" xfId="0" quotePrefix="1" applyFont="1" applyFill="1" applyAlignment="1">
      <alignment horizontal="left"/>
    </xf>
    <xf numFmtId="14" fontId="2" fillId="3" borderId="1" xfId="5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3" fontId="2" fillId="3" borderId="4" xfId="4" applyNumberFormat="1" applyFont="1" applyFill="1" applyBorder="1" applyAlignment="1">
      <alignment horizontal="center" vertical="center" wrapText="1"/>
    </xf>
    <xf numFmtId="3" fontId="2" fillId="3" borderId="3" xfId="4" applyNumberFormat="1" applyFont="1" applyFill="1" applyBorder="1" applyAlignment="1">
      <alignment horizontal="center" vertical="center" wrapText="1"/>
    </xf>
    <xf numFmtId="4" fontId="2" fillId="3" borderId="3" xfId="4" applyNumberFormat="1" applyFont="1" applyFill="1" applyBorder="1" applyAlignment="1">
      <alignment horizontal="center" vertical="center" wrapText="1"/>
    </xf>
    <xf numFmtId="3" fontId="15" fillId="3" borderId="0" xfId="0" applyNumberFormat="1" applyFon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4" fontId="2" fillId="3" borderId="21" xfId="0" applyNumberFormat="1" applyFont="1" applyFill="1" applyBorder="1" applyAlignment="1">
      <alignment horizontal="center" vertical="center" wrapText="1"/>
    </xf>
    <xf numFmtId="3" fontId="2" fillId="3" borderId="1" xfId="0" quotePrefix="1" applyNumberFormat="1" applyFont="1" applyFill="1" applyBorder="1" applyAlignment="1">
      <alignment horizontal="center" vertical="center" wrapText="1"/>
    </xf>
    <xf numFmtId="3" fontId="2" fillId="3" borderId="22" xfId="4" applyNumberFormat="1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1" fontId="2" fillId="3" borderId="6" xfId="0" quotePrefix="1" applyNumberFormat="1" applyFont="1" applyFill="1" applyBorder="1" applyAlignment="1">
      <alignment horizontal="center" vertical="center" wrapText="1"/>
    </xf>
    <xf numFmtId="0" fontId="9" fillId="3" borderId="0" xfId="0" applyFont="1" applyFill="1"/>
    <xf numFmtId="0" fontId="24" fillId="3" borderId="0" xfId="0" applyNumberFormat="1" applyFont="1" applyFill="1"/>
    <xf numFmtId="0" fontId="24" fillId="0" borderId="0" xfId="0" applyNumberFormat="1" applyFont="1" applyFill="1"/>
    <xf numFmtId="0" fontId="24" fillId="0" borderId="0" xfId="0" applyNumberFormat="1" applyFont="1"/>
    <xf numFmtId="0" fontId="24" fillId="3" borderId="0" xfId="0" applyNumberFormat="1" applyFont="1" applyFill="1" applyBorder="1" applyAlignment="1">
      <alignment horizontal="center" vertical="center" wrapText="1"/>
    </xf>
    <xf numFmtId="0" fontId="25" fillId="2" borderId="2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4" fillId="3" borderId="0" xfId="0" applyFont="1" applyFill="1"/>
    <xf numFmtId="0" fontId="26" fillId="0" borderId="0" xfId="0" applyFont="1" applyFill="1"/>
    <xf numFmtId="0" fontId="24" fillId="0" borderId="0" xfId="0" applyFont="1"/>
    <xf numFmtId="0" fontId="25" fillId="2" borderId="1" xfId="0" applyFont="1" applyFill="1" applyBorder="1" applyAlignment="1">
      <alignment horizontal="center" vertical="center" wrapText="1"/>
    </xf>
    <xf numFmtId="3" fontId="27" fillId="3" borderId="0" xfId="4" applyNumberFormat="1" applyFont="1" applyFill="1" applyBorder="1" applyAlignment="1">
      <alignment horizontal="center" vertical="center" wrapText="1"/>
    </xf>
    <xf numFmtId="3" fontId="24" fillId="3" borderId="0" xfId="0" applyNumberFormat="1" applyFont="1" applyFill="1"/>
    <xf numFmtId="3" fontId="24" fillId="0" borderId="1" xfId="4" applyNumberFormat="1" applyFont="1" applyFill="1" applyBorder="1" applyAlignment="1">
      <alignment horizontal="center" vertical="center" wrapText="1"/>
    </xf>
    <xf numFmtId="3" fontId="24" fillId="3" borderId="0" xfId="0" applyNumberFormat="1" applyFont="1" applyFill="1" applyAlignment="1">
      <alignment horizontal="center" vertical="center"/>
    </xf>
    <xf numFmtId="0" fontId="24" fillId="3" borderId="0" xfId="0" applyFont="1" applyFill="1" applyBorder="1" applyAlignment="1">
      <alignment horizontal="center" vertical="center" wrapText="1"/>
    </xf>
    <xf numFmtId="2" fontId="24" fillId="3" borderId="0" xfId="0" applyNumberFormat="1" applyFont="1" applyFill="1"/>
    <xf numFmtId="4" fontId="24" fillId="3" borderId="0" xfId="0" applyNumberFormat="1" applyFont="1" applyFill="1"/>
    <xf numFmtId="22" fontId="24" fillId="3" borderId="0" xfId="0" applyNumberFormat="1" applyFont="1" applyFill="1"/>
    <xf numFmtId="0" fontId="24" fillId="0" borderId="0" xfId="0" applyFont="1" applyFill="1"/>
    <xf numFmtId="14" fontId="2" fillId="4" borderId="4" xfId="5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2" fillId="4" borderId="6" xfId="5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3" fontId="2" fillId="4" borderId="1" xfId="4" applyNumberFormat="1" applyFont="1" applyFill="1" applyBorder="1" applyAlignment="1">
      <alignment horizontal="center" vertical="center" wrapText="1"/>
    </xf>
    <xf numFmtId="1" fontId="2" fillId="4" borderId="6" xfId="0" quotePrefix="1" applyNumberFormat="1" applyFont="1" applyFill="1" applyBorder="1" applyAlignment="1">
      <alignment horizontal="center" vertical="center" wrapText="1"/>
    </xf>
    <xf numFmtId="0" fontId="0" fillId="4" borderId="0" xfId="0" applyFill="1"/>
    <xf numFmtId="14" fontId="2" fillId="4" borderId="32" xfId="5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4" fontId="2" fillId="4" borderId="34" xfId="5" applyNumberFormat="1" applyFont="1" applyFill="1" applyBorder="1" applyAlignment="1">
      <alignment horizontal="center" vertical="center" wrapText="1"/>
    </xf>
    <xf numFmtId="1" fontId="2" fillId="4" borderId="34" xfId="0" applyNumberFormat="1" applyFont="1" applyFill="1" applyBorder="1" applyAlignment="1">
      <alignment horizontal="center" vertical="center" wrapText="1"/>
    </xf>
    <xf numFmtId="1" fontId="2" fillId="4" borderId="2" xfId="4" applyNumberFormat="1" applyFont="1" applyFill="1" applyBorder="1" applyAlignment="1">
      <alignment horizontal="center" vertical="center" wrapText="1"/>
    </xf>
    <xf numFmtId="1" fontId="2" fillId="4" borderId="34" xfId="0" quotePrefix="1" applyNumberFormat="1" applyFont="1" applyFill="1" applyBorder="1" applyAlignment="1">
      <alignment horizontal="center" vertical="center" wrapText="1"/>
    </xf>
    <xf numFmtId="0" fontId="28" fillId="0" borderId="21" xfId="9" applyFill="1" applyBorder="1" applyAlignment="1">
      <alignment horizontal="center" vertical="center" wrapText="1"/>
    </xf>
    <xf numFmtId="0" fontId="28" fillId="4" borderId="21" xfId="9" applyNumberFormat="1" applyFill="1" applyBorder="1" applyAlignment="1">
      <alignment horizontal="center" vertical="center" wrapText="1"/>
    </xf>
    <xf numFmtId="0" fontId="28" fillId="0" borderId="35" xfId="9" applyFill="1" applyBorder="1" applyAlignment="1">
      <alignment horizontal="center" vertical="center" wrapText="1"/>
    </xf>
    <xf numFmtId="0" fontId="28" fillId="0" borderId="1" xfId="9" applyFill="1" applyBorder="1" applyAlignment="1">
      <alignment horizontal="center" vertical="center" wrapText="1"/>
    </xf>
    <xf numFmtId="0" fontId="28" fillId="4" borderId="1" xfId="9" applyNumberFormat="1" applyFill="1" applyBorder="1" applyAlignment="1">
      <alignment horizontal="center" vertical="center" wrapText="1"/>
    </xf>
    <xf numFmtId="0" fontId="28" fillId="0" borderId="1" xfId="9" applyNumberFormat="1" applyFill="1" applyBorder="1" applyAlignment="1">
      <alignment horizontal="center" vertical="center" wrapText="1"/>
    </xf>
    <xf numFmtId="0" fontId="25" fillId="2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" fontId="2" fillId="0" borderId="2" xfId="4" applyNumberFormat="1" applyFont="1" applyFill="1" applyBorder="1" applyAlignment="1">
      <alignment horizontal="center" vertical="center" wrapText="1"/>
    </xf>
    <xf numFmtId="4" fontId="2" fillId="0" borderId="3" xfId="4" applyNumberFormat="1" applyFont="1" applyFill="1" applyBorder="1" applyAlignment="1">
      <alignment horizontal="center" vertical="center" wrapText="1"/>
    </xf>
    <xf numFmtId="0" fontId="2" fillId="4" borderId="0" xfId="0" applyFont="1" applyFill="1"/>
    <xf numFmtId="1" fontId="2" fillId="0" borderId="6" xfId="0" quotePrefix="1" applyNumberFormat="1" applyFont="1" applyFill="1" applyBorder="1" applyAlignment="1">
      <alignment horizontal="center" vertical="center" wrapText="1"/>
    </xf>
    <xf numFmtId="2" fontId="24" fillId="0" borderId="0" xfId="0" applyNumberFormat="1" applyFont="1" applyFill="1"/>
    <xf numFmtId="3" fontId="29" fillId="0" borderId="3" xfId="4" applyNumberFormat="1" applyFont="1" applyFill="1" applyBorder="1" applyAlignment="1">
      <alignment horizontal="center" vertical="center" wrapText="1"/>
    </xf>
    <xf numFmtId="3" fontId="29" fillId="3" borderId="3" xfId="4" applyNumberFormat="1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vertical="center" wrapText="1"/>
    </xf>
    <xf numFmtId="4" fontId="2" fillId="0" borderId="5" xfId="4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/>
    <xf numFmtId="3" fontId="2" fillId="0" borderId="1" xfId="0" applyNumberFormat="1" applyFont="1" applyFill="1" applyBorder="1" applyAlignment="1">
      <alignment horizontal="center" vertical="center" wrapText="1"/>
    </xf>
    <xf numFmtId="0" fontId="24" fillId="3" borderId="36" xfId="0" applyNumberFormat="1" applyFont="1" applyFill="1" applyBorder="1" applyAlignment="1">
      <alignment wrapText="1"/>
    </xf>
    <xf numFmtId="1" fontId="2" fillId="0" borderId="5" xfId="0" applyNumberFormat="1" applyFont="1" applyFill="1" applyBorder="1" applyAlignment="1">
      <alignment horizontal="center" vertical="center" wrapText="1"/>
    </xf>
    <xf numFmtId="171" fontId="0" fillId="0" borderId="1" xfId="0" applyNumberFormat="1" applyFill="1" applyBorder="1" applyAlignment="1">
      <alignment horizontal="center" vertical="center"/>
    </xf>
    <xf numFmtId="3" fontId="0" fillId="0" borderId="19" xfId="0" applyNumberFormat="1" applyFill="1" applyBorder="1" applyAlignment="1">
      <alignment horizontal="center" vertical="center"/>
    </xf>
    <xf numFmtId="0" fontId="0" fillId="0" borderId="0" xfId="0" applyFill="1" applyAlignment="1"/>
    <xf numFmtId="3" fontId="2" fillId="0" borderId="11" xfId="0" applyNumberFormat="1" applyFont="1" applyFill="1" applyBorder="1" applyAlignment="1">
      <alignment horizontal="center" vertical="center"/>
    </xf>
    <xf numFmtId="3" fontId="2" fillId="0" borderId="10" xfId="0" applyNumberFormat="1" applyFont="1" applyFill="1" applyBorder="1" applyAlignment="1">
      <alignment horizontal="center" vertical="center"/>
    </xf>
    <xf numFmtId="172" fontId="2" fillId="0" borderId="12" xfId="0" applyNumberFormat="1" applyFont="1" applyFill="1" applyBorder="1" applyAlignment="1">
      <alignment horizontal="center" vertical="center"/>
    </xf>
    <xf numFmtId="3" fontId="29" fillId="3" borderId="3" xfId="0" applyNumberFormat="1" applyFont="1" applyFill="1" applyBorder="1" applyAlignment="1">
      <alignment horizontal="center" vertical="center"/>
    </xf>
    <xf numFmtId="3" fontId="29" fillId="3" borderId="16" xfId="0" applyNumberFormat="1" applyFont="1" applyFill="1" applyBorder="1" applyAlignment="1">
      <alignment horizontal="center" vertical="center"/>
    </xf>
    <xf numFmtId="3" fontId="29" fillId="3" borderId="17" xfId="0" applyNumberFormat="1" applyFont="1" applyFill="1" applyBorder="1" applyAlignment="1">
      <alignment horizontal="center" vertical="center"/>
    </xf>
    <xf numFmtId="3" fontId="29" fillId="0" borderId="16" xfId="0" applyNumberFormat="1" applyFont="1" applyFill="1" applyBorder="1" applyAlignment="1">
      <alignment horizontal="center" vertical="center"/>
    </xf>
    <xf numFmtId="3" fontId="29" fillId="0" borderId="17" xfId="0" applyNumberFormat="1" applyFont="1" applyFill="1" applyBorder="1" applyAlignment="1">
      <alignment horizontal="center" vertical="center"/>
    </xf>
    <xf numFmtId="0" fontId="2" fillId="3" borderId="25" xfId="0" quotePrefix="1" applyFont="1" applyFill="1" applyBorder="1" applyAlignment="1">
      <alignment horizontal="left" wrapText="1"/>
    </xf>
    <xf numFmtId="0" fontId="2" fillId="3" borderId="26" xfId="0" quotePrefix="1" applyFont="1" applyFill="1" applyBorder="1" applyAlignment="1">
      <alignment horizontal="center" wrapText="1"/>
    </xf>
    <xf numFmtId="0" fontId="2" fillId="3" borderId="27" xfId="0" quotePrefix="1" applyFont="1" applyFill="1" applyBorder="1" applyAlignment="1">
      <alignment horizontal="left" wrapText="1"/>
    </xf>
    <xf numFmtId="0" fontId="2" fillId="3" borderId="28" xfId="0" quotePrefix="1" applyFont="1" applyFill="1" applyBorder="1" applyAlignment="1">
      <alignment horizontal="center" wrapText="1"/>
    </xf>
    <xf numFmtId="0" fontId="24" fillId="0" borderId="36" xfId="0" applyNumberFormat="1" applyFont="1" applyFill="1" applyBorder="1" applyAlignment="1">
      <alignment horizontal="center" vertical="center" wrapText="1"/>
    </xf>
    <xf numFmtId="1" fontId="2" fillId="0" borderId="23" xfId="0" applyNumberFormat="1" applyFont="1" applyFill="1" applyBorder="1" applyAlignment="1">
      <alignment horizontal="center" vertical="center" wrapText="1"/>
    </xf>
    <xf numFmtId="1" fontId="2" fillId="0" borderId="20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Fill="1" applyBorder="1" applyAlignment="1">
      <alignment horizontal="center" vertical="center" wrapText="1"/>
    </xf>
    <xf numFmtId="1" fontId="2" fillId="3" borderId="23" xfId="0" applyNumberFormat="1" applyFont="1" applyFill="1" applyBorder="1" applyAlignment="1">
      <alignment horizontal="center" vertical="center" wrapText="1"/>
    </xf>
    <xf numFmtId="1" fontId="2" fillId="3" borderId="20" xfId="0" applyNumberFormat="1" applyFont="1" applyFill="1" applyBorder="1" applyAlignment="1">
      <alignment horizontal="center" vertical="center" wrapText="1"/>
    </xf>
    <xf numFmtId="1" fontId="2" fillId="3" borderId="24" xfId="0" applyNumberFormat="1" applyFont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horizontal="center" vertical="center" wrapText="1"/>
    </xf>
    <xf numFmtId="0" fontId="5" fillId="2" borderId="6" xfId="0" quotePrefix="1" applyFont="1" applyFill="1" applyBorder="1" applyAlignment="1">
      <alignment horizontal="center" vertical="center" wrapText="1"/>
    </xf>
    <xf numFmtId="0" fontId="5" fillId="2" borderId="5" xfId="0" quotePrefix="1" applyFont="1" applyFill="1" applyBorder="1" applyAlignment="1">
      <alignment horizontal="center" vertical="center" wrapText="1"/>
    </xf>
    <xf numFmtId="14" fontId="5" fillId="2" borderId="22" xfId="0" applyNumberFormat="1" applyFont="1" applyFill="1" applyBorder="1" applyAlignment="1">
      <alignment horizontal="center" vertical="center" wrapText="1"/>
    </xf>
    <xf numFmtId="14" fontId="5" fillId="2" borderId="29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168" fontId="2" fillId="0" borderId="4" xfId="7" applyNumberFormat="1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5" xfId="0" applyFill="1" applyBorder="1"/>
    <xf numFmtId="168" fontId="2" fillId="3" borderId="4" xfId="7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0" fillId="3" borderId="5" xfId="0" applyFill="1" applyBorder="1"/>
    <xf numFmtId="0" fontId="24" fillId="3" borderId="36" xfId="0" applyNumberFormat="1" applyFont="1" applyFill="1" applyBorder="1" applyAlignment="1">
      <alignment horizontal="center" wrapText="1"/>
    </xf>
    <xf numFmtId="1" fontId="2" fillId="4" borderId="23" xfId="0" applyNumberFormat="1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10" fontId="2" fillId="0" borderId="4" xfId="7" quotePrefix="1" applyNumberFormat="1" applyFont="1" applyFill="1" applyBorder="1" applyAlignment="1">
      <alignment horizontal="center" vertical="center" wrapText="1"/>
    </xf>
    <xf numFmtId="10" fontId="2" fillId="0" borderId="6" xfId="7" quotePrefix="1" applyNumberFormat="1" applyFont="1" applyFill="1" applyBorder="1" applyAlignment="1">
      <alignment horizontal="center" vertical="center" wrapText="1"/>
    </xf>
    <xf numFmtId="10" fontId="2" fillId="0" borderId="5" xfId="7" quotePrefix="1" applyNumberFormat="1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0" fontId="2" fillId="4" borderId="32" xfId="7" quotePrefix="1" applyNumberFormat="1" applyFont="1" applyFill="1" applyBorder="1" applyAlignment="1">
      <alignment horizontal="center" vertical="center" wrapText="1"/>
    </xf>
    <xf numFmtId="10" fontId="2" fillId="4" borderId="34" xfId="7" quotePrefix="1" applyNumberFormat="1" applyFont="1" applyFill="1" applyBorder="1" applyAlignment="1">
      <alignment horizontal="center" vertical="center" wrapText="1"/>
    </xf>
    <xf numFmtId="10" fontId="2" fillId="4" borderId="33" xfId="7" quotePrefix="1" applyNumberFormat="1" applyFont="1" applyFill="1" applyBorder="1" applyAlignment="1">
      <alignment horizontal="center" vertical="center" wrapText="1"/>
    </xf>
    <xf numFmtId="10" fontId="2" fillId="4" borderId="4" xfId="7" quotePrefix="1" applyNumberFormat="1" applyFont="1" applyFill="1" applyBorder="1" applyAlignment="1">
      <alignment horizontal="center" vertical="center" wrapText="1"/>
    </xf>
    <xf numFmtId="10" fontId="2" fillId="4" borderId="6" xfId="7" quotePrefix="1" applyNumberFormat="1" applyFont="1" applyFill="1" applyBorder="1" applyAlignment="1">
      <alignment horizontal="center" vertical="center" wrapText="1"/>
    </xf>
    <xf numFmtId="10" fontId="2" fillId="4" borderId="5" xfId="7" quotePrefix="1" applyNumberFormat="1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2" fillId="3" borderId="26" xfId="0" quotePrefix="1" applyFont="1" applyFill="1" applyBorder="1" applyAlignment="1">
      <alignment horizontal="left" wrapText="1"/>
    </xf>
    <xf numFmtId="0" fontId="2" fillId="3" borderId="30" xfId="0" quotePrefix="1" applyFont="1" applyFill="1" applyBorder="1" applyAlignment="1">
      <alignment horizontal="left" wrapText="1"/>
    </xf>
    <xf numFmtId="0" fontId="2" fillId="3" borderId="31" xfId="0" quotePrefix="1" applyFont="1" applyFill="1" applyBorder="1" applyAlignment="1">
      <alignment horizontal="left" wrapText="1"/>
    </xf>
  </cellXfs>
  <cellStyles count="10">
    <cellStyle name="Euro" xfId="1"/>
    <cellStyle name="facha" xfId="2"/>
    <cellStyle name="Hipervínculo" xfId="9" builtinId="8"/>
    <cellStyle name="jo[" xfId="3"/>
    <cellStyle name="Millares" xfId="4" builtinId="3"/>
    <cellStyle name="Normal" xfId="0" builtinId="0"/>
    <cellStyle name="Normal_Emisiones 2006" xfId="5"/>
    <cellStyle name="Oficio" xfId="6"/>
    <cellStyle name="Porcentual" xfId="7" builtinId="5"/>
    <cellStyle name="vaca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econ.gob.ar/finanzas/sfinan/documentos/PDF-2011/FFRH_Reso_SH272_SF73.pdf" TargetMode="External"/><Relationship Id="rId13" Type="http://schemas.openxmlformats.org/officeDocument/2006/relationships/hyperlink" Target="http://www.mecon.gob.ar/finanzas/sfinan/documentos/PDF-2011/Loter&#237;a_Reso_SH267_SF71.pdf" TargetMode="External"/><Relationship Id="rId18" Type="http://schemas.openxmlformats.org/officeDocument/2006/relationships/hyperlink" Target="http://www.mecon.gob.ar/finanzas/sfinan/documentos/PDF-2011/SRT_Reso_SH278_SF74.pdf" TargetMode="External"/><Relationship Id="rId26" Type="http://schemas.openxmlformats.org/officeDocument/2006/relationships/hyperlink" Target="http://www.mecon.gob.ar/finanzas/sfinan/documentos/PDF-2011/Disc_Reso_SH_242_SF68.pdf" TargetMode="External"/><Relationship Id="rId39" Type="http://schemas.openxmlformats.org/officeDocument/2006/relationships/hyperlink" Target="http://www.mecon.gob.ar/finanzas/sfinan/documentos/PDF-2011/BNA_Reso_SH18_SF4.pdf" TargetMode="External"/><Relationship Id="rId3" Type="http://schemas.openxmlformats.org/officeDocument/2006/relationships/hyperlink" Target="http://www.mecon.gob.ar/finanzas/sfinan/documentos/PDF-2011/BNA_Reso_SH193_SF53.pdf" TargetMode="External"/><Relationship Id="rId21" Type="http://schemas.openxmlformats.org/officeDocument/2006/relationships/hyperlink" Target="http://www.mecon.gob.ar/finanzas/sfinan/documentos/PDF-2011/FFRE_Reso_SH58_SF15.pdf" TargetMode="External"/><Relationship Id="rId34" Type="http://schemas.openxmlformats.org/officeDocument/2006/relationships/hyperlink" Target="http://www.mecon.gob.ar/finanzas/sfinan/documentos/PDF-2011/BNA_Reso_SH18_SF4.pdf" TargetMode="External"/><Relationship Id="rId42" Type="http://schemas.openxmlformats.org/officeDocument/2006/relationships/hyperlink" Target="http://www.mecon.gob.ar/finanzas/sfinan/documentos/PDF-2011/BNA_Reso_SH18_SF4.pdf" TargetMode="External"/><Relationship Id="rId7" Type="http://schemas.openxmlformats.org/officeDocument/2006/relationships/hyperlink" Target="http://www.mecon.gob.ar/finanzas/sfinan/documentos/PDF-2011/FFRE_Reso_SH261_SF70.pdf" TargetMode="External"/><Relationship Id="rId12" Type="http://schemas.openxmlformats.org/officeDocument/2006/relationships/hyperlink" Target="http://www.mecon.gob.ar/finanzas/sfinan/documentos/PDF-2011/INDER_Reso_SH280_SF76.pdf" TargetMode="External"/><Relationship Id="rId17" Type="http://schemas.openxmlformats.org/officeDocument/2006/relationships/hyperlink" Target="http://www.mecon.gob.ar/finanzas/sfinan/documentos/PDF-2011/PAMI_Reso_SH378_SF113.pdf" TargetMode="External"/><Relationship Id="rId25" Type="http://schemas.openxmlformats.org/officeDocument/2006/relationships/hyperlink" Target="http://www.mecon.gob.ar/finanzas/sfinan/documentos/PDF-2011/FFRE_Reso_SH295_SF79.pdf" TargetMode="External"/><Relationship Id="rId33" Type="http://schemas.openxmlformats.org/officeDocument/2006/relationships/hyperlink" Target="http://www.mecon.gob.ar/finanzas/sfinan/documentos/PDF-2011/BONAR18_Reso_SH424_SF132.pdf" TargetMode="External"/><Relationship Id="rId38" Type="http://schemas.openxmlformats.org/officeDocument/2006/relationships/hyperlink" Target="http://www.mecon.gob.ar/finanzas/sfinan/documentos/PDF-2011/BNA_Reso_SH18_SF4.pdf" TargetMode="External"/><Relationship Id="rId2" Type="http://schemas.openxmlformats.org/officeDocument/2006/relationships/hyperlink" Target="http://www.mecon.gob.ar/finanzas/sfinan/documentos/PDF-2011/AGP_Reso_SH441_SF139.pdf" TargetMode="External"/><Relationship Id="rId16" Type="http://schemas.openxmlformats.org/officeDocument/2006/relationships/hyperlink" Target="http://www.mecon.gob.ar/finanzas/sfinan/documentos/PDF-2011/PAMI_Reso_SH7_SF1.pdf" TargetMode="External"/><Relationship Id="rId20" Type="http://schemas.openxmlformats.org/officeDocument/2006/relationships/hyperlink" Target="http://www.mecon.gob.ar/finanzas/sfinan/documentos/PDF-2011/FFRE_Reso_SH58_SF15.pdf" TargetMode="External"/><Relationship Id="rId29" Type="http://schemas.openxmlformats.org/officeDocument/2006/relationships/hyperlink" Target="http://www.mecon.gob.ar/finanzas/sfinan/documentos/PDF-2011/Disc_Reso_SH175_SF45.pdf" TargetMode="External"/><Relationship Id="rId41" Type="http://schemas.openxmlformats.org/officeDocument/2006/relationships/hyperlink" Target="http://www.mecon.gob.ar/finanzas/sfinan/documentos/PDF-2011/BNA_Reso_SH18_SF4.pdf" TargetMode="External"/><Relationship Id="rId1" Type="http://schemas.openxmlformats.org/officeDocument/2006/relationships/hyperlink" Target="http://www.mecon.gob.ar/finanzas/sfinan/documentos/PDF-2011/Disc_Reso_SH175_SF45.pdf" TargetMode="External"/><Relationship Id="rId6" Type="http://schemas.openxmlformats.org/officeDocument/2006/relationships/hyperlink" Target="http://www.mecon.gob.ar/finanzas/sfinan/documentos/PDF-2011/FFRE_Reso_SH436_SF136.pdf" TargetMode="External"/><Relationship Id="rId11" Type="http://schemas.openxmlformats.org/officeDocument/2006/relationships/hyperlink" Target="http://www.mecon.gob.ar/finanzas/sfinan/documentos/PDF-2011/IAF_Reso_SH439_SF137.pdf" TargetMode="External"/><Relationship Id="rId24" Type="http://schemas.openxmlformats.org/officeDocument/2006/relationships/hyperlink" Target="http://www.mecon.gob.ar/finanzas/sfinan/documentos/PDF-2011/BONAR18_Reso_SH424_SF132.pdf" TargetMode="External"/><Relationship Id="rId32" Type="http://schemas.openxmlformats.org/officeDocument/2006/relationships/hyperlink" Target="http://www.mecon.gob.ar/finanzas/sfinan/documentos/PDF-2011/BONAR18_Reso_SH424_SF132.pdf" TargetMode="External"/><Relationship Id="rId37" Type="http://schemas.openxmlformats.org/officeDocument/2006/relationships/hyperlink" Target="http://www.mecon.gob.ar/finanzas/sfinan/documentos/PDF-2011/BNA_Reso_SH18_SF4.pdf" TargetMode="External"/><Relationship Id="rId40" Type="http://schemas.openxmlformats.org/officeDocument/2006/relationships/hyperlink" Target="http://www.mecon.gob.ar/finanzas/sfinan/documentos/PDF-2011/BNA_Reso_SH18_SF4.pdf" TargetMode="External"/><Relationship Id="rId5" Type="http://schemas.openxmlformats.org/officeDocument/2006/relationships/hyperlink" Target="http://www.mecon.gob.ar/finanzas/sfinan/documentos/PDF-2011/BNA_Reso_SH384_SF115.pdf" TargetMode="External"/><Relationship Id="rId15" Type="http://schemas.openxmlformats.org/officeDocument/2006/relationships/hyperlink" Target="http://www.mecon.gob.ar/finanzas/sfinan/documentos/PDF-2011/PAMI_Reso_SH301_SF84.pdf" TargetMode="External"/><Relationship Id="rId23" Type="http://schemas.openxmlformats.org/officeDocument/2006/relationships/hyperlink" Target="http://www.mecon.gob.ar/finanzas/sfinan/documentos/PDF-2011/Disc_Reso_SH83_SF21.pdf" TargetMode="External"/><Relationship Id="rId28" Type="http://schemas.openxmlformats.org/officeDocument/2006/relationships/hyperlink" Target="http://www.mecon.gob.ar/finanzas/sfinan/PDF-2011/Disc_Reso_SH175_SF45.pdf" TargetMode="External"/><Relationship Id="rId36" Type="http://schemas.openxmlformats.org/officeDocument/2006/relationships/hyperlink" Target="http://www.mecon.gob.ar/finanzas/sfinan/documentos/PDF-2011/BNA_Reso_SH18_SF4.pdf" TargetMode="External"/><Relationship Id="rId10" Type="http://schemas.openxmlformats.org/officeDocument/2006/relationships/hyperlink" Target="http://www.mecon.gob.ar/finanzas/sfinan/documentos/PDF-2011/BCRA_Reso_ME64.pdf" TargetMode="External"/><Relationship Id="rId19" Type="http://schemas.openxmlformats.org/officeDocument/2006/relationships/hyperlink" Target="http://www.mecon.gob.ar/finanzas/sfinan/documentos/PDF-2011/BONAR16_Reso_SH430_SF135.pdf" TargetMode="External"/><Relationship Id="rId31" Type="http://schemas.openxmlformats.org/officeDocument/2006/relationships/hyperlink" Target="http://www.mecon.gob.ar/finanzas/sfinan/documentos/PDF-2011/Disc_Reso_SH_242_SF68.pdf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://www.mecon.gob.ar/finanzas/sfinan/documentos/PDF-2011/BNA_Reso_SH18_SF4.pdf" TargetMode="External"/><Relationship Id="rId9" Type="http://schemas.openxmlformats.org/officeDocument/2006/relationships/hyperlink" Target="http://www.mecon.gob.ar/finanzas/sfinan/documentos/PDF-2011/BCRA_Reso_ME1.pdf" TargetMode="External"/><Relationship Id="rId14" Type="http://schemas.openxmlformats.org/officeDocument/2006/relationships/hyperlink" Target="http://www.mecon.gob.ar/finanzas/sfinan/documentos/PDF-2011/Loter&#237;a_Reso_SH61_SF18.pdf" TargetMode="External"/><Relationship Id="rId22" Type="http://schemas.openxmlformats.org/officeDocument/2006/relationships/hyperlink" Target="http://www.mecon.gob.ar/finanzas/sfinan/documentos/PDF-2011/Disc_Reso_SH198_SF57.pdf" TargetMode="External"/><Relationship Id="rId27" Type="http://schemas.openxmlformats.org/officeDocument/2006/relationships/hyperlink" Target="http://www.mecon.gob.ar/finanzas/sfinan/documentos/PDF-2011/Disc_Reso_SH83_SF21.pdf" TargetMode="External"/><Relationship Id="rId30" Type="http://schemas.openxmlformats.org/officeDocument/2006/relationships/hyperlink" Target="http://www.mecon.gob.ar/finanzas/sfinan/documentos/PDF-2011/Disc_Reso_SH_242_SF68.pdf" TargetMode="External"/><Relationship Id="rId35" Type="http://schemas.openxmlformats.org/officeDocument/2006/relationships/hyperlink" Target="http://www.mecon.gob.ar/finanzas/sfinan/documentos/PDF-2011/BNA_Reso_SH18_SF4.pdf" TargetMode="External"/><Relationship Id="rId43" Type="http://schemas.openxmlformats.org/officeDocument/2006/relationships/hyperlink" Target="http://www.mecon.gob.ar/finanzas/sfinan/documentos/PDF-2011/FFRE_Reso_SH436_SF13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showGridLines="0" showZeros="0" tabSelected="1" topLeftCell="E70" zoomScale="70" zoomScaleNormal="70" zoomScaleSheetLayoutView="55" workbookViewId="0">
      <selection activeCell="M64" sqref="M64"/>
    </sheetView>
  </sheetViews>
  <sheetFormatPr baseColWidth="10" defaultColWidth="8" defaultRowHeight="14.25"/>
  <cols>
    <col min="1" max="1" width="25.7109375" customWidth="1"/>
    <col min="2" max="2" width="29.85546875" customWidth="1"/>
    <col min="3" max="3" width="14.7109375" customWidth="1"/>
    <col min="4" max="4" width="13.7109375" customWidth="1"/>
    <col min="5" max="5" width="13.140625" customWidth="1"/>
    <col min="6" max="6" width="19" customWidth="1"/>
    <col min="7" max="7" width="37.42578125" customWidth="1"/>
    <col min="8" max="8" width="23.5703125" customWidth="1"/>
    <col min="9" max="10" width="21.85546875" customWidth="1"/>
    <col min="11" max="11" width="26.140625" customWidth="1"/>
    <col min="12" max="12" width="16.85546875" bestFit="1" customWidth="1"/>
    <col min="13" max="13" width="15.5703125" style="106" bestFit="1" customWidth="1"/>
    <col min="14" max="14" width="24.85546875" style="100" customWidth="1"/>
    <col min="15" max="15" width="19.85546875" customWidth="1"/>
    <col min="16" max="16" width="12.85546875" bestFit="1" customWidth="1"/>
    <col min="17" max="17" width="12.5703125" bestFit="1" customWidth="1"/>
    <col min="18" max="18" width="10.140625" customWidth="1"/>
    <col min="257" max="257" width="25.7109375" customWidth="1"/>
    <col min="258" max="258" width="29.85546875" customWidth="1"/>
    <col min="259" max="259" width="14.7109375" customWidth="1"/>
    <col min="260" max="260" width="13.7109375" customWidth="1"/>
    <col min="261" max="261" width="13.140625" customWidth="1"/>
    <col min="262" max="262" width="19" customWidth="1"/>
    <col min="263" max="263" width="37.42578125" customWidth="1"/>
    <col min="264" max="264" width="23.5703125" customWidth="1"/>
    <col min="265" max="266" width="21.85546875" customWidth="1"/>
    <col min="267" max="267" width="26.140625" customWidth="1"/>
    <col min="268" max="268" width="16.85546875" bestFit="1" customWidth="1"/>
    <col min="269" max="269" width="15.5703125" bestFit="1" customWidth="1"/>
    <col min="270" max="270" width="24.85546875" customWidth="1"/>
    <col min="271" max="271" width="19.85546875" customWidth="1"/>
    <col min="272" max="272" width="12.85546875" bestFit="1" customWidth="1"/>
    <col min="273" max="273" width="12.5703125" bestFit="1" customWidth="1"/>
    <col min="274" max="274" width="10.140625" customWidth="1"/>
    <col min="513" max="513" width="25.7109375" customWidth="1"/>
    <col min="514" max="514" width="29.85546875" customWidth="1"/>
    <col min="515" max="515" width="14.7109375" customWidth="1"/>
    <col min="516" max="516" width="13.7109375" customWidth="1"/>
    <col min="517" max="517" width="13.140625" customWidth="1"/>
    <col min="518" max="518" width="19" customWidth="1"/>
    <col min="519" max="519" width="37.42578125" customWidth="1"/>
    <col min="520" max="520" width="23.5703125" customWidth="1"/>
    <col min="521" max="522" width="21.85546875" customWidth="1"/>
    <col min="523" max="523" width="26.140625" customWidth="1"/>
    <col min="524" max="524" width="16.85546875" bestFit="1" customWidth="1"/>
    <col min="525" max="525" width="15.5703125" bestFit="1" customWidth="1"/>
    <col min="526" max="526" width="24.85546875" customWidth="1"/>
    <col min="527" max="527" width="19.85546875" customWidth="1"/>
    <col min="528" max="528" width="12.85546875" bestFit="1" customWidth="1"/>
    <col min="529" max="529" width="12.5703125" bestFit="1" customWidth="1"/>
    <col min="530" max="530" width="10.140625" customWidth="1"/>
    <col min="769" max="769" width="25.7109375" customWidth="1"/>
    <col min="770" max="770" width="29.85546875" customWidth="1"/>
    <col min="771" max="771" width="14.7109375" customWidth="1"/>
    <col min="772" max="772" width="13.7109375" customWidth="1"/>
    <col min="773" max="773" width="13.140625" customWidth="1"/>
    <col min="774" max="774" width="19" customWidth="1"/>
    <col min="775" max="775" width="37.42578125" customWidth="1"/>
    <col min="776" max="776" width="23.5703125" customWidth="1"/>
    <col min="777" max="778" width="21.85546875" customWidth="1"/>
    <col min="779" max="779" width="26.140625" customWidth="1"/>
    <col min="780" max="780" width="16.85546875" bestFit="1" customWidth="1"/>
    <col min="781" max="781" width="15.5703125" bestFit="1" customWidth="1"/>
    <col min="782" max="782" width="24.85546875" customWidth="1"/>
    <col min="783" max="783" width="19.85546875" customWidth="1"/>
    <col min="784" max="784" width="12.85546875" bestFit="1" customWidth="1"/>
    <col min="785" max="785" width="12.5703125" bestFit="1" customWidth="1"/>
    <col min="786" max="786" width="10.140625" customWidth="1"/>
    <col min="1025" max="1025" width="25.7109375" customWidth="1"/>
    <col min="1026" max="1026" width="29.85546875" customWidth="1"/>
    <col min="1027" max="1027" width="14.7109375" customWidth="1"/>
    <col min="1028" max="1028" width="13.7109375" customWidth="1"/>
    <col min="1029" max="1029" width="13.140625" customWidth="1"/>
    <col min="1030" max="1030" width="19" customWidth="1"/>
    <col min="1031" max="1031" width="37.42578125" customWidth="1"/>
    <col min="1032" max="1032" width="23.5703125" customWidth="1"/>
    <col min="1033" max="1034" width="21.85546875" customWidth="1"/>
    <col min="1035" max="1035" width="26.140625" customWidth="1"/>
    <col min="1036" max="1036" width="16.85546875" bestFit="1" customWidth="1"/>
    <col min="1037" max="1037" width="15.5703125" bestFit="1" customWidth="1"/>
    <col min="1038" max="1038" width="24.85546875" customWidth="1"/>
    <col min="1039" max="1039" width="19.85546875" customWidth="1"/>
    <col min="1040" max="1040" width="12.85546875" bestFit="1" customWidth="1"/>
    <col min="1041" max="1041" width="12.5703125" bestFit="1" customWidth="1"/>
    <col min="1042" max="1042" width="10.140625" customWidth="1"/>
    <col min="1281" max="1281" width="25.7109375" customWidth="1"/>
    <col min="1282" max="1282" width="29.85546875" customWidth="1"/>
    <col min="1283" max="1283" width="14.7109375" customWidth="1"/>
    <col min="1284" max="1284" width="13.7109375" customWidth="1"/>
    <col min="1285" max="1285" width="13.140625" customWidth="1"/>
    <col min="1286" max="1286" width="19" customWidth="1"/>
    <col min="1287" max="1287" width="37.42578125" customWidth="1"/>
    <col min="1288" max="1288" width="23.5703125" customWidth="1"/>
    <col min="1289" max="1290" width="21.85546875" customWidth="1"/>
    <col min="1291" max="1291" width="26.140625" customWidth="1"/>
    <col min="1292" max="1292" width="16.85546875" bestFit="1" customWidth="1"/>
    <col min="1293" max="1293" width="15.5703125" bestFit="1" customWidth="1"/>
    <col min="1294" max="1294" width="24.85546875" customWidth="1"/>
    <col min="1295" max="1295" width="19.85546875" customWidth="1"/>
    <col min="1296" max="1296" width="12.85546875" bestFit="1" customWidth="1"/>
    <col min="1297" max="1297" width="12.5703125" bestFit="1" customWidth="1"/>
    <col min="1298" max="1298" width="10.140625" customWidth="1"/>
    <col min="1537" max="1537" width="25.7109375" customWidth="1"/>
    <col min="1538" max="1538" width="29.85546875" customWidth="1"/>
    <col min="1539" max="1539" width="14.7109375" customWidth="1"/>
    <col min="1540" max="1540" width="13.7109375" customWidth="1"/>
    <col min="1541" max="1541" width="13.140625" customWidth="1"/>
    <col min="1542" max="1542" width="19" customWidth="1"/>
    <col min="1543" max="1543" width="37.42578125" customWidth="1"/>
    <col min="1544" max="1544" width="23.5703125" customWidth="1"/>
    <col min="1545" max="1546" width="21.85546875" customWidth="1"/>
    <col min="1547" max="1547" width="26.140625" customWidth="1"/>
    <col min="1548" max="1548" width="16.85546875" bestFit="1" customWidth="1"/>
    <col min="1549" max="1549" width="15.5703125" bestFit="1" customWidth="1"/>
    <col min="1550" max="1550" width="24.85546875" customWidth="1"/>
    <col min="1551" max="1551" width="19.85546875" customWidth="1"/>
    <col min="1552" max="1552" width="12.85546875" bestFit="1" customWidth="1"/>
    <col min="1553" max="1553" width="12.5703125" bestFit="1" customWidth="1"/>
    <col min="1554" max="1554" width="10.140625" customWidth="1"/>
    <col min="1793" max="1793" width="25.7109375" customWidth="1"/>
    <col min="1794" max="1794" width="29.85546875" customWidth="1"/>
    <col min="1795" max="1795" width="14.7109375" customWidth="1"/>
    <col min="1796" max="1796" width="13.7109375" customWidth="1"/>
    <col min="1797" max="1797" width="13.140625" customWidth="1"/>
    <col min="1798" max="1798" width="19" customWidth="1"/>
    <col min="1799" max="1799" width="37.42578125" customWidth="1"/>
    <col min="1800" max="1800" width="23.5703125" customWidth="1"/>
    <col min="1801" max="1802" width="21.85546875" customWidth="1"/>
    <col min="1803" max="1803" width="26.140625" customWidth="1"/>
    <col min="1804" max="1804" width="16.85546875" bestFit="1" customWidth="1"/>
    <col min="1805" max="1805" width="15.5703125" bestFit="1" customWidth="1"/>
    <col min="1806" max="1806" width="24.85546875" customWidth="1"/>
    <col min="1807" max="1807" width="19.85546875" customWidth="1"/>
    <col min="1808" max="1808" width="12.85546875" bestFit="1" customWidth="1"/>
    <col min="1809" max="1809" width="12.5703125" bestFit="1" customWidth="1"/>
    <col min="1810" max="1810" width="10.140625" customWidth="1"/>
    <col min="2049" max="2049" width="25.7109375" customWidth="1"/>
    <col min="2050" max="2050" width="29.85546875" customWidth="1"/>
    <col min="2051" max="2051" width="14.7109375" customWidth="1"/>
    <col min="2052" max="2052" width="13.7109375" customWidth="1"/>
    <col min="2053" max="2053" width="13.140625" customWidth="1"/>
    <col min="2054" max="2054" width="19" customWidth="1"/>
    <col min="2055" max="2055" width="37.42578125" customWidth="1"/>
    <col min="2056" max="2056" width="23.5703125" customWidth="1"/>
    <col min="2057" max="2058" width="21.85546875" customWidth="1"/>
    <col min="2059" max="2059" width="26.140625" customWidth="1"/>
    <col min="2060" max="2060" width="16.85546875" bestFit="1" customWidth="1"/>
    <col min="2061" max="2061" width="15.5703125" bestFit="1" customWidth="1"/>
    <col min="2062" max="2062" width="24.85546875" customWidth="1"/>
    <col min="2063" max="2063" width="19.85546875" customWidth="1"/>
    <col min="2064" max="2064" width="12.85546875" bestFit="1" customWidth="1"/>
    <col min="2065" max="2065" width="12.5703125" bestFit="1" customWidth="1"/>
    <col min="2066" max="2066" width="10.140625" customWidth="1"/>
    <col min="2305" max="2305" width="25.7109375" customWidth="1"/>
    <col min="2306" max="2306" width="29.85546875" customWidth="1"/>
    <col min="2307" max="2307" width="14.7109375" customWidth="1"/>
    <col min="2308" max="2308" width="13.7109375" customWidth="1"/>
    <col min="2309" max="2309" width="13.140625" customWidth="1"/>
    <col min="2310" max="2310" width="19" customWidth="1"/>
    <col min="2311" max="2311" width="37.42578125" customWidth="1"/>
    <col min="2312" max="2312" width="23.5703125" customWidth="1"/>
    <col min="2313" max="2314" width="21.85546875" customWidth="1"/>
    <col min="2315" max="2315" width="26.140625" customWidth="1"/>
    <col min="2316" max="2316" width="16.85546875" bestFit="1" customWidth="1"/>
    <col min="2317" max="2317" width="15.5703125" bestFit="1" customWidth="1"/>
    <col min="2318" max="2318" width="24.85546875" customWidth="1"/>
    <col min="2319" max="2319" width="19.85546875" customWidth="1"/>
    <col min="2320" max="2320" width="12.85546875" bestFit="1" customWidth="1"/>
    <col min="2321" max="2321" width="12.5703125" bestFit="1" customWidth="1"/>
    <col min="2322" max="2322" width="10.140625" customWidth="1"/>
    <col min="2561" max="2561" width="25.7109375" customWidth="1"/>
    <col min="2562" max="2562" width="29.85546875" customWidth="1"/>
    <col min="2563" max="2563" width="14.7109375" customWidth="1"/>
    <col min="2564" max="2564" width="13.7109375" customWidth="1"/>
    <col min="2565" max="2565" width="13.140625" customWidth="1"/>
    <col min="2566" max="2566" width="19" customWidth="1"/>
    <col min="2567" max="2567" width="37.42578125" customWidth="1"/>
    <col min="2568" max="2568" width="23.5703125" customWidth="1"/>
    <col min="2569" max="2570" width="21.85546875" customWidth="1"/>
    <col min="2571" max="2571" width="26.140625" customWidth="1"/>
    <col min="2572" max="2572" width="16.85546875" bestFit="1" customWidth="1"/>
    <col min="2573" max="2573" width="15.5703125" bestFit="1" customWidth="1"/>
    <col min="2574" max="2574" width="24.85546875" customWidth="1"/>
    <col min="2575" max="2575" width="19.85546875" customWidth="1"/>
    <col min="2576" max="2576" width="12.85546875" bestFit="1" customWidth="1"/>
    <col min="2577" max="2577" width="12.5703125" bestFit="1" customWidth="1"/>
    <col min="2578" max="2578" width="10.140625" customWidth="1"/>
    <col min="2817" max="2817" width="25.7109375" customWidth="1"/>
    <col min="2818" max="2818" width="29.85546875" customWidth="1"/>
    <col min="2819" max="2819" width="14.7109375" customWidth="1"/>
    <col min="2820" max="2820" width="13.7109375" customWidth="1"/>
    <col min="2821" max="2821" width="13.140625" customWidth="1"/>
    <col min="2822" max="2822" width="19" customWidth="1"/>
    <col min="2823" max="2823" width="37.42578125" customWidth="1"/>
    <col min="2824" max="2824" width="23.5703125" customWidth="1"/>
    <col min="2825" max="2826" width="21.85546875" customWidth="1"/>
    <col min="2827" max="2827" width="26.140625" customWidth="1"/>
    <col min="2828" max="2828" width="16.85546875" bestFit="1" customWidth="1"/>
    <col min="2829" max="2829" width="15.5703125" bestFit="1" customWidth="1"/>
    <col min="2830" max="2830" width="24.85546875" customWidth="1"/>
    <col min="2831" max="2831" width="19.85546875" customWidth="1"/>
    <col min="2832" max="2832" width="12.85546875" bestFit="1" customWidth="1"/>
    <col min="2833" max="2833" width="12.5703125" bestFit="1" customWidth="1"/>
    <col min="2834" max="2834" width="10.140625" customWidth="1"/>
    <col min="3073" max="3073" width="25.7109375" customWidth="1"/>
    <col min="3074" max="3074" width="29.85546875" customWidth="1"/>
    <col min="3075" max="3075" width="14.7109375" customWidth="1"/>
    <col min="3076" max="3076" width="13.7109375" customWidth="1"/>
    <col min="3077" max="3077" width="13.140625" customWidth="1"/>
    <col min="3078" max="3078" width="19" customWidth="1"/>
    <col min="3079" max="3079" width="37.42578125" customWidth="1"/>
    <col min="3080" max="3080" width="23.5703125" customWidth="1"/>
    <col min="3081" max="3082" width="21.85546875" customWidth="1"/>
    <col min="3083" max="3083" width="26.140625" customWidth="1"/>
    <col min="3084" max="3084" width="16.85546875" bestFit="1" customWidth="1"/>
    <col min="3085" max="3085" width="15.5703125" bestFit="1" customWidth="1"/>
    <col min="3086" max="3086" width="24.85546875" customWidth="1"/>
    <col min="3087" max="3087" width="19.85546875" customWidth="1"/>
    <col min="3088" max="3088" width="12.85546875" bestFit="1" customWidth="1"/>
    <col min="3089" max="3089" width="12.5703125" bestFit="1" customWidth="1"/>
    <col min="3090" max="3090" width="10.140625" customWidth="1"/>
    <col min="3329" max="3329" width="25.7109375" customWidth="1"/>
    <col min="3330" max="3330" width="29.85546875" customWidth="1"/>
    <col min="3331" max="3331" width="14.7109375" customWidth="1"/>
    <col min="3332" max="3332" width="13.7109375" customWidth="1"/>
    <col min="3333" max="3333" width="13.140625" customWidth="1"/>
    <col min="3334" max="3334" width="19" customWidth="1"/>
    <col min="3335" max="3335" width="37.42578125" customWidth="1"/>
    <col min="3336" max="3336" width="23.5703125" customWidth="1"/>
    <col min="3337" max="3338" width="21.85546875" customWidth="1"/>
    <col min="3339" max="3339" width="26.140625" customWidth="1"/>
    <col min="3340" max="3340" width="16.85546875" bestFit="1" customWidth="1"/>
    <col min="3341" max="3341" width="15.5703125" bestFit="1" customWidth="1"/>
    <col min="3342" max="3342" width="24.85546875" customWidth="1"/>
    <col min="3343" max="3343" width="19.85546875" customWidth="1"/>
    <col min="3344" max="3344" width="12.85546875" bestFit="1" customWidth="1"/>
    <col min="3345" max="3345" width="12.5703125" bestFit="1" customWidth="1"/>
    <col min="3346" max="3346" width="10.140625" customWidth="1"/>
    <col min="3585" max="3585" width="25.7109375" customWidth="1"/>
    <col min="3586" max="3586" width="29.85546875" customWidth="1"/>
    <col min="3587" max="3587" width="14.7109375" customWidth="1"/>
    <col min="3588" max="3588" width="13.7109375" customWidth="1"/>
    <col min="3589" max="3589" width="13.140625" customWidth="1"/>
    <col min="3590" max="3590" width="19" customWidth="1"/>
    <col min="3591" max="3591" width="37.42578125" customWidth="1"/>
    <col min="3592" max="3592" width="23.5703125" customWidth="1"/>
    <col min="3593" max="3594" width="21.85546875" customWidth="1"/>
    <col min="3595" max="3595" width="26.140625" customWidth="1"/>
    <col min="3596" max="3596" width="16.85546875" bestFit="1" customWidth="1"/>
    <col min="3597" max="3597" width="15.5703125" bestFit="1" customWidth="1"/>
    <col min="3598" max="3598" width="24.85546875" customWidth="1"/>
    <col min="3599" max="3599" width="19.85546875" customWidth="1"/>
    <col min="3600" max="3600" width="12.85546875" bestFit="1" customWidth="1"/>
    <col min="3601" max="3601" width="12.5703125" bestFit="1" customWidth="1"/>
    <col min="3602" max="3602" width="10.140625" customWidth="1"/>
    <col min="3841" max="3841" width="25.7109375" customWidth="1"/>
    <col min="3842" max="3842" width="29.85546875" customWidth="1"/>
    <col min="3843" max="3843" width="14.7109375" customWidth="1"/>
    <col min="3844" max="3844" width="13.7109375" customWidth="1"/>
    <col min="3845" max="3845" width="13.140625" customWidth="1"/>
    <col min="3846" max="3846" width="19" customWidth="1"/>
    <col min="3847" max="3847" width="37.42578125" customWidth="1"/>
    <col min="3848" max="3848" width="23.5703125" customWidth="1"/>
    <col min="3849" max="3850" width="21.85546875" customWidth="1"/>
    <col min="3851" max="3851" width="26.140625" customWidth="1"/>
    <col min="3852" max="3852" width="16.85546875" bestFit="1" customWidth="1"/>
    <col min="3853" max="3853" width="15.5703125" bestFit="1" customWidth="1"/>
    <col min="3854" max="3854" width="24.85546875" customWidth="1"/>
    <col min="3855" max="3855" width="19.85546875" customWidth="1"/>
    <col min="3856" max="3856" width="12.85546875" bestFit="1" customWidth="1"/>
    <col min="3857" max="3857" width="12.5703125" bestFit="1" customWidth="1"/>
    <col min="3858" max="3858" width="10.140625" customWidth="1"/>
    <col min="4097" max="4097" width="25.7109375" customWidth="1"/>
    <col min="4098" max="4098" width="29.85546875" customWidth="1"/>
    <col min="4099" max="4099" width="14.7109375" customWidth="1"/>
    <col min="4100" max="4100" width="13.7109375" customWidth="1"/>
    <col min="4101" max="4101" width="13.140625" customWidth="1"/>
    <col min="4102" max="4102" width="19" customWidth="1"/>
    <col min="4103" max="4103" width="37.42578125" customWidth="1"/>
    <col min="4104" max="4104" width="23.5703125" customWidth="1"/>
    <col min="4105" max="4106" width="21.85546875" customWidth="1"/>
    <col min="4107" max="4107" width="26.140625" customWidth="1"/>
    <col min="4108" max="4108" width="16.85546875" bestFit="1" customWidth="1"/>
    <col min="4109" max="4109" width="15.5703125" bestFit="1" customWidth="1"/>
    <col min="4110" max="4110" width="24.85546875" customWidth="1"/>
    <col min="4111" max="4111" width="19.85546875" customWidth="1"/>
    <col min="4112" max="4112" width="12.85546875" bestFit="1" customWidth="1"/>
    <col min="4113" max="4113" width="12.5703125" bestFit="1" customWidth="1"/>
    <col min="4114" max="4114" width="10.140625" customWidth="1"/>
    <col min="4353" max="4353" width="25.7109375" customWidth="1"/>
    <col min="4354" max="4354" width="29.85546875" customWidth="1"/>
    <col min="4355" max="4355" width="14.7109375" customWidth="1"/>
    <col min="4356" max="4356" width="13.7109375" customWidth="1"/>
    <col min="4357" max="4357" width="13.140625" customWidth="1"/>
    <col min="4358" max="4358" width="19" customWidth="1"/>
    <col min="4359" max="4359" width="37.42578125" customWidth="1"/>
    <col min="4360" max="4360" width="23.5703125" customWidth="1"/>
    <col min="4361" max="4362" width="21.85546875" customWidth="1"/>
    <col min="4363" max="4363" width="26.140625" customWidth="1"/>
    <col min="4364" max="4364" width="16.85546875" bestFit="1" customWidth="1"/>
    <col min="4365" max="4365" width="15.5703125" bestFit="1" customWidth="1"/>
    <col min="4366" max="4366" width="24.85546875" customWidth="1"/>
    <col min="4367" max="4367" width="19.85546875" customWidth="1"/>
    <col min="4368" max="4368" width="12.85546875" bestFit="1" customWidth="1"/>
    <col min="4369" max="4369" width="12.5703125" bestFit="1" customWidth="1"/>
    <col min="4370" max="4370" width="10.140625" customWidth="1"/>
    <col min="4609" max="4609" width="25.7109375" customWidth="1"/>
    <col min="4610" max="4610" width="29.85546875" customWidth="1"/>
    <col min="4611" max="4611" width="14.7109375" customWidth="1"/>
    <col min="4612" max="4612" width="13.7109375" customWidth="1"/>
    <col min="4613" max="4613" width="13.140625" customWidth="1"/>
    <col min="4614" max="4614" width="19" customWidth="1"/>
    <col min="4615" max="4615" width="37.42578125" customWidth="1"/>
    <col min="4616" max="4616" width="23.5703125" customWidth="1"/>
    <col min="4617" max="4618" width="21.85546875" customWidth="1"/>
    <col min="4619" max="4619" width="26.140625" customWidth="1"/>
    <col min="4620" max="4620" width="16.85546875" bestFit="1" customWidth="1"/>
    <col min="4621" max="4621" width="15.5703125" bestFit="1" customWidth="1"/>
    <col min="4622" max="4622" width="24.85546875" customWidth="1"/>
    <col min="4623" max="4623" width="19.85546875" customWidth="1"/>
    <col min="4624" max="4624" width="12.85546875" bestFit="1" customWidth="1"/>
    <col min="4625" max="4625" width="12.5703125" bestFit="1" customWidth="1"/>
    <col min="4626" max="4626" width="10.140625" customWidth="1"/>
    <col min="4865" max="4865" width="25.7109375" customWidth="1"/>
    <col min="4866" max="4866" width="29.85546875" customWidth="1"/>
    <col min="4867" max="4867" width="14.7109375" customWidth="1"/>
    <col min="4868" max="4868" width="13.7109375" customWidth="1"/>
    <col min="4869" max="4869" width="13.140625" customWidth="1"/>
    <col min="4870" max="4870" width="19" customWidth="1"/>
    <col min="4871" max="4871" width="37.42578125" customWidth="1"/>
    <col min="4872" max="4872" width="23.5703125" customWidth="1"/>
    <col min="4873" max="4874" width="21.85546875" customWidth="1"/>
    <col min="4875" max="4875" width="26.140625" customWidth="1"/>
    <col min="4876" max="4876" width="16.85546875" bestFit="1" customWidth="1"/>
    <col min="4877" max="4877" width="15.5703125" bestFit="1" customWidth="1"/>
    <col min="4878" max="4878" width="24.85546875" customWidth="1"/>
    <col min="4879" max="4879" width="19.85546875" customWidth="1"/>
    <col min="4880" max="4880" width="12.85546875" bestFit="1" customWidth="1"/>
    <col min="4881" max="4881" width="12.5703125" bestFit="1" customWidth="1"/>
    <col min="4882" max="4882" width="10.140625" customWidth="1"/>
    <col min="5121" max="5121" width="25.7109375" customWidth="1"/>
    <col min="5122" max="5122" width="29.85546875" customWidth="1"/>
    <col min="5123" max="5123" width="14.7109375" customWidth="1"/>
    <col min="5124" max="5124" width="13.7109375" customWidth="1"/>
    <col min="5125" max="5125" width="13.140625" customWidth="1"/>
    <col min="5126" max="5126" width="19" customWidth="1"/>
    <col min="5127" max="5127" width="37.42578125" customWidth="1"/>
    <col min="5128" max="5128" width="23.5703125" customWidth="1"/>
    <col min="5129" max="5130" width="21.85546875" customWidth="1"/>
    <col min="5131" max="5131" width="26.140625" customWidth="1"/>
    <col min="5132" max="5132" width="16.85546875" bestFit="1" customWidth="1"/>
    <col min="5133" max="5133" width="15.5703125" bestFit="1" customWidth="1"/>
    <col min="5134" max="5134" width="24.85546875" customWidth="1"/>
    <col min="5135" max="5135" width="19.85546875" customWidth="1"/>
    <col min="5136" max="5136" width="12.85546875" bestFit="1" customWidth="1"/>
    <col min="5137" max="5137" width="12.5703125" bestFit="1" customWidth="1"/>
    <col min="5138" max="5138" width="10.140625" customWidth="1"/>
    <col min="5377" max="5377" width="25.7109375" customWidth="1"/>
    <col min="5378" max="5378" width="29.85546875" customWidth="1"/>
    <col min="5379" max="5379" width="14.7109375" customWidth="1"/>
    <col min="5380" max="5380" width="13.7109375" customWidth="1"/>
    <col min="5381" max="5381" width="13.140625" customWidth="1"/>
    <col min="5382" max="5382" width="19" customWidth="1"/>
    <col min="5383" max="5383" width="37.42578125" customWidth="1"/>
    <col min="5384" max="5384" width="23.5703125" customWidth="1"/>
    <col min="5385" max="5386" width="21.85546875" customWidth="1"/>
    <col min="5387" max="5387" width="26.140625" customWidth="1"/>
    <col min="5388" max="5388" width="16.85546875" bestFit="1" customWidth="1"/>
    <col min="5389" max="5389" width="15.5703125" bestFit="1" customWidth="1"/>
    <col min="5390" max="5390" width="24.85546875" customWidth="1"/>
    <col min="5391" max="5391" width="19.85546875" customWidth="1"/>
    <col min="5392" max="5392" width="12.85546875" bestFit="1" customWidth="1"/>
    <col min="5393" max="5393" width="12.5703125" bestFit="1" customWidth="1"/>
    <col min="5394" max="5394" width="10.140625" customWidth="1"/>
    <col min="5633" max="5633" width="25.7109375" customWidth="1"/>
    <col min="5634" max="5634" width="29.85546875" customWidth="1"/>
    <col min="5635" max="5635" width="14.7109375" customWidth="1"/>
    <col min="5636" max="5636" width="13.7109375" customWidth="1"/>
    <col min="5637" max="5637" width="13.140625" customWidth="1"/>
    <col min="5638" max="5638" width="19" customWidth="1"/>
    <col min="5639" max="5639" width="37.42578125" customWidth="1"/>
    <col min="5640" max="5640" width="23.5703125" customWidth="1"/>
    <col min="5641" max="5642" width="21.85546875" customWidth="1"/>
    <col min="5643" max="5643" width="26.140625" customWidth="1"/>
    <col min="5644" max="5644" width="16.85546875" bestFit="1" customWidth="1"/>
    <col min="5645" max="5645" width="15.5703125" bestFit="1" customWidth="1"/>
    <col min="5646" max="5646" width="24.85546875" customWidth="1"/>
    <col min="5647" max="5647" width="19.85546875" customWidth="1"/>
    <col min="5648" max="5648" width="12.85546875" bestFit="1" customWidth="1"/>
    <col min="5649" max="5649" width="12.5703125" bestFit="1" customWidth="1"/>
    <col min="5650" max="5650" width="10.140625" customWidth="1"/>
    <col min="5889" max="5889" width="25.7109375" customWidth="1"/>
    <col min="5890" max="5890" width="29.85546875" customWidth="1"/>
    <col min="5891" max="5891" width="14.7109375" customWidth="1"/>
    <col min="5892" max="5892" width="13.7109375" customWidth="1"/>
    <col min="5893" max="5893" width="13.140625" customWidth="1"/>
    <col min="5894" max="5894" width="19" customWidth="1"/>
    <col min="5895" max="5895" width="37.42578125" customWidth="1"/>
    <col min="5896" max="5896" width="23.5703125" customWidth="1"/>
    <col min="5897" max="5898" width="21.85546875" customWidth="1"/>
    <col min="5899" max="5899" width="26.140625" customWidth="1"/>
    <col min="5900" max="5900" width="16.85546875" bestFit="1" customWidth="1"/>
    <col min="5901" max="5901" width="15.5703125" bestFit="1" customWidth="1"/>
    <col min="5902" max="5902" width="24.85546875" customWidth="1"/>
    <col min="5903" max="5903" width="19.85546875" customWidth="1"/>
    <col min="5904" max="5904" width="12.85546875" bestFit="1" customWidth="1"/>
    <col min="5905" max="5905" width="12.5703125" bestFit="1" customWidth="1"/>
    <col min="5906" max="5906" width="10.140625" customWidth="1"/>
    <col min="6145" max="6145" width="25.7109375" customWidth="1"/>
    <col min="6146" max="6146" width="29.85546875" customWidth="1"/>
    <col min="6147" max="6147" width="14.7109375" customWidth="1"/>
    <col min="6148" max="6148" width="13.7109375" customWidth="1"/>
    <col min="6149" max="6149" width="13.140625" customWidth="1"/>
    <col min="6150" max="6150" width="19" customWidth="1"/>
    <col min="6151" max="6151" width="37.42578125" customWidth="1"/>
    <col min="6152" max="6152" width="23.5703125" customWidth="1"/>
    <col min="6153" max="6154" width="21.85546875" customWidth="1"/>
    <col min="6155" max="6155" width="26.140625" customWidth="1"/>
    <col min="6156" max="6156" width="16.85546875" bestFit="1" customWidth="1"/>
    <col min="6157" max="6157" width="15.5703125" bestFit="1" customWidth="1"/>
    <col min="6158" max="6158" width="24.85546875" customWidth="1"/>
    <col min="6159" max="6159" width="19.85546875" customWidth="1"/>
    <col min="6160" max="6160" width="12.85546875" bestFit="1" customWidth="1"/>
    <col min="6161" max="6161" width="12.5703125" bestFit="1" customWidth="1"/>
    <col min="6162" max="6162" width="10.140625" customWidth="1"/>
    <col min="6401" max="6401" width="25.7109375" customWidth="1"/>
    <col min="6402" max="6402" width="29.85546875" customWidth="1"/>
    <col min="6403" max="6403" width="14.7109375" customWidth="1"/>
    <col min="6404" max="6404" width="13.7109375" customWidth="1"/>
    <col min="6405" max="6405" width="13.140625" customWidth="1"/>
    <col min="6406" max="6406" width="19" customWidth="1"/>
    <col min="6407" max="6407" width="37.42578125" customWidth="1"/>
    <col min="6408" max="6408" width="23.5703125" customWidth="1"/>
    <col min="6409" max="6410" width="21.85546875" customWidth="1"/>
    <col min="6411" max="6411" width="26.140625" customWidth="1"/>
    <col min="6412" max="6412" width="16.85546875" bestFit="1" customWidth="1"/>
    <col min="6413" max="6413" width="15.5703125" bestFit="1" customWidth="1"/>
    <col min="6414" max="6414" width="24.85546875" customWidth="1"/>
    <col min="6415" max="6415" width="19.85546875" customWidth="1"/>
    <col min="6416" max="6416" width="12.85546875" bestFit="1" customWidth="1"/>
    <col min="6417" max="6417" width="12.5703125" bestFit="1" customWidth="1"/>
    <col min="6418" max="6418" width="10.140625" customWidth="1"/>
    <col min="6657" max="6657" width="25.7109375" customWidth="1"/>
    <col min="6658" max="6658" width="29.85546875" customWidth="1"/>
    <col min="6659" max="6659" width="14.7109375" customWidth="1"/>
    <col min="6660" max="6660" width="13.7109375" customWidth="1"/>
    <col min="6661" max="6661" width="13.140625" customWidth="1"/>
    <col min="6662" max="6662" width="19" customWidth="1"/>
    <col min="6663" max="6663" width="37.42578125" customWidth="1"/>
    <col min="6664" max="6664" width="23.5703125" customWidth="1"/>
    <col min="6665" max="6666" width="21.85546875" customWidth="1"/>
    <col min="6667" max="6667" width="26.140625" customWidth="1"/>
    <col min="6668" max="6668" width="16.85546875" bestFit="1" customWidth="1"/>
    <col min="6669" max="6669" width="15.5703125" bestFit="1" customWidth="1"/>
    <col min="6670" max="6670" width="24.85546875" customWidth="1"/>
    <col min="6671" max="6671" width="19.85546875" customWidth="1"/>
    <col min="6672" max="6672" width="12.85546875" bestFit="1" customWidth="1"/>
    <col min="6673" max="6673" width="12.5703125" bestFit="1" customWidth="1"/>
    <col min="6674" max="6674" width="10.140625" customWidth="1"/>
    <col min="6913" max="6913" width="25.7109375" customWidth="1"/>
    <col min="6914" max="6914" width="29.85546875" customWidth="1"/>
    <col min="6915" max="6915" width="14.7109375" customWidth="1"/>
    <col min="6916" max="6916" width="13.7109375" customWidth="1"/>
    <col min="6917" max="6917" width="13.140625" customWidth="1"/>
    <col min="6918" max="6918" width="19" customWidth="1"/>
    <col min="6919" max="6919" width="37.42578125" customWidth="1"/>
    <col min="6920" max="6920" width="23.5703125" customWidth="1"/>
    <col min="6921" max="6922" width="21.85546875" customWidth="1"/>
    <col min="6923" max="6923" width="26.140625" customWidth="1"/>
    <col min="6924" max="6924" width="16.85546875" bestFit="1" customWidth="1"/>
    <col min="6925" max="6925" width="15.5703125" bestFit="1" customWidth="1"/>
    <col min="6926" max="6926" width="24.85546875" customWidth="1"/>
    <col min="6927" max="6927" width="19.85546875" customWidth="1"/>
    <col min="6928" max="6928" width="12.85546875" bestFit="1" customWidth="1"/>
    <col min="6929" max="6929" width="12.5703125" bestFit="1" customWidth="1"/>
    <col min="6930" max="6930" width="10.140625" customWidth="1"/>
    <col min="7169" max="7169" width="25.7109375" customWidth="1"/>
    <col min="7170" max="7170" width="29.85546875" customWidth="1"/>
    <col min="7171" max="7171" width="14.7109375" customWidth="1"/>
    <col min="7172" max="7172" width="13.7109375" customWidth="1"/>
    <col min="7173" max="7173" width="13.140625" customWidth="1"/>
    <col min="7174" max="7174" width="19" customWidth="1"/>
    <col min="7175" max="7175" width="37.42578125" customWidth="1"/>
    <col min="7176" max="7176" width="23.5703125" customWidth="1"/>
    <col min="7177" max="7178" width="21.85546875" customWidth="1"/>
    <col min="7179" max="7179" width="26.140625" customWidth="1"/>
    <col min="7180" max="7180" width="16.85546875" bestFit="1" customWidth="1"/>
    <col min="7181" max="7181" width="15.5703125" bestFit="1" customWidth="1"/>
    <col min="7182" max="7182" width="24.85546875" customWidth="1"/>
    <col min="7183" max="7183" width="19.85546875" customWidth="1"/>
    <col min="7184" max="7184" width="12.85546875" bestFit="1" customWidth="1"/>
    <col min="7185" max="7185" width="12.5703125" bestFit="1" customWidth="1"/>
    <col min="7186" max="7186" width="10.140625" customWidth="1"/>
    <col min="7425" max="7425" width="25.7109375" customWidth="1"/>
    <col min="7426" max="7426" width="29.85546875" customWidth="1"/>
    <col min="7427" max="7427" width="14.7109375" customWidth="1"/>
    <col min="7428" max="7428" width="13.7109375" customWidth="1"/>
    <col min="7429" max="7429" width="13.140625" customWidth="1"/>
    <col min="7430" max="7430" width="19" customWidth="1"/>
    <col min="7431" max="7431" width="37.42578125" customWidth="1"/>
    <col min="7432" max="7432" width="23.5703125" customWidth="1"/>
    <col min="7433" max="7434" width="21.85546875" customWidth="1"/>
    <col min="7435" max="7435" width="26.140625" customWidth="1"/>
    <col min="7436" max="7436" width="16.85546875" bestFit="1" customWidth="1"/>
    <col min="7437" max="7437" width="15.5703125" bestFit="1" customWidth="1"/>
    <col min="7438" max="7438" width="24.85546875" customWidth="1"/>
    <col min="7439" max="7439" width="19.85546875" customWidth="1"/>
    <col min="7440" max="7440" width="12.85546875" bestFit="1" customWidth="1"/>
    <col min="7441" max="7441" width="12.5703125" bestFit="1" customWidth="1"/>
    <col min="7442" max="7442" width="10.140625" customWidth="1"/>
    <col min="7681" max="7681" width="25.7109375" customWidth="1"/>
    <col min="7682" max="7682" width="29.85546875" customWidth="1"/>
    <col min="7683" max="7683" width="14.7109375" customWidth="1"/>
    <col min="7684" max="7684" width="13.7109375" customWidth="1"/>
    <col min="7685" max="7685" width="13.140625" customWidth="1"/>
    <col min="7686" max="7686" width="19" customWidth="1"/>
    <col min="7687" max="7687" width="37.42578125" customWidth="1"/>
    <col min="7688" max="7688" width="23.5703125" customWidth="1"/>
    <col min="7689" max="7690" width="21.85546875" customWidth="1"/>
    <col min="7691" max="7691" width="26.140625" customWidth="1"/>
    <col min="7692" max="7692" width="16.85546875" bestFit="1" customWidth="1"/>
    <col min="7693" max="7693" width="15.5703125" bestFit="1" customWidth="1"/>
    <col min="7694" max="7694" width="24.85546875" customWidth="1"/>
    <col min="7695" max="7695" width="19.85546875" customWidth="1"/>
    <col min="7696" max="7696" width="12.85546875" bestFit="1" customWidth="1"/>
    <col min="7697" max="7697" width="12.5703125" bestFit="1" customWidth="1"/>
    <col min="7698" max="7698" width="10.140625" customWidth="1"/>
    <col min="7937" max="7937" width="25.7109375" customWidth="1"/>
    <col min="7938" max="7938" width="29.85546875" customWidth="1"/>
    <col min="7939" max="7939" width="14.7109375" customWidth="1"/>
    <col min="7940" max="7940" width="13.7109375" customWidth="1"/>
    <col min="7941" max="7941" width="13.140625" customWidth="1"/>
    <col min="7942" max="7942" width="19" customWidth="1"/>
    <col min="7943" max="7943" width="37.42578125" customWidth="1"/>
    <col min="7944" max="7944" width="23.5703125" customWidth="1"/>
    <col min="7945" max="7946" width="21.85546875" customWidth="1"/>
    <col min="7947" max="7947" width="26.140625" customWidth="1"/>
    <col min="7948" max="7948" width="16.85546875" bestFit="1" customWidth="1"/>
    <col min="7949" max="7949" width="15.5703125" bestFit="1" customWidth="1"/>
    <col min="7950" max="7950" width="24.85546875" customWidth="1"/>
    <col min="7951" max="7951" width="19.85546875" customWidth="1"/>
    <col min="7952" max="7952" width="12.85546875" bestFit="1" customWidth="1"/>
    <col min="7953" max="7953" width="12.5703125" bestFit="1" customWidth="1"/>
    <col min="7954" max="7954" width="10.140625" customWidth="1"/>
    <col min="8193" max="8193" width="25.7109375" customWidth="1"/>
    <col min="8194" max="8194" width="29.85546875" customWidth="1"/>
    <col min="8195" max="8195" width="14.7109375" customWidth="1"/>
    <col min="8196" max="8196" width="13.7109375" customWidth="1"/>
    <col min="8197" max="8197" width="13.140625" customWidth="1"/>
    <col min="8198" max="8198" width="19" customWidth="1"/>
    <col min="8199" max="8199" width="37.42578125" customWidth="1"/>
    <col min="8200" max="8200" width="23.5703125" customWidth="1"/>
    <col min="8201" max="8202" width="21.85546875" customWidth="1"/>
    <col min="8203" max="8203" width="26.140625" customWidth="1"/>
    <col min="8204" max="8204" width="16.85546875" bestFit="1" customWidth="1"/>
    <col min="8205" max="8205" width="15.5703125" bestFit="1" customWidth="1"/>
    <col min="8206" max="8206" width="24.85546875" customWidth="1"/>
    <col min="8207" max="8207" width="19.85546875" customWidth="1"/>
    <col min="8208" max="8208" width="12.85546875" bestFit="1" customWidth="1"/>
    <col min="8209" max="8209" width="12.5703125" bestFit="1" customWidth="1"/>
    <col min="8210" max="8210" width="10.140625" customWidth="1"/>
    <col min="8449" max="8449" width="25.7109375" customWidth="1"/>
    <col min="8450" max="8450" width="29.85546875" customWidth="1"/>
    <col min="8451" max="8451" width="14.7109375" customWidth="1"/>
    <col min="8452" max="8452" width="13.7109375" customWidth="1"/>
    <col min="8453" max="8453" width="13.140625" customWidth="1"/>
    <col min="8454" max="8454" width="19" customWidth="1"/>
    <col min="8455" max="8455" width="37.42578125" customWidth="1"/>
    <col min="8456" max="8456" width="23.5703125" customWidth="1"/>
    <col min="8457" max="8458" width="21.85546875" customWidth="1"/>
    <col min="8459" max="8459" width="26.140625" customWidth="1"/>
    <col min="8460" max="8460" width="16.85546875" bestFit="1" customWidth="1"/>
    <col min="8461" max="8461" width="15.5703125" bestFit="1" customWidth="1"/>
    <col min="8462" max="8462" width="24.85546875" customWidth="1"/>
    <col min="8463" max="8463" width="19.85546875" customWidth="1"/>
    <col min="8464" max="8464" width="12.85546875" bestFit="1" customWidth="1"/>
    <col min="8465" max="8465" width="12.5703125" bestFit="1" customWidth="1"/>
    <col min="8466" max="8466" width="10.140625" customWidth="1"/>
    <col min="8705" max="8705" width="25.7109375" customWidth="1"/>
    <col min="8706" max="8706" width="29.85546875" customWidth="1"/>
    <col min="8707" max="8707" width="14.7109375" customWidth="1"/>
    <col min="8708" max="8708" width="13.7109375" customWidth="1"/>
    <col min="8709" max="8709" width="13.140625" customWidth="1"/>
    <col min="8710" max="8710" width="19" customWidth="1"/>
    <col min="8711" max="8711" width="37.42578125" customWidth="1"/>
    <col min="8712" max="8712" width="23.5703125" customWidth="1"/>
    <col min="8713" max="8714" width="21.85546875" customWidth="1"/>
    <col min="8715" max="8715" width="26.140625" customWidth="1"/>
    <col min="8716" max="8716" width="16.85546875" bestFit="1" customWidth="1"/>
    <col min="8717" max="8717" width="15.5703125" bestFit="1" customWidth="1"/>
    <col min="8718" max="8718" width="24.85546875" customWidth="1"/>
    <col min="8719" max="8719" width="19.85546875" customWidth="1"/>
    <col min="8720" max="8720" width="12.85546875" bestFit="1" customWidth="1"/>
    <col min="8721" max="8721" width="12.5703125" bestFit="1" customWidth="1"/>
    <col min="8722" max="8722" width="10.140625" customWidth="1"/>
    <col min="8961" max="8961" width="25.7109375" customWidth="1"/>
    <col min="8962" max="8962" width="29.85546875" customWidth="1"/>
    <col min="8963" max="8963" width="14.7109375" customWidth="1"/>
    <col min="8964" max="8964" width="13.7109375" customWidth="1"/>
    <col min="8965" max="8965" width="13.140625" customWidth="1"/>
    <col min="8966" max="8966" width="19" customWidth="1"/>
    <col min="8967" max="8967" width="37.42578125" customWidth="1"/>
    <col min="8968" max="8968" width="23.5703125" customWidth="1"/>
    <col min="8969" max="8970" width="21.85546875" customWidth="1"/>
    <col min="8971" max="8971" width="26.140625" customWidth="1"/>
    <col min="8972" max="8972" width="16.85546875" bestFit="1" customWidth="1"/>
    <col min="8973" max="8973" width="15.5703125" bestFit="1" customWidth="1"/>
    <col min="8974" max="8974" width="24.85546875" customWidth="1"/>
    <col min="8975" max="8975" width="19.85546875" customWidth="1"/>
    <col min="8976" max="8976" width="12.85546875" bestFit="1" customWidth="1"/>
    <col min="8977" max="8977" width="12.5703125" bestFit="1" customWidth="1"/>
    <col min="8978" max="8978" width="10.140625" customWidth="1"/>
    <col min="9217" max="9217" width="25.7109375" customWidth="1"/>
    <col min="9218" max="9218" width="29.85546875" customWidth="1"/>
    <col min="9219" max="9219" width="14.7109375" customWidth="1"/>
    <col min="9220" max="9220" width="13.7109375" customWidth="1"/>
    <col min="9221" max="9221" width="13.140625" customWidth="1"/>
    <col min="9222" max="9222" width="19" customWidth="1"/>
    <col min="9223" max="9223" width="37.42578125" customWidth="1"/>
    <col min="9224" max="9224" width="23.5703125" customWidth="1"/>
    <col min="9225" max="9226" width="21.85546875" customWidth="1"/>
    <col min="9227" max="9227" width="26.140625" customWidth="1"/>
    <col min="9228" max="9228" width="16.85546875" bestFit="1" customWidth="1"/>
    <col min="9229" max="9229" width="15.5703125" bestFit="1" customWidth="1"/>
    <col min="9230" max="9230" width="24.85546875" customWidth="1"/>
    <col min="9231" max="9231" width="19.85546875" customWidth="1"/>
    <col min="9232" max="9232" width="12.85546875" bestFit="1" customWidth="1"/>
    <col min="9233" max="9233" width="12.5703125" bestFit="1" customWidth="1"/>
    <col min="9234" max="9234" width="10.140625" customWidth="1"/>
    <col min="9473" max="9473" width="25.7109375" customWidth="1"/>
    <col min="9474" max="9474" width="29.85546875" customWidth="1"/>
    <col min="9475" max="9475" width="14.7109375" customWidth="1"/>
    <col min="9476" max="9476" width="13.7109375" customWidth="1"/>
    <col min="9477" max="9477" width="13.140625" customWidth="1"/>
    <col min="9478" max="9478" width="19" customWidth="1"/>
    <col min="9479" max="9479" width="37.42578125" customWidth="1"/>
    <col min="9480" max="9480" width="23.5703125" customWidth="1"/>
    <col min="9481" max="9482" width="21.85546875" customWidth="1"/>
    <col min="9483" max="9483" width="26.140625" customWidth="1"/>
    <col min="9484" max="9484" width="16.85546875" bestFit="1" customWidth="1"/>
    <col min="9485" max="9485" width="15.5703125" bestFit="1" customWidth="1"/>
    <col min="9486" max="9486" width="24.85546875" customWidth="1"/>
    <col min="9487" max="9487" width="19.85546875" customWidth="1"/>
    <col min="9488" max="9488" width="12.85546875" bestFit="1" customWidth="1"/>
    <col min="9489" max="9489" width="12.5703125" bestFit="1" customWidth="1"/>
    <col min="9490" max="9490" width="10.140625" customWidth="1"/>
    <col min="9729" max="9729" width="25.7109375" customWidth="1"/>
    <col min="9730" max="9730" width="29.85546875" customWidth="1"/>
    <col min="9731" max="9731" width="14.7109375" customWidth="1"/>
    <col min="9732" max="9732" width="13.7109375" customWidth="1"/>
    <col min="9733" max="9733" width="13.140625" customWidth="1"/>
    <col min="9734" max="9734" width="19" customWidth="1"/>
    <col min="9735" max="9735" width="37.42578125" customWidth="1"/>
    <col min="9736" max="9736" width="23.5703125" customWidth="1"/>
    <col min="9737" max="9738" width="21.85546875" customWidth="1"/>
    <col min="9739" max="9739" width="26.140625" customWidth="1"/>
    <col min="9740" max="9740" width="16.85546875" bestFit="1" customWidth="1"/>
    <col min="9741" max="9741" width="15.5703125" bestFit="1" customWidth="1"/>
    <col min="9742" max="9742" width="24.85546875" customWidth="1"/>
    <col min="9743" max="9743" width="19.85546875" customWidth="1"/>
    <col min="9744" max="9744" width="12.85546875" bestFit="1" customWidth="1"/>
    <col min="9745" max="9745" width="12.5703125" bestFit="1" customWidth="1"/>
    <col min="9746" max="9746" width="10.140625" customWidth="1"/>
    <col min="9985" max="9985" width="25.7109375" customWidth="1"/>
    <col min="9986" max="9986" width="29.85546875" customWidth="1"/>
    <col min="9987" max="9987" width="14.7109375" customWidth="1"/>
    <col min="9988" max="9988" width="13.7109375" customWidth="1"/>
    <col min="9989" max="9989" width="13.140625" customWidth="1"/>
    <col min="9990" max="9990" width="19" customWidth="1"/>
    <col min="9991" max="9991" width="37.42578125" customWidth="1"/>
    <col min="9992" max="9992" width="23.5703125" customWidth="1"/>
    <col min="9993" max="9994" width="21.85546875" customWidth="1"/>
    <col min="9995" max="9995" width="26.140625" customWidth="1"/>
    <col min="9996" max="9996" width="16.85546875" bestFit="1" customWidth="1"/>
    <col min="9997" max="9997" width="15.5703125" bestFit="1" customWidth="1"/>
    <col min="9998" max="9998" width="24.85546875" customWidth="1"/>
    <col min="9999" max="9999" width="19.85546875" customWidth="1"/>
    <col min="10000" max="10000" width="12.85546875" bestFit="1" customWidth="1"/>
    <col min="10001" max="10001" width="12.5703125" bestFit="1" customWidth="1"/>
    <col min="10002" max="10002" width="10.140625" customWidth="1"/>
    <col min="10241" max="10241" width="25.7109375" customWidth="1"/>
    <col min="10242" max="10242" width="29.85546875" customWidth="1"/>
    <col min="10243" max="10243" width="14.7109375" customWidth="1"/>
    <col min="10244" max="10244" width="13.7109375" customWidth="1"/>
    <col min="10245" max="10245" width="13.140625" customWidth="1"/>
    <col min="10246" max="10246" width="19" customWidth="1"/>
    <col min="10247" max="10247" width="37.42578125" customWidth="1"/>
    <col min="10248" max="10248" width="23.5703125" customWidth="1"/>
    <col min="10249" max="10250" width="21.85546875" customWidth="1"/>
    <col min="10251" max="10251" width="26.140625" customWidth="1"/>
    <col min="10252" max="10252" width="16.85546875" bestFit="1" customWidth="1"/>
    <col min="10253" max="10253" width="15.5703125" bestFit="1" customWidth="1"/>
    <col min="10254" max="10254" width="24.85546875" customWidth="1"/>
    <col min="10255" max="10255" width="19.85546875" customWidth="1"/>
    <col min="10256" max="10256" width="12.85546875" bestFit="1" customWidth="1"/>
    <col min="10257" max="10257" width="12.5703125" bestFit="1" customWidth="1"/>
    <col min="10258" max="10258" width="10.140625" customWidth="1"/>
    <col min="10497" max="10497" width="25.7109375" customWidth="1"/>
    <col min="10498" max="10498" width="29.85546875" customWidth="1"/>
    <col min="10499" max="10499" width="14.7109375" customWidth="1"/>
    <col min="10500" max="10500" width="13.7109375" customWidth="1"/>
    <col min="10501" max="10501" width="13.140625" customWidth="1"/>
    <col min="10502" max="10502" width="19" customWidth="1"/>
    <col min="10503" max="10503" width="37.42578125" customWidth="1"/>
    <col min="10504" max="10504" width="23.5703125" customWidth="1"/>
    <col min="10505" max="10506" width="21.85546875" customWidth="1"/>
    <col min="10507" max="10507" width="26.140625" customWidth="1"/>
    <col min="10508" max="10508" width="16.85546875" bestFit="1" customWidth="1"/>
    <col min="10509" max="10509" width="15.5703125" bestFit="1" customWidth="1"/>
    <col min="10510" max="10510" width="24.85546875" customWidth="1"/>
    <col min="10511" max="10511" width="19.85546875" customWidth="1"/>
    <col min="10512" max="10512" width="12.85546875" bestFit="1" customWidth="1"/>
    <col min="10513" max="10513" width="12.5703125" bestFit="1" customWidth="1"/>
    <col min="10514" max="10514" width="10.140625" customWidth="1"/>
    <col min="10753" max="10753" width="25.7109375" customWidth="1"/>
    <col min="10754" max="10754" width="29.85546875" customWidth="1"/>
    <col min="10755" max="10755" width="14.7109375" customWidth="1"/>
    <col min="10756" max="10756" width="13.7109375" customWidth="1"/>
    <col min="10757" max="10757" width="13.140625" customWidth="1"/>
    <col min="10758" max="10758" width="19" customWidth="1"/>
    <col min="10759" max="10759" width="37.42578125" customWidth="1"/>
    <col min="10760" max="10760" width="23.5703125" customWidth="1"/>
    <col min="10761" max="10762" width="21.85546875" customWidth="1"/>
    <col min="10763" max="10763" width="26.140625" customWidth="1"/>
    <col min="10764" max="10764" width="16.85546875" bestFit="1" customWidth="1"/>
    <col min="10765" max="10765" width="15.5703125" bestFit="1" customWidth="1"/>
    <col min="10766" max="10766" width="24.85546875" customWidth="1"/>
    <col min="10767" max="10767" width="19.85546875" customWidth="1"/>
    <col min="10768" max="10768" width="12.85546875" bestFit="1" customWidth="1"/>
    <col min="10769" max="10769" width="12.5703125" bestFit="1" customWidth="1"/>
    <col min="10770" max="10770" width="10.140625" customWidth="1"/>
    <col min="11009" max="11009" width="25.7109375" customWidth="1"/>
    <col min="11010" max="11010" width="29.85546875" customWidth="1"/>
    <col min="11011" max="11011" width="14.7109375" customWidth="1"/>
    <col min="11012" max="11012" width="13.7109375" customWidth="1"/>
    <col min="11013" max="11013" width="13.140625" customWidth="1"/>
    <col min="11014" max="11014" width="19" customWidth="1"/>
    <col min="11015" max="11015" width="37.42578125" customWidth="1"/>
    <col min="11016" max="11016" width="23.5703125" customWidth="1"/>
    <col min="11017" max="11018" width="21.85546875" customWidth="1"/>
    <col min="11019" max="11019" width="26.140625" customWidth="1"/>
    <col min="11020" max="11020" width="16.85546875" bestFit="1" customWidth="1"/>
    <col min="11021" max="11021" width="15.5703125" bestFit="1" customWidth="1"/>
    <col min="11022" max="11022" width="24.85546875" customWidth="1"/>
    <col min="11023" max="11023" width="19.85546875" customWidth="1"/>
    <col min="11024" max="11024" width="12.85546875" bestFit="1" customWidth="1"/>
    <col min="11025" max="11025" width="12.5703125" bestFit="1" customWidth="1"/>
    <col min="11026" max="11026" width="10.140625" customWidth="1"/>
    <col min="11265" max="11265" width="25.7109375" customWidth="1"/>
    <col min="11266" max="11266" width="29.85546875" customWidth="1"/>
    <col min="11267" max="11267" width="14.7109375" customWidth="1"/>
    <col min="11268" max="11268" width="13.7109375" customWidth="1"/>
    <col min="11269" max="11269" width="13.140625" customWidth="1"/>
    <col min="11270" max="11270" width="19" customWidth="1"/>
    <col min="11271" max="11271" width="37.42578125" customWidth="1"/>
    <col min="11272" max="11272" width="23.5703125" customWidth="1"/>
    <col min="11273" max="11274" width="21.85546875" customWidth="1"/>
    <col min="11275" max="11275" width="26.140625" customWidth="1"/>
    <col min="11276" max="11276" width="16.85546875" bestFit="1" customWidth="1"/>
    <col min="11277" max="11277" width="15.5703125" bestFit="1" customWidth="1"/>
    <col min="11278" max="11278" width="24.85546875" customWidth="1"/>
    <col min="11279" max="11279" width="19.85546875" customWidth="1"/>
    <col min="11280" max="11280" width="12.85546875" bestFit="1" customWidth="1"/>
    <col min="11281" max="11281" width="12.5703125" bestFit="1" customWidth="1"/>
    <col min="11282" max="11282" width="10.140625" customWidth="1"/>
    <col min="11521" max="11521" width="25.7109375" customWidth="1"/>
    <col min="11522" max="11522" width="29.85546875" customWidth="1"/>
    <col min="11523" max="11523" width="14.7109375" customWidth="1"/>
    <col min="11524" max="11524" width="13.7109375" customWidth="1"/>
    <col min="11525" max="11525" width="13.140625" customWidth="1"/>
    <col min="11526" max="11526" width="19" customWidth="1"/>
    <col min="11527" max="11527" width="37.42578125" customWidth="1"/>
    <col min="11528" max="11528" width="23.5703125" customWidth="1"/>
    <col min="11529" max="11530" width="21.85546875" customWidth="1"/>
    <col min="11531" max="11531" width="26.140625" customWidth="1"/>
    <col min="11532" max="11532" width="16.85546875" bestFit="1" customWidth="1"/>
    <col min="11533" max="11533" width="15.5703125" bestFit="1" customWidth="1"/>
    <col min="11534" max="11534" width="24.85546875" customWidth="1"/>
    <col min="11535" max="11535" width="19.85546875" customWidth="1"/>
    <col min="11536" max="11536" width="12.85546875" bestFit="1" customWidth="1"/>
    <col min="11537" max="11537" width="12.5703125" bestFit="1" customWidth="1"/>
    <col min="11538" max="11538" width="10.140625" customWidth="1"/>
    <col min="11777" max="11777" width="25.7109375" customWidth="1"/>
    <col min="11778" max="11778" width="29.85546875" customWidth="1"/>
    <col min="11779" max="11779" width="14.7109375" customWidth="1"/>
    <col min="11780" max="11780" width="13.7109375" customWidth="1"/>
    <col min="11781" max="11781" width="13.140625" customWidth="1"/>
    <col min="11782" max="11782" width="19" customWidth="1"/>
    <col min="11783" max="11783" width="37.42578125" customWidth="1"/>
    <col min="11784" max="11784" width="23.5703125" customWidth="1"/>
    <col min="11785" max="11786" width="21.85546875" customWidth="1"/>
    <col min="11787" max="11787" width="26.140625" customWidth="1"/>
    <col min="11788" max="11788" width="16.85546875" bestFit="1" customWidth="1"/>
    <col min="11789" max="11789" width="15.5703125" bestFit="1" customWidth="1"/>
    <col min="11790" max="11790" width="24.85546875" customWidth="1"/>
    <col min="11791" max="11791" width="19.85546875" customWidth="1"/>
    <col min="11792" max="11792" width="12.85546875" bestFit="1" customWidth="1"/>
    <col min="11793" max="11793" width="12.5703125" bestFit="1" customWidth="1"/>
    <col min="11794" max="11794" width="10.140625" customWidth="1"/>
    <col min="12033" max="12033" width="25.7109375" customWidth="1"/>
    <col min="12034" max="12034" width="29.85546875" customWidth="1"/>
    <col min="12035" max="12035" width="14.7109375" customWidth="1"/>
    <col min="12036" max="12036" width="13.7109375" customWidth="1"/>
    <col min="12037" max="12037" width="13.140625" customWidth="1"/>
    <col min="12038" max="12038" width="19" customWidth="1"/>
    <col min="12039" max="12039" width="37.42578125" customWidth="1"/>
    <col min="12040" max="12040" width="23.5703125" customWidth="1"/>
    <col min="12041" max="12042" width="21.85546875" customWidth="1"/>
    <col min="12043" max="12043" width="26.140625" customWidth="1"/>
    <col min="12044" max="12044" width="16.85546875" bestFit="1" customWidth="1"/>
    <col min="12045" max="12045" width="15.5703125" bestFit="1" customWidth="1"/>
    <col min="12046" max="12046" width="24.85546875" customWidth="1"/>
    <col min="12047" max="12047" width="19.85546875" customWidth="1"/>
    <col min="12048" max="12048" width="12.85546875" bestFit="1" customWidth="1"/>
    <col min="12049" max="12049" width="12.5703125" bestFit="1" customWidth="1"/>
    <col min="12050" max="12050" width="10.140625" customWidth="1"/>
    <col min="12289" max="12289" width="25.7109375" customWidth="1"/>
    <col min="12290" max="12290" width="29.85546875" customWidth="1"/>
    <col min="12291" max="12291" width="14.7109375" customWidth="1"/>
    <col min="12292" max="12292" width="13.7109375" customWidth="1"/>
    <col min="12293" max="12293" width="13.140625" customWidth="1"/>
    <col min="12294" max="12294" width="19" customWidth="1"/>
    <col min="12295" max="12295" width="37.42578125" customWidth="1"/>
    <col min="12296" max="12296" width="23.5703125" customWidth="1"/>
    <col min="12297" max="12298" width="21.85546875" customWidth="1"/>
    <col min="12299" max="12299" width="26.140625" customWidth="1"/>
    <col min="12300" max="12300" width="16.85546875" bestFit="1" customWidth="1"/>
    <col min="12301" max="12301" width="15.5703125" bestFit="1" customWidth="1"/>
    <col min="12302" max="12302" width="24.85546875" customWidth="1"/>
    <col min="12303" max="12303" width="19.85546875" customWidth="1"/>
    <col min="12304" max="12304" width="12.85546875" bestFit="1" customWidth="1"/>
    <col min="12305" max="12305" width="12.5703125" bestFit="1" customWidth="1"/>
    <col min="12306" max="12306" width="10.140625" customWidth="1"/>
    <col min="12545" max="12545" width="25.7109375" customWidth="1"/>
    <col min="12546" max="12546" width="29.85546875" customWidth="1"/>
    <col min="12547" max="12547" width="14.7109375" customWidth="1"/>
    <col min="12548" max="12548" width="13.7109375" customWidth="1"/>
    <col min="12549" max="12549" width="13.140625" customWidth="1"/>
    <col min="12550" max="12550" width="19" customWidth="1"/>
    <col min="12551" max="12551" width="37.42578125" customWidth="1"/>
    <col min="12552" max="12552" width="23.5703125" customWidth="1"/>
    <col min="12553" max="12554" width="21.85546875" customWidth="1"/>
    <col min="12555" max="12555" width="26.140625" customWidth="1"/>
    <col min="12556" max="12556" width="16.85546875" bestFit="1" customWidth="1"/>
    <col min="12557" max="12557" width="15.5703125" bestFit="1" customWidth="1"/>
    <col min="12558" max="12558" width="24.85546875" customWidth="1"/>
    <col min="12559" max="12559" width="19.85546875" customWidth="1"/>
    <col min="12560" max="12560" width="12.85546875" bestFit="1" customWidth="1"/>
    <col min="12561" max="12561" width="12.5703125" bestFit="1" customWidth="1"/>
    <col min="12562" max="12562" width="10.140625" customWidth="1"/>
    <col min="12801" max="12801" width="25.7109375" customWidth="1"/>
    <col min="12802" max="12802" width="29.85546875" customWidth="1"/>
    <col min="12803" max="12803" width="14.7109375" customWidth="1"/>
    <col min="12804" max="12804" width="13.7109375" customWidth="1"/>
    <col min="12805" max="12805" width="13.140625" customWidth="1"/>
    <col min="12806" max="12806" width="19" customWidth="1"/>
    <col min="12807" max="12807" width="37.42578125" customWidth="1"/>
    <col min="12808" max="12808" width="23.5703125" customWidth="1"/>
    <col min="12809" max="12810" width="21.85546875" customWidth="1"/>
    <col min="12811" max="12811" width="26.140625" customWidth="1"/>
    <col min="12812" max="12812" width="16.85546875" bestFit="1" customWidth="1"/>
    <col min="12813" max="12813" width="15.5703125" bestFit="1" customWidth="1"/>
    <col min="12814" max="12814" width="24.85546875" customWidth="1"/>
    <col min="12815" max="12815" width="19.85546875" customWidth="1"/>
    <col min="12816" max="12816" width="12.85546875" bestFit="1" customWidth="1"/>
    <col min="12817" max="12817" width="12.5703125" bestFit="1" customWidth="1"/>
    <col min="12818" max="12818" width="10.140625" customWidth="1"/>
    <col min="13057" max="13057" width="25.7109375" customWidth="1"/>
    <col min="13058" max="13058" width="29.85546875" customWidth="1"/>
    <col min="13059" max="13059" width="14.7109375" customWidth="1"/>
    <col min="13060" max="13060" width="13.7109375" customWidth="1"/>
    <col min="13061" max="13061" width="13.140625" customWidth="1"/>
    <col min="13062" max="13062" width="19" customWidth="1"/>
    <col min="13063" max="13063" width="37.42578125" customWidth="1"/>
    <col min="13064" max="13064" width="23.5703125" customWidth="1"/>
    <col min="13065" max="13066" width="21.85546875" customWidth="1"/>
    <col min="13067" max="13067" width="26.140625" customWidth="1"/>
    <col min="13068" max="13068" width="16.85546875" bestFit="1" customWidth="1"/>
    <col min="13069" max="13069" width="15.5703125" bestFit="1" customWidth="1"/>
    <col min="13070" max="13070" width="24.85546875" customWidth="1"/>
    <col min="13071" max="13071" width="19.85546875" customWidth="1"/>
    <col min="13072" max="13072" width="12.85546875" bestFit="1" customWidth="1"/>
    <col min="13073" max="13073" width="12.5703125" bestFit="1" customWidth="1"/>
    <col min="13074" max="13074" width="10.140625" customWidth="1"/>
    <col min="13313" max="13313" width="25.7109375" customWidth="1"/>
    <col min="13314" max="13314" width="29.85546875" customWidth="1"/>
    <col min="13315" max="13315" width="14.7109375" customWidth="1"/>
    <col min="13316" max="13316" width="13.7109375" customWidth="1"/>
    <col min="13317" max="13317" width="13.140625" customWidth="1"/>
    <col min="13318" max="13318" width="19" customWidth="1"/>
    <col min="13319" max="13319" width="37.42578125" customWidth="1"/>
    <col min="13320" max="13320" width="23.5703125" customWidth="1"/>
    <col min="13321" max="13322" width="21.85546875" customWidth="1"/>
    <col min="13323" max="13323" width="26.140625" customWidth="1"/>
    <col min="13324" max="13324" width="16.85546875" bestFit="1" customWidth="1"/>
    <col min="13325" max="13325" width="15.5703125" bestFit="1" customWidth="1"/>
    <col min="13326" max="13326" width="24.85546875" customWidth="1"/>
    <col min="13327" max="13327" width="19.85546875" customWidth="1"/>
    <col min="13328" max="13328" width="12.85546875" bestFit="1" customWidth="1"/>
    <col min="13329" max="13329" width="12.5703125" bestFit="1" customWidth="1"/>
    <col min="13330" max="13330" width="10.140625" customWidth="1"/>
    <col min="13569" max="13569" width="25.7109375" customWidth="1"/>
    <col min="13570" max="13570" width="29.85546875" customWidth="1"/>
    <col min="13571" max="13571" width="14.7109375" customWidth="1"/>
    <col min="13572" max="13572" width="13.7109375" customWidth="1"/>
    <col min="13573" max="13573" width="13.140625" customWidth="1"/>
    <col min="13574" max="13574" width="19" customWidth="1"/>
    <col min="13575" max="13575" width="37.42578125" customWidth="1"/>
    <col min="13576" max="13576" width="23.5703125" customWidth="1"/>
    <col min="13577" max="13578" width="21.85546875" customWidth="1"/>
    <col min="13579" max="13579" width="26.140625" customWidth="1"/>
    <col min="13580" max="13580" width="16.85546875" bestFit="1" customWidth="1"/>
    <col min="13581" max="13581" width="15.5703125" bestFit="1" customWidth="1"/>
    <col min="13582" max="13582" width="24.85546875" customWidth="1"/>
    <col min="13583" max="13583" width="19.85546875" customWidth="1"/>
    <col min="13584" max="13584" width="12.85546875" bestFit="1" customWidth="1"/>
    <col min="13585" max="13585" width="12.5703125" bestFit="1" customWidth="1"/>
    <col min="13586" max="13586" width="10.140625" customWidth="1"/>
    <col min="13825" max="13825" width="25.7109375" customWidth="1"/>
    <col min="13826" max="13826" width="29.85546875" customWidth="1"/>
    <col min="13827" max="13827" width="14.7109375" customWidth="1"/>
    <col min="13828" max="13828" width="13.7109375" customWidth="1"/>
    <col min="13829" max="13829" width="13.140625" customWidth="1"/>
    <col min="13830" max="13830" width="19" customWidth="1"/>
    <col min="13831" max="13831" width="37.42578125" customWidth="1"/>
    <col min="13832" max="13832" width="23.5703125" customWidth="1"/>
    <col min="13833" max="13834" width="21.85546875" customWidth="1"/>
    <col min="13835" max="13835" width="26.140625" customWidth="1"/>
    <col min="13836" max="13836" width="16.85546875" bestFit="1" customWidth="1"/>
    <col min="13837" max="13837" width="15.5703125" bestFit="1" customWidth="1"/>
    <col min="13838" max="13838" width="24.85546875" customWidth="1"/>
    <col min="13839" max="13839" width="19.85546875" customWidth="1"/>
    <col min="13840" max="13840" width="12.85546875" bestFit="1" customWidth="1"/>
    <col min="13841" max="13841" width="12.5703125" bestFit="1" customWidth="1"/>
    <col min="13842" max="13842" width="10.140625" customWidth="1"/>
    <col min="14081" max="14081" width="25.7109375" customWidth="1"/>
    <col min="14082" max="14082" width="29.85546875" customWidth="1"/>
    <col min="14083" max="14083" width="14.7109375" customWidth="1"/>
    <col min="14084" max="14084" width="13.7109375" customWidth="1"/>
    <col min="14085" max="14085" width="13.140625" customWidth="1"/>
    <col min="14086" max="14086" width="19" customWidth="1"/>
    <col min="14087" max="14087" width="37.42578125" customWidth="1"/>
    <col min="14088" max="14088" width="23.5703125" customWidth="1"/>
    <col min="14089" max="14090" width="21.85546875" customWidth="1"/>
    <col min="14091" max="14091" width="26.140625" customWidth="1"/>
    <col min="14092" max="14092" width="16.85546875" bestFit="1" customWidth="1"/>
    <col min="14093" max="14093" width="15.5703125" bestFit="1" customWidth="1"/>
    <col min="14094" max="14094" width="24.85546875" customWidth="1"/>
    <col min="14095" max="14095" width="19.85546875" customWidth="1"/>
    <col min="14096" max="14096" width="12.85546875" bestFit="1" customWidth="1"/>
    <col min="14097" max="14097" width="12.5703125" bestFit="1" customWidth="1"/>
    <col min="14098" max="14098" width="10.140625" customWidth="1"/>
    <col min="14337" max="14337" width="25.7109375" customWidth="1"/>
    <col min="14338" max="14338" width="29.85546875" customWidth="1"/>
    <col min="14339" max="14339" width="14.7109375" customWidth="1"/>
    <col min="14340" max="14340" width="13.7109375" customWidth="1"/>
    <col min="14341" max="14341" width="13.140625" customWidth="1"/>
    <col min="14342" max="14342" width="19" customWidth="1"/>
    <col min="14343" max="14343" width="37.42578125" customWidth="1"/>
    <col min="14344" max="14344" width="23.5703125" customWidth="1"/>
    <col min="14345" max="14346" width="21.85546875" customWidth="1"/>
    <col min="14347" max="14347" width="26.140625" customWidth="1"/>
    <col min="14348" max="14348" width="16.85546875" bestFit="1" customWidth="1"/>
    <col min="14349" max="14349" width="15.5703125" bestFit="1" customWidth="1"/>
    <col min="14350" max="14350" width="24.85546875" customWidth="1"/>
    <col min="14351" max="14351" width="19.85546875" customWidth="1"/>
    <col min="14352" max="14352" width="12.85546875" bestFit="1" customWidth="1"/>
    <col min="14353" max="14353" width="12.5703125" bestFit="1" customWidth="1"/>
    <col min="14354" max="14354" width="10.140625" customWidth="1"/>
    <col min="14593" max="14593" width="25.7109375" customWidth="1"/>
    <col min="14594" max="14594" width="29.85546875" customWidth="1"/>
    <col min="14595" max="14595" width="14.7109375" customWidth="1"/>
    <col min="14596" max="14596" width="13.7109375" customWidth="1"/>
    <col min="14597" max="14597" width="13.140625" customWidth="1"/>
    <col min="14598" max="14598" width="19" customWidth="1"/>
    <col min="14599" max="14599" width="37.42578125" customWidth="1"/>
    <col min="14600" max="14600" width="23.5703125" customWidth="1"/>
    <col min="14601" max="14602" width="21.85546875" customWidth="1"/>
    <col min="14603" max="14603" width="26.140625" customWidth="1"/>
    <col min="14604" max="14604" width="16.85546875" bestFit="1" customWidth="1"/>
    <col min="14605" max="14605" width="15.5703125" bestFit="1" customWidth="1"/>
    <col min="14606" max="14606" width="24.85546875" customWidth="1"/>
    <col min="14607" max="14607" width="19.85546875" customWidth="1"/>
    <col min="14608" max="14608" width="12.85546875" bestFit="1" customWidth="1"/>
    <col min="14609" max="14609" width="12.5703125" bestFit="1" customWidth="1"/>
    <col min="14610" max="14610" width="10.140625" customWidth="1"/>
    <col min="14849" max="14849" width="25.7109375" customWidth="1"/>
    <col min="14850" max="14850" width="29.85546875" customWidth="1"/>
    <col min="14851" max="14851" width="14.7109375" customWidth="1"/>
    <col min="14852" max="14852" width="13.7109375" customWidth="1"/>
    <col min="14853" max="14853" width="13.140625" customWidth="1"/>
    <col min="14854" max="14854" width="19" customWidth="1"/>
    <col min="14855" max="14855" width="37.42578125" customWidth="1"/>
    <col min="14856" max="14856" width="23.5703125" customWidth="1"/>
    <col min="14857" max="14858" width="21.85546875" customWidth="1"/>
    <col min="14859" max="14859" width="26.140625" customWidth="1"/>
    <col min="14860" max="14860" width="16.85546875" bestFit="1" customWidth="1"/>
    <col min="14861" max="14861" width="15.5703125" bestFit="1" customWidth="1"/>
    <col min="14862" max="14862" width="24.85546875" customWidth="1"/>
    <col min="14863" max="14863" width="19.85546875" customWidth="1"/>
    <col min="14864" max="14864" width="12.85546875" bestFit="1" customWidth="1"/>
    <col min="14865" max="14865" width="12.5703125" bestFit="1" customWidth="1"/>
    <col min="14866" max="14866" width="10.140625" customWidth="1"/>
    <col min="15105" max="15105" width="25.7109375" customWidth="1"/>
    <col min="15106" max="15106" width="29.85546875" customWidth="1"/>
    <col min="15107" max="15107" width="14.7109375" customWidth="1"/>
    <col min="15108" max="15108" width="13.7109375" customWidth="1"/>
    <col min="15109" max="15109" width="13.140625" customWidth="1"/>
    <col min="15110" max="15110" width="19" customWidth="1"/>
    <col min="15111" max="15111" width="37.42578125" customWidth="1"/>
    <col min="15112" max="15112" width="23.5703125" customWidth="1"/>
    <col min="15113" max="15114" width="21.85546875" customWidth="1"/>
    <col min="15115" max="15115" width="26.140625" customWidth="1"/>
    <col min="15116" max="15116" width="16.85546875" bestFit="1" customWidth="1"/>
    <col min="15117" max="15117" width="15.5703125" bestFit="1" customWidth="1"/>
    <col min="15118" max="15118" width="24.85546875" customWidth="1"/>
    <col min="15119" max="15119" width="19.85546875" customWidth="1"/>
    <col min="15120" max="15120" width="12.85546875" bestFit="1" customWidth="1"/>
    <col min="15121" max="15121" width="12.5703125" bestFit="1" customWidth="1"/>
    <col min="15122" max="15122" width="10.140625" customWidth="1"/>
    <col min="15361" max="15361" width="25.7109375" customWidth="1"/>
    <col min="15362" max="15362" width="29.85546875" customWidth="1"/>
    <col min="15363" max="15363" width="14.7109375" customWidth="1"/>
    <col min="15364" max="15364" width="13.7109375" customWidth="1"/>
    <col min="15365" max="15365" width="13.140625" customWidth="1"/>
    <col min="15366" max="15366" width="19" customWidth="1"/>
    <col min="15367" max="15367" width="37.42578125" customWidth="1"/>
    <col min="15368" max="15368" width="23.5703125" customWidth="1"/>
    <col min="15369" max="15370" width="21.85546875" customWidth="1"/>
    <col min="15371" max="15371" width="26.140625" customWidth="1"/>
    <col min="15372" max="15372" width="16.85546875" bestFit="1" customWidth="1"/>
    <col min="15373" max="15373" width="15.5703125" bestFit="1" customWidth="1"/>
    <col min="15374" max="15374" width="24.85546875" customWidth="1"/>
    <col min="15375" max="15375" width="19.85546875" customWidth="1"/>
    <col min="15376" max="15376" width="12.85546875" bestFit="1" customWidth="1"/>
    <col min="15377" max="15377" width="12.5703125" bestFit="1" customWidth="1"/>
    <col min="15378" max="15378" width="10.140625" customWidth="1"/>
    <col min="15617" max="15617" width="25.7109375" customWidth="1"/>
    <col min="15618" max="15618" width="29.85546875" customWidth="1"/>
    <col min="15619" max="15619" width="14.7109375" customWidth="1"/>
    <col min="15620" max="15620" width="13.7109375" customWidth="1"/>
    <col min="15621" max="15621" width="13.140625" customWidth="1"/>
    <col min="15622" max="15622" width="19" customWidth="1"/>
    <col min="15623" max="15623" width="37.42578125" customWidth="1"/>
    <col min="15624" max="15624" width="23.5703125" customWidth="1"/>
    <col min="15625" max="15626" width="21.85546875" customWidth="1"/>
    <col min="15627" max="15627" width="26.140625" customWidth="1"/>
    <col min="15628" max="15628" width="16.85546875" bestFit="1" customWidth="1"/>
    <col min="15629" max="15629" width="15.5703125" bestFit="1" customWidth="1"/>
    <col min="15630" max="15630" width="24.85546875" customWidth="1"/>
    <col min="15631" max="15631" width="19.85546875" customWidth="1"/>
    <col min="15632" max="15632" width="12.85546875" bestFit="1" customWidth="1"/>
    <col min="15633" max="15633" width="12.5703125" bestFit="1" customWidth="1"/>
    <col min="15634" max="15634" width="10.140625" customWidth="1"/>
    <col min="15873" max="15873" width="25.7109375" customWidth="1"/>
    <col min="15874" max="15874" width="29.85546875" customWidth="1"/>
    <col min="15875" max="15875" width="14.7109375" customWidth="1"/>
    <col min="15876" max="15876" width="13.7109375" customWidth="1"/>
    <col min="15877" max="15877" width="13.140625" customWidth="1"/>
    <col min="15878" max="15878" width="19" customWidth="1"/>
    <col min="15879" max="15879" width="37.42578125" customWidth="1"/>
    <col min="15880" max="15880" width="23.5703125" customWidth="1"/>
    <col min="15881" max="15882" width="21.85546875" customWidth="1"/>
    <col min="15883" max="15883" width="26.140625" customWidth="1"/>
    <col min="15884" max="15884" width="16.85546875" bestFit="1" customWidth="1"/>
    <col min="15885" max="15885" width="15.5703125" bestFit="1" customWidth="1"/>
    <col min="15886" max="15886" width="24.85546875" customWidth="1"/>
    <col min="15887" max="15887" width="19.85546875" customWidth="1"/>
    <col min="15888" max="15888" width="12.85546875" bestFit="1" customWidth="1"/>
    <col min="15889" max="15889" width="12.5703125" bestFit="1" customWidth="1"/>
    <col min="15890" max="15890" width="10.140625" customWidth="1"/>
    <col min="16129" max="16129" width="25.7109375" customWidth="1"/>
    <col min="16130" max="16130" width="29.85546875" customWidth="1"/>
    <col min="16131" max="16131" width="14.7109375" customWidth="1"/>
    <col min="16132" max="16132" width="13.7109375" customWidth="1"/>
    <col min="16133" max="16133" width="13.140625" customWidth="1"/>
    <col min="16134" max="16134" width="19" customWidth="1"/>
    <col min="16135" max="16135" width="37.42578125" customWidth="1"/>
    <col min="16136" max="16136" width="23.5703125" customWidth="1"/>
    <col min="16137" max="16138" width="21.85546875" customWidth="1"/>
    <col min="16139" max="16139" width="26.140625" customWidth="1"/>
    <col min="16140" max="16140" width="16.85546875" bestFit="1" customWidth="1"/>
    <col min="16141" max="16141" width="15.5703125" bestFit="1" customWidth="1"/>
    <col min="16142" max="16142" width="24.85546875" customWidth="1"/>
    <col min="16143" max="16143" width="19.85546875" customWidth="1"/>
    <col min="16144" max="16144" width="12.85546875" bestFit="1" customWidth="1"/>
    <col min="16145" max="16145" width="12.5703125" bestFit="1" customWidth="1"/>
    <col min="16146" max="16146" width="10.140625" customWidth="1"/>
  </cols>
  <sheetData>
    <row r="1" spans="1:17">
      <c r="A1" s="2"/>
      <c r="B1" s="2"/>
      <c r="C1" s="2"/>
      <c r="D1" s="2"/>
      <c r="E1" s="2"/>
      <c r="F1" s="2"/>
      <c r="G1" s="2"/>
      <c r="H1" s="2"/>
      <c r="I1" s="3"/>
      <c r="J1" s="3"/>
      <c r="K1" s="3"/>
      <c r="L1" s="2"/>
      <c r="M1" s="104"/>
      <c r="N1" s="98"/>
    </row>
    <row r="2" spans="1:17" ht="23.25">
      <c r="A2" s="97" t="s">
        <v>94</v>
      </c>
      <c r="B2" s="46"/>
      <c r="C2" s="63"/>
      <c r="D2" s="63"/>
      <c r="E2" s="63"/>
      <c r="F2" s="63"/>
      <c r="G2" s="46"/>
      <c r="H2" s="46"/>
      <c r="I2" s="45"/>
      <c r="J2" s="45"/>
      <c r="K2" s="45"/>
      <c r="L2" s="45"/>
      <c r="M2" s="105"/>
      <c r="N2" s="99"/>
    </row>
    <row r="3" spans="1:17" ht="18">
      <c r="A3" s="4"/>
      <c r="B3" s="2"/>
      <c r="C3" s="4"/>
      <c r="D3" s="2"/>
      <c r="E3" s="14"/>
      <c r="F3" s="14"/>
      <c r="G3" s="14"/>
      <c r="H3" s="18"/>
      <c r="I3" s="4"/>
      <c r="J3" s="4"/>
      <c r="K3" s="4"/>
      <c r="L3" s="4"/>
    </row>
    <row r="4" spans="1:17" ht="21" thickBot="1">
      <c r="A4" s="6" t="s">
        <v>52</v>
      </c>
      <c r="B4" s="7"/>
      <c r="C4" s="8"/>
      <c r="D4" s="2"/>
      <c r="E4" s="2"/>
      <c r="F4" s="2"/>
      <c r="G4" s="2"/>
      <c r="H4" s="2"/>
      <c r="I4" s="9"/>
      <c r="J4" s="8"/>
      <c r="K4" s="10"/>
      <c r="L4" s="2"/>
      <c r="M4" s="104"/>
      <c r="N4" s="98"/>
    </row>
    <row r="5" spans="1:17" ht="21" thickBot="1">
      <c r="A5" s="6"/>
      <c r="B5" s="7"/>
      <c r="C5" s="8"/>
      <c r="D5" s="2"/>
      <c r="E5" s="2"/>
      <c r="F5" s="2"/>
      <c r="G5" s="2"/>
      <c r="H5" s="2"/>
      <c r="I5" s="9"/>
      <c r="J5" s="198" t="s">
        <v>7</v>
      </c>
      <c r="K5" s="199"/>
      <c r="L5" s="2"/>
      <c r="M5" s="104"/>
      <c r="N5" s="101"/>
    </row>
    <row r="6" spans="1:17" ht="15" thickBot="1">
      <c r="A6" s="1" t="s">
        <v>11</v>
      </c>
      <c r="B6" s="1" t="s">
        <v>2</v>
      </c>
      <c r="C6" s="1" t="s">
        <v>12</v>
      </c>
      <c r="D6" s="198" t="s">
        <v>13</v>
      </c>
      <c r="E6" s="200"/>
      <c r="F6" s="199"/>
      <c r="G6" s="1" t="s">
        <v>1</v>
      </c>
      <c r="H6" s="1" t="s">
        <v>40</v>
      </c>
      <c r="I6" s="1" t="s">
        <v>0</v>
      </c>
      <c r="J6" s="1" t="s">
        <v>3</v>
      </c>
      <c r="K6" s="1" t="s">
        <v>4</v>
      </c>
      <c r="L6" s="1" t="s">
        <v>14</v>
      </c>
      <c r="M6" s="107" t="s">
        <v>15</v>
      </c>
      <c r="N6" s="102" t="s">
        <v>70</v>
      </c>
    </row>
    <row r="7" spans="1:17" s="123" customFormat="1" ht="26.25" thickBot="1">
      <c r="A7" s="124" t="s">
        <v>53</v>
      </c>
      <c r="B7" s="125">
        <v>37986</v>
      </c>
      <c r="C7" s="126">
        <v>48944</v>
      </c>
      <c r="D7" s="201" t="s">
        <v>54</v>
      </c>
      <c r="E7" s="202"/>
      <c r="F7" s="203"/>
      <c r="G7" s="127" t="s">
        <v>55</v>
      </c>
      <c r="H7" s="125">
        <v>40623</v>
      </c>
      <c r="I7" s="125" t="s">
        <v>39</v>
      </c>
      <c r="J7" s="139">
        <v>116.05658</v>
      </c>
      <c r="K7" s="128">
        <v>125.7069996625864</v>
      </c>
      <c r="L7" s="129">
        <v>108.31527144999998</v>
      </c>
      <c r="M7" s="140">
        <v>17.2361</v>
      </c>
      <c r="N7" s="131" t="s">
        <v>93</v>
      </c>
      <c r="Q7" s="141"/>
    </row>
    <row r="8" spans="1:17" s="123" customFormat="1" ht="40.5" customHeight="1" thickBot="1">
      <c r="A8" s="117" t="s">
        <v>53</v>
      </c>
      <c r="B8" s="118">
        <v>37986</v>
      </c>
      <c r="C8" s="119">
        <v>48944</v>
      </c>
      <c r="D8" s="204" t="s">
        <v>54</v>
      </c>
      <c r="E8" s="205"/>
      <c r="F8" s="206"/>
      <c r="G8" s="120" t="s">
        <v>55</v>
      </c>
      <c r="H8" s="118">
        <v>40625</v>
      </c>
      <c r="I8" s="118" t="s">
        <v>39</v>
      </c>
      <c r="J8" s="32">
        <v>572.44120599999997</v>
      </c>
      <c r="K8" s="121">
        <v>631.59999989620962</v>
      </c>
      <c r="L8" s="122">
        <v>110.33447509999999</v>
      </c>
      <c r="M8" s="140">
        <v>17.2361</v>
      </c>
      <c r="N8" s="134" t="s">
        <v>72</v>
      </c>
    </row>
    <row r="9" spans="1:17" s="5" customFormat="1" ht="40.5" customHeight="1" thickBot="1">
      <c r="A9" s="70" t="s">
        <v>53</v>
      </c>
      <c r="B9" s="71">
        <v>37986</v>
      </c>
      <c r="C9" s="72">
        <v>48944</v>
      </c>
      <c r="D9" s="204" t="s">
        <v>54</v>
      </c>
      <c r="E9" s="205"/>
      <c r="F9" s="206"/>
      <c r="G9" s="95" t="s">
        <v>55</v>
      </c>
      <c r="H9" s="71">
        <v>40697</v>
      </c>
      <c r="I9" s="71" t="s">
        <v>39</v>
      </c>
      <c r="J9" s="32">
        <v>210.28854000000001</v>
      </c>
      <c r="K9" s="76">
        <v>232.40453003345996</v>
      </c>
      <c r="L9" s="96">
        <v>110.51697350386281</v>
      </c>
      <c r="M9" s="140">
        <v>17.2361</v>
      </c>
      <c r="N9" s="134" t="s">
        <v>72</v>
      </c>
    </row>
    <row r="10" spans="1:17" s="5" customFormat="1" ht="26.25" thickBot="1">
      <c r="A10" s="70" t="s">
        <v>53</v>
      </c>
      <c r="B10" s="71">
        <v>37986</v>
      </c>
      <c r="C10" s="72">
        <v>48944</v>
      </c>
      <c r="D10" s="204" t="s">
        <v>54</v>
      </c>
      <c r="E10" s="205"/>
      <c r="F10" s="206"/>
      <c r="G10" s="95" t="s">
        <v>55</v>
      </c>
      <c r="H10" s="71">
        <v>40708</v>
      </c>
      <c r="I10" s="71" t="s">
        <v>39</v>
      </c>
      <c r="J10" s="32">
        <v>216.45021600000001</v>
      </c>
      <c r="K10" s="76">
        <v>244.34941916188146</v>
      </c>
      <c r="L10" s="96">
        <v>112.88943188759924</v>
      </c>
      <c r="M10" s="140">
        <v>17.2361</v>
      </c>
      <c r="N10" s="134" t="s">
        <v>73</v>
      </c>
    </row>
    <row r="11" spans="1:17" s="5" customFormat="1" ht="26.25" thickBot="1">
      <c r="A11" s="70" t="s">
        <v>53</v>
      </c>
      <c r="B11" s="71">
        <v>37986</v>
      </c>
      <c r="C11" s="72">
        <v>48944</v>
      </c>
      <c r="D11" s="204" t="s">
        <v>54</v>
      </c>
      <c r="E11" s="205"/>
      <c r="F11" s="206"/>
      <c r="G11" s="95" t="s">
        <v>55</v>
      </c>
      <c r="H11" s="71">
        <v>40743</v>
      </c>
      <c r="I11" s="71" t="s">
        <v>39</v>
      </c>
      <c r="J11" s="32">
        <v>329.91071399999998</v>
      </c>
      <c r="K11" s="76">
        <v>358.58120207676274</v>
      </c>
      <c r="L11" s="96">
        <v>108.6903779901985</v>
      </c>
      <c r="M11" s="140">
        <v>17.2361</v>
      </c>
      <c r="N11" s="134" t="s">
        <v>73</v>
      </c>
    </row>
    <row r="12" spans="1:17" s="5" customFormat="1" ht="26.25" thickBot="1">
      <c r="A12" s="70" t="s">
        <v>53</v>
      </c>
      <c r="B12" s="71">
        <v>37986</v>
      </c>
      <c r="C12" s="72">
        <v>48944</v>
      </c>
      <c r="D12" s="204" t="s">
        <v>54</v>
      </c>
      <c r="E12" s="205"/>
      <c r="F12" s="206"/>
      <c r="G12" s="95" t="s">
        <v>55</v>
      </c>
      <c r="H12" s="71">
        <v>40758</v>
      </c>
      <c r="I12" s="71" t="s">
        <v>39</v>
      </c>
      <c r="J12" s="32">
        <v>193.160438</v>
      </c>
      <c r="K12" s="76">
        <v>212.99999987197447</v>
      </c>
      <c r="L12" s="96">
        <v>110.27102758587371</v>
      </c>
      <c r="M12" s="140">
        <v>17.2361</v>
      </c>
      <c r="N12" s="134" t="s">
        <v>73</v>
      </c>
    </row>
    <row r="13" spans="1:17" s="5" customFormat="1" ht="26.25" thickBot="1">
      <c r="A13" s="70" t="s">
        <v>53</v>
      </c>
      <c r="B13" s="71">
        <v>37986</v>
      </c>
      <c r="C13" s="72">
        <v>48944</v>
      </c>
      <c r="D13" s="204" t="s">
        <v>54</v>
      </c>
      <c r="E13" s="205"/>
      <c r="F13" s="206"/>
      <c r="G13" s="95" t="s">
        <v>55</v>
      </c>
      <c r="H13" s="71">
        <v>40774</v>
      </c>
      <c r="I13" s="71" t="s">
        <v>39</v>
      </c>
      <c r="J13" s="32">
        <v>222.22222199999999</v>
      </c>
      <c r="K13" s="76">
        <v>240.4135109989181</v>
      </c>
      <c r="L13" s="96">
        <v>108.18608005769923</v>
      </c>
      <c r="M13" s="140">
        <v>17.2361</v>
      </c>
      <c r="N13" s="135" t="s">
        <v>71</v>
      </c>
    </row>
    <row r="14" spans="1:17" s="5" customFormat="1" ht="26.25" thickBot="1">
      <c r="A14" s="34" t="s">
        <v>53</v>
      </c>
      <c r="B14" s="36">
        <v>37986</v>
      </c>
      <c r="C14" s="37">
        <v>48944</v>
      </c>
      <c r="D14" s="194" t="s">
        <v>54</v>
      </c>
      <c r="E14" s="195"/>
      <c r="F14" s="196"/>
      <c r="G14" s="38" t="s">
        <v>55</v>
      </c>
      <c r="H14" s="36">
        <v>40794</v>
      </c>
      <c r="I14" s="36" t="s">
        <v>39</v>
      </c>
      <c r="J14" s="32">
        <v>358</v>
      </c>
      <c r="K14" s="32">
        <v>386</v>
      </c>
      <c r="L14" s="142">
        <v>108</v>
      </c>
      <c r="M14" s="140">
        <v>17.2361</v>
      </c>
      <c r="N14" s="135" t="s">
        <v>71</v>
      </c>
      <c r="O14" s="67"/>
    </row>
    <row r="15" spans="1:17" s="5" customFormat="1" ht="26.25" thickBot="1">
      <c r="A15" s="34" t="s">
        <v>53</v>
      </c>
      <c r="B15" s="36">
        <v>37986</v>
      </c>
      <c r="C15" s="37">
        <v>48944</v>
      </c>
      <c r="D15" s="194" t="s">
        <v>54</v>
      </c>
      <c r="E15" s="195"/>
      <c r="F15" s="196"/>
      <c r="G15" s="38" t="s">
        <v>55</v>
      </c>
      <c r="H15" s="36">
        <v>40819</v>
      </c>
      <c r="I15" s="36" t="s">
        <v>39</v>
      </c>
      <c r="J15" s="32">
        <v>405</v>
      </c>
      <c r="K15" s="32">
        <v>333</v>
      </c>
      <c r="L15" s="142">
        <v>82</v>
      </c>
      <c r="M15" s="140">
        <v>17.2361</v>
      </c>
      <c r="N15" s="135" t="s">
        <v>71</v>
      </c>
      <c r="O15" s="67"/>
    </row>
    <row r="16" spans="1:17" s="5" customFormat="1" ht="26.25" thickBot="1">
      <c r="A16" s="34" t="s">
        <v>95</v>
      </c>
      <c r="B16" s="36">
        <v>40876</v>
      </c>
      <c r="C16" s="37">
        <v>43433</v>
      </c>
      <c r="D16" s="194" t="s">
        <v>96</v>
      </c>
      <c r="E16" s="195"/>
      <c r="F16" s="196"/>
      <c r="G16" s="38" t="s">
        <v>6</v>
      </c>
      <c r="H16" s="36">
        <v>40876</v>
      </c>
      <c r="I16" s="36" t="s">
        <v>39</v>
      </c>
      <c r="J16" s="32">
        <v>1155.5851259999999</v>
      </c>
      <c r="K16" s="33">
        <v>1021.29457851</v>
      </c>
      <c r="L16" s="142">
        <v>88.379000000000005</v>
      </c>
      <c r="M16" s="140">
        <v>6.9178082191780819</v>
      </c>
      <c r="N16" s="135" t="s">
        <v>97</v>
      </c>
      <c r="O16" s="143"/>
    </row>
    <row r="17" spans="1:15" s="5" customFormat="1" ht="26.25" thickBot="1">
      <c r="A17" s="34" t="s">
        <v>95</v>
      </c>
      <c r="B17" s="36">
        <v>40876</v>
      </c>
      <c r="C17" s="37">
        <v>43433</v>
      </c>
      <c r="D17" s="194" t="s">
        <v>96</v>
      </c>
      <c r="E17" s="195"/>
      <c r="F17" s="196"/>
      <c r="G17" s="38" t="s">
        <v>6</v>
      </c>
      <c r="H17" s="36">
        <v>40877</v>
      </c>
      <c r="I17" s="36" t="s">
        <v>39</v>
      </c>
      <c r="J17" s="32">
        <v>1156.00235</v>
      </c>
      <c r="K17" s="33">
        <v>1020.93503543</v>
      </c>
      <c r="L17" s="142">
        <v>88.316000000000003</v>
      </c>
      <c r="M17" s="140">
        <v>6.9178082191780819</v>
      </c>
      <c r="N17" s="135" t="s">
        <v>97</v>
      </c>
      <c r="O17" s="143"/>
    </row>
    <row r="18" spans="1:15" s="5" customFormat="1" ht="26.25" thickBot="1">
      <c r="A18" s="34" t="s">
        <v>95</v>
      </c>
      <c r="B18" s="36">
        <v>40876</v>
      </c>
      <c r="C18" s="37">
        <v>43433</v>
      </c>
      <c r="D18" s="194" t="s">
        <v>96</v>
      </c>
      <c r="E18" s="195"/>
      <c r="F18" s="196"/>
      <c r="G18" s="38" t="s">
        <v>6</v>
      </c>
      <c r="H18" s="36">
        <v>40892</v>
      </c>
      <c r="I18" s="36" t="s">
        <v>39</v>
      </c>
      <c r="J18" s="32">
        <v>653.662915</v>
      </c>
      <c r="K18" s="33">
        <v>556.33473503191192</v>
      </c>
      <c r="L18" s="142">
        <v>85.110340859999994</v>
      </c>
      <c r="M18" s="140">
        <v>6.9178082191780819</v>
      </c>
      <c r="N18" s="135" t="s">
        <v>97</v>
      </c>
      <c r="O18" s="143"/>
    </row>
    <row r="19" spans="1:15" ht="15.75" thickBot="1">
      <c r="A19" s="11"/>
      <c r="B19" s="12"/>
      <c r="C19" s="2"/>
      <c r="D19" s="2"/>
      <c r="E19" s="2"/>
      <c r="F19" s="2"/>
      <c r="G19" s="2"/>
      <c r="H19" s="2"/>
      <c r="I19" s="25" t="s">
        <v>5</v>
      </c>
      <c r="J19" s="144">
        <v>5588.7803069999991</v>
      </c>
      <c r="K19" s="144">
        <v>5363.6200106737042</v>
      </c>
      <c r="L19" s="23"/>
      <c r="M19" s="108"/>
      <c r="N19" s="98"/>
    </row>
    <row r="20" spans="1:15" ht="21" thickBot="1">
      <c r="A20" s="6" t="s">
        <v>45</v>
      </c>
      <c r="B20" s="7"/>
      <c r="C20" s="8"/>
      <c r="D20" s="2"/>
      <c r="E20" s="2"/>
      <c r="F20" s="2"/>
      <c r="G20" s="2"/>
      <c r="H20" s="2"/>
      <c r="I20" s="9"/>
      <c r="J20" s="8"/>
      <c r="K20" s="10"/>
      <c r="L20" s="2"/>
      <c r="M20" s="109"/>
      <c r="N20" s="98"/>
    </row>
    <row r="21" spans="1:15" ht="21" thickBot="1">
      <c r="A21" s="6"/>
      <c r="B21" s="7"/>
      <c r="C21" s="8"/>
      <c r="D21" s="2"/>
      <c r="E21" s="2"/>
      <c r="F21" s="2"/>
      <c r="G21" s="2"/>
      <c r="H21" s="2"/>
      <c r="I21" s="9"/>
      <c r="J21" s="198" t="s">
        <v>48</v>
      </c>
      <c r="K21" s="199"/>
      <c r="L21" s="2"/>
      <c r="M21" s="104"/>
      <c r="N21" s="101"/>
    </row>
    <row r="22" spans="1:15" ht="15" thickBot="1">
      <c r="A22" s="1" t="s">
        <v>11</v>
      </c>
      <c r="B22" s="1" t="s">
        <v>2</v>
      </c>
      <c r="C22" s="1" t="s">
        <v>12</v>
      </c>
      <c r="D22" s="198" t="s">
        <v>13</v>
      </c>
      <c r="E22" s="200"/>
      <c r="F22" s="199"/>
      <c r="G22" s="1" t="s">
        <v>1</v>
      </c>
      <c r="H22" s="24" t="s">
        <v>40</v>
      </c>
      <c r="I22" s="24" t="s">
        <v>0</v>
      </c>
      <c r="J22" s="24" t="s">
        <v>3</v>
      </c>
      <c r="K22" s="24" t="s">
        <v>4</v>
      </c>
      <c r="L22" s="24" t="s">
        <v>14</v>
      </c>
      <c r="M22" s="103" t="s">
        <v>15</v>
      </c>
      <c r="N22" s="136" t="s">
        <v>70</v>
      </c>
    </row>
    <row r="23" spans="1:15" ht="59.25" customHeight="1" thickBot="1">
      <c r="A23" s="34" t="s">
        <v>46</v>
      </c>
      <c r="B23" s="36">
        <v>40550</v>
      </c>
      <c r="C23" s="37">
        <v>44203</v>
      </c>
      <c r="D23" s="194" t="s">
        <v>98</v>
      </c>
      <c r="E23" s="195"/>
      <c r="F23" s="196"/>
      <c r="G23" s="38" t="s">
        <v>6</v>
      </c>
      <c r="H23" s="36">
        <v>40555</v>
      </c>
      <c r="I23" s="36" t="s">
        <v>39</v>
      </c>
      <c r="J23" s="32">
        <v>7504</v>
      </c>
      <c r="K23" s="32">
        <v>7504</v>
      </c>
      <c r="L23" s="47">
        <v>100</v>
      </c>
      <c r="M23" s="110">
        <v>10</v>
      </c>
      <c r="N23" s="135" t="s">
        <v>82</v>
      </c>
    </row>
    <row r="24" spans="1:15" ht="56.25" customHeight="1" thickBot="1">
      <c r="A24" s="34" t="s">
        <v>46</v>
      </c>
      <c r="B24" s="36">
        <v>40616</v>
      </c>
      <c r="C24" s="30">
        <v>44269</v>
      </c>
      <c r="D24" s="194" t="s">
        <v>99</v>
      </c>
      <c r="E24" s="195"/>
      <c r="F24" s="196"/>
      <c r="G24" s="38" t="s">
        <v>6</v>
      </c>
      <c r="H24" s="36">
        <v>40625</v>
      </c>
      <c r="I24" s="36" t="s">
        <v>39</v>
      </c>
      <c r="J24" s="33">
        <v>2121.386485</v>
      </c>
      <c r="K24" s="33">
        <v>2121.386485</v>
      </c>
      <c r="L24" s="47">
        <v>100</v>
      </c>
      <c r="M24" s="110">
        <v>10</v>
      </c>
      <c r="N24" s="135" t="s">
        <v>83</v>
      </c>
    </row>
    <row r="25" spans="1:15" ht="15" thickBot="1">
      <c r="A25" s="197"/>
      <c r="B25" s="197"/>
      <c r="C25" s="2"/>
      <c r="D25" s="35"/>
      <c r="E25" s="35"/>
      <c r="F25" s="35"/>
      <c r="G25" s="2"/>
      <c r="H25" s="2"/>
      <c r="I25" s="25" t="s">
        <v>5</v>
      </c>
      <c r="J25" s="145">
        <v>9625.3864849999991</v>
      </c>
      <c r="K25" s="145">
        <v>9625.3864849999991</v>
      </c>
      <c r="L25" s="48"/>
      <c r="M25" s="111"/>
      <c r="N25" s="98"/>
    </row>
    <row r="26" spans="1:15" ht="15">
      <c r="A26" s="11"/>
      <c r="B26" s="12"/>
      <c r="C26" s="2"/>
      <c r="D26" s="2"/>
      <c r="E26" s="2"/>
      <c r="F26" s="2"/>
      <c r="G26" s="2"/>
      <c r="H26" s="2"/>
      <c r="I26" s="2"/>
      <c r="J26" s="2"/>
      <c r="K26" s="13"/>
      <c r="L26" s="23"/>
      <c r="M26" s="108"/>
      <c r="N26" s="98"/>
    </row>
    <row r="27" spans="1:15" ht="21" thickBot="1">
      <c r="A27" s="6" t="s">
        <v>41</v>
      </c>
      <c r="B27" s="7"/>
      <c r="C27" s="8"/>
      <c r="D27" s="2"/>
      <c r="E27" s="2"/>
      <c r="H27" s="2"/>
      <c r="I27" s="9"/>
      <c r="J27" s="8"/>
      <c r="K27" s="10"/>
      <c r="L27" s="2"/>
      <c r="M27" s="104"/>
      <c r="N27" s="98"/>
    </row>
    <row r="28" spans="1:15" ht="21" thickBot="1">
      <c r="A28" s="6"/>
      <c r="E28" s="2"/>
      <c r="F28" s="2"/>
      <c r="G28" s="2"/>
      <c r="H28" s="198" t="s">
        <v>48</v>
      </c>
      <c r="I28" s="199"/>
      <c r="J28" s="146"/>
      <c r="K28" s="2"/>
      <c r="L28" s="5"/>
      <c r="M28" s="112"/>
      <c r="N28" s="98"/>
    </row>
    <row r="29" spans="1:15" ht="15" thickBot="1">
      <c r="A29" s="137" t="s">
        <v>11</v>
      </c>
      <c r="B29" s="1" t="s">
        <v>12</v>
      </c>
      <c r="C29" s="198" t="s">
        <v>13</v>
      </c>
      <c r="D29" s="200"/>
      <c r="E29" s="199"/>
      <c r="F29" s="138" t="s">
        <v>1</v>
      </c>
      <c r="G29" s="1" t="s">
        <v>40</v>
      </c>
      <c r="H29" s="1" t="s">
        <v>3</v>
      </c>
      <c r="I29" s="1" t="s">
        <v>4</v>
      </c>
      <c r="J29" s="1" t="s">
        <v>14</v>
      </c>
      <c r="K29" s="1" t="s">
        <v>15</v>
      </c>
      <c r="L29" s="103" t="s">
        <v>70</v>
      </c>
      <c r="M29" s="104"/>
      <c r="N29" s="98"/>
    </row>
    <row r="30" spans="1:15" s="5" customFormat="1" ht="51.75" thickBot="1">
      <c r="A30" s="70" t="s">
        <v>42</v>
      </c>
      <c r="B30" s="84">
        <v>41614</v>
      </c>
      <c r="C30" s="186" t="s">
        <v>43</v>
      </c>
      <c r="D30" s="187"/>
      <c r="E30" s="188"/>
      <c r="F30" s="92" t="s">
        <v>59</v>
      </c>
      <c r="G30" s="71">
        <v>40612</v>
      </c>
      <c r="H30" s="32">
        <v>2099.145</v>
      </c>
      <c r="I30" s="87">
        <v>2099.145</v>
      </c>
      <c r="J30" s="93">
        <v>100</v>
      </c>
      <c r="K30" s="147">
        <v>0.89</v>
      </c>
      <c r="L30" s="130" t="s">
        <v>76</v>
      </c>
      <c r="M30" s="113"/>
      <c r="N30" s="98"/>
    </row>
    <row r="31" spans="1:15" s="5" customFormat="1" ht="51.75" thickBot="1">
      <c r="A31" s="70" t="s">
        <v>42</v>
      </c>
      <c r="B31" s="84">
        <v>41614</v>
      </c>
      <c r="C31" s="186" t="s">
        <v>43</v>
      </c>
      <c r="D31" s="187"/>
      <c r="E31" s="188"/>
      <c r="F31" s="85" t="s">
        <v>59</v>
      </c>
      <c r="G31" s="71">
        <v>40641</v>
      </c>
      <c r="H31" s="32">
        <v>699.71500000000003</v>
      </c>
      <c r="I31" s="87">
        <v>699.71500000000003</v>
      </c>
      <c r="J31" s="93">
        <v>100</v>
      </c>
      <c r="K31" s="147">
        <v>0.89</v>
      </c>
      <c r="L31" s="130" t="s">
        <v>76</v>
      </c>
      <c r="M31" s="113"/>
      <c r="N31" s="98"/>
    </row>
    <row r="32" spans="1:15" s="5" customFormat="1" ht="51.75" thickBot="1">
      <c r="A32" s="70" t="s">
        <v>42</v>
      </c>
      <c r="B32" s="84">
        <v>41614</v>
      </c>
      <c r="C32" s="186" t="s">
        <v>43</v>
      </c>
      <c r="D32" s="187"/>
      <c r="E32" s="188"/>
      <c r="F32" s="92" t="s">
        <v>59</v>
      </c>
      <c r="G32" s="86">
        <v>40672</v>
      </c>
      <c r="H32" s="32">
        <v>699.71500000000003</v>
      </c>
      <c r="I32" s="87">
        <v>699.71500000000003</v>
      </c>
      <c r="J32" s="93">
        <v>100</v>
      </c>
      <c r="K32" s="147">
        <v>0.89</v>
      </c>
      <c r="L32" s="130" t="s">
        <v>76</v>
      </c>
      <c r="M32" s="113"/>
      <c r="N32" s="98"/>
    </row>
    <row r="33" spans="1:14" s="5" customFormat="1" ht="51.75" thickBot="1">
      <c r="A33" s="70" t="s">
        <v>42</v>
      </c>
      <c r="B33" s="84">
        <v>41614</v>
      </c>
      <c r="C33" s="186" t="s">
        <v>43</v>
      </c>
      <c r="D33" s="187"/>
      <c r="E33" s="188"/>
      <c r="F33" s="85" t="s">
        <v>59</v>
      </c>
      <c r="G33" s="86">
        <v>40702</v>
      </c>
      <c r="H33" s="32">
        <v>699.71500000000003</v>
      </c>
      <c r="I33" s="87">
        <v>699.71500000000003</v>
      </c>
      <c r="J33" s="93">
        <v>100</v>
      </c>
      <c r="K33" s="147">
        <v>0.89</v>
      </c>
      <c r="L33" s="130" t="s">
        <v>76</v>
      </c>
      <c r="M33" s="113"/>
      <c r="N33" s="98"/>
    </row>
    <row r="34" spans="1:14" s="5" customFormat="1" ht="51.75" thickBot="1">
      <c r="A34" s="70" t="s">
        <v>42</v>
      </c>
      <c r="B34" s="84">
        <v>41614</v>
      </c>
      <c r="C34" s="186" t="s">
        <v>43</v>
      </c>
      <c r="D34" s="187"/>
      <c r="E34" s="188"/>
      <c r="F34" s="85" t="s">
        <v>59</v>
      </c>
      <c r="G34" s="86">
        <v>40718</v>
      </c>
      <c r="H34" s="33">
        <v>3000</v>
      </c>
      <c r="I34" s="94">
        <v>3000</v>
      </c>
      <c r="J34" s="88">
        <v>100</v>
      </c>
      <c r="K34" s="147">
        <v>0.89</v>
      </c>
      <c r="L34" s="133" t="s">
        <v>75</v>
      </c>
      <c r="M34" s="113"/>
      <c r="N34" s="98"/>
    </row>
    <row r="35" spans="1:14" s="5" customFormat="1" ht="51.75" thickBot="1">
      <c r="A35" s="70" t="s">
        <v>42</v>
      </c>
      <c r="B35" s="84">
        <v>41614</v>
      </c>
      <c r="C35" s="186" t="s">
        <v>43</v>
      </c>
      <c r="D35" s="187"/>
      <c r="E35" s="188"/>
      <c r="F35" s="85" t="s">
        <v>59</v>
      </c>
      <c r="G35" s="86">
        <v>40732</v>
      </c>
      <c r="H35" s="32">
        <v>699.71500000000003</v>
      </c>
      <c r="I35" s="87">
        <v>699.71500000000003</v>
      </c>
      <c r="J35" s="88">
        <v>100</v>
      </c>
      <c r="K35" s="147">
        <v>0.89</v>
      </c>
      <c r="L35" s="130" t="s">
        <v>76</v>
      </c>
      <c r="M35" s="113"/>
      <c r="N35" s="98"/>
    </row>
    <row r="36" spans="1:14" s="5" customFormat="1" ht="51.75" thickBot="1">
      <c r="A36" s="70" t="s">
        <v>42</v>
      </c>
      <c r="B36" s="84">
        <v>41614</v>
      </c>
      <c r="C36" s="186" t="s">
        <v>43</v>
      </c>
      <c r="D36" s="187"/>
      <c r="E36" s="188"/>
      <c r="F36" s="85" t="s">
        <v>59</v>
      </c>
      <c r="G36" s="86">
        <v>40763</v>
      </c>
      <c r="H36" s="32">
        <v>699.71500000000003</v>
      </c>
      <c r="I36" s="87">
        <v>699.71500000000003</v>
      </c>
      <c r="J36" s="88">
        <v>100</v>
      </c>
      <c r="K36" s="147">
        <v>0.89</v>
      </c>
      <c r="L36" s="130" t="s">
        <v>76</v>
      </c>
      <c r="M36" s="113"/>
      <c r="N36" s="98"/>
    </row>
    <row r="37" spans="1:14" s="5" customFormat="1" ht="51.75" thickBot="1">
      <c r="A37" s="70" t="s">
        <v>42</v>
      </c>
      <c r="B37" s="84">
        <v>41614</v>
      </c>
      <c r="C37" s="186" t="s">
        <v>43</v>
      </c>
      <c r="D37" s="187"/>
      <c r="E37" s="188"/>
      <c r="F37" s="85" t="s">
        <v>59</v>
      </c>
      <c r="G37" s="86">
        <v>40794</v>
      </c>
      <c r="H37" s="32">
        <v>699.71500000000003</v>
      </c>
      <c r="I37" s="87">
        <v>699.71500000000003</v>
      </c>
      <c r="J37" s="88">
        <v>100</v>
      </c>
      <c r="K37" s="147">
        <v>0.89</v>
      </c>
      <c r="L37" s="130" t="s">
        <v>76</v>
      </c>
      <c r="M37" s="113"/>
      <c r="N37" s="98"/>
    </row>
    <row r="38" spans="1:14" s="5" customFormat="1" ht="51.75" thickBot="1">
      <c r="A38" s="70" t="s">
        <v>42</v>
      </c>
      <c r="B38" s="84">
        <v>41614</v>
      </c>
      <c r="C38" s="186" t="s">
        <v>43</v>
      </c>
      <c r="D38" s="187"/>
      <c r="E38" s="188"/>
      <c r="F38" s="85" t="s">
        <v>59</v>
      </c>
      <c r="G38" s="86">
        <v>40827</v>
      </c>
      <c r="H38" s="32">
        <v>699.71500000000003</v>
      </c>
      <c r="I38" s="87">
        <v>699.71500000000003</v>
      </c>
      <c r="J38" s="88">
        <v>100</v>
      </c>
      <c r="K38" s="147">
        <v>0.89</v>
      </c>
      <c r="L38" s="130" t="s">
        <v>76</v>
      </c>
      <c r="M38" s="113"/>
      <c r="N38" s="98"/>
    </row>
    <row r="39" spans="1:14" s="5" customFormat="1" ht="51.75" thickBot="1">
      <c r="A39" s="34" t="s">
        <v>42</v>
      </c>
      <c r="B39" s="30">
        <v>41766</v>
      </c>
      <c r="C39" s="183" t="s">
        <v>43</v>
      </c>
      <c r="D39" s="184"/>
      <c r="E39" s="185"/>
      <c r="F39" s="148" t="s">
        <v>100</v>
      </c>
      <c r="G39" s="149">
        <v>40854</v>
      </c>
      <c r="H39" s="32">
        <v>2000</v>
      </c>
      <c r="I39" s="32">
        <v>2000</v>
      </c>
      <c r="J39" s="33">
        <v>100</v>
      </c>
      <c r="K39" s="147">
        <v>1.2969999999999999</v>
      </c>
      <c r="L39" s="133" t="s">
        <v>77</v>
      </c>
      <c r="M39" s="113"/>
      <c r="N39" s="98"/>
    </row>
    <row r="40" spans="1:14" s="5" customFormat="1" ht="51.75" thickBot="1">
      <c r="A40" s="70" t="s">
        <v>42</v>
      </c>
      <c r="B40" s="84">
        <v>41614</v>
      </c>
      <c r="C40" s="186" t="s">
        <v>43</v>
      </c>
      <c r="D40" s="187"/>
      <c r="E40" s="188"/>
      <c r="F40" s="85" t="s">
        <v>59</v>
      </c>
      <c r="G40" s="86">
        <v>40855</v>
      </c>
      <c r="H40" s="32">
        <v>699.71500000000003</v>
      </c>
      <c r="I40" s="87">
        <v>699.71500000000003</v>
      </c>
      <c r="J40" s="88">
        <v>100</v>
      </c>
      <c r="K40" s="147">
        <v>0.89</v>
      </c>
      <c r="L40" s="130" t="s">
        <v>76</v>
      </c>
      <c r="M40" s="113"/>
      <c r="N40" s="98"/>
    </row>
    <row r="41" spans="1:14" s="67" customFormat="1" ht="51.75" thickBot="1">
      <c r="A41" s="34" t="s">
        <v>42</v>
      </c>
      <c r="B41" s="30">
        <v>41614</v>
      </c>
      <c r="C41" s="183" t="s">
        <v>43</v>
      </c>
      <c r="D41" s="184"/>
      <c r="E41" s="185"/>
      <c r="F41" s="148" t="s">
        <v>59</v>
      </c>
      <c r="G41" s="149">
        <v>40889</v>
      </c>
      <c r="H41" s="32">
        <v>699.63499999999999</v>
      </c>
      <c r="I41" s="32">
        <v>699.63499999999999</v>
      </c>
      <c r="J41" s="33">
        <v>100</v>
      </c>
      <c r="K41" s="147">
        <v>0.89</v>
      </c>
      <c r="L41" s="130" t="s">
        <v>76</v>
      </c>
      <c r="M41" s="143"/>
      <c r="N41" s="99"/>
    </row>
    <row r="42" spans="1:14" s="5" customFormat="1" ht="39" thickBot="1">
      <c r="A42" s="70" t="s">
        <v>64</v>
      </c>
      <c r="B42" s="84">
        <v>42447</v>
      </c>
      <c r="C42" s="186" t="s">
        <v>65</v>
      </c>
      <c r="D42" s="187"/>
      <c r="E42" s="188"/>
      <c r="F42" s="73" t="s">
        <v>6</v>
      </c>
      <c r="G42" s="86">
        <v>40877</v>
      </c>
      <c r="H42" s="32">
        <v>893.32073600000001</v>
      </c>
      <c r="I42" s="87">
        <v>927</v>
      </c>
      <c r="J42" s="88">
        <v>103.77012000000001</v>
      </c>
      <c r="K42" s="89">
        <v>4.2164383561643834</v>
      </c>
      <c r="L42" s="133" t="s">
        <v>92</v>
      </c>
      <c r="M42" s="113"/>
      <c r="N42" s="98"/>
    </row>
    <row r="43" spans="1:14" s="5" customFormat="1" ht="15" thickBot="1">
      <c r="G43" s="25" t="s">
        <v>5</v>
      </c>
      <c r="H43" s="145">
        <f>SUM(H30:H42)</f>
        <v>14289.820736</v>
      </c>
      <c r="I43" s="145">
        <f>SUM(I30:I42)</f>
        <v>14323.5</v>
      </c>
      <c r="J43" s="90"/>
      <c r="K43" s="91"/>
      <c r="L43" s="2"/>
      <c r="M43" s="113"/>
      <c r="N43" s="98"/>
    </row>
    <row r="44" spans="1:14">
      <c r="C44" s="2"/>
      <c r="D44" s="14"/>
      <c r="E44" s="2"/>
      <c r="F44" s="14"/>
      <c r="G44" s="43"/>
      <c r="H44" s="18"/>
      <c r="I44" s="2"/>
      <c r="J44" s="2"/>
      <c r="K44" s="2"/>
      <c r="L44" s="2"/>
      <c r="M44" s="114"/>
      <c r="N44" s="98"/>
    </row>
    <row r="45" spans="1:14">
      <c r="A45" s="11"/>
      <c r="B45" s="12"/>
      <c r="C45" s="2"/>
      <c r="D45" s="2"/>
      <c r="E45" s="2"/>
      <c r="F45" s="2"/>
      <c r="G45" s="2"/>
      <c r="H45" s="18"/>
      <c r="I45" s="2"/>
      <c r="J45" s="13"/>
      <c r="K45" s="23"/>
      <c r="L45" s="23"/>
      <c r="M45" s="115"/>
      <c r="N45" s="98"/>
    </row>
    <row r="46" spans="1:14" ht="20.25">
      <c r="A46" s="17" t="s">
        <v>50</v>
      </c>
      <c r="B46" s="7"/>
      <c r="C46" s="8"/>
      <c r="D46" s="2"/>
      <c r="E46" s="31"/>
      <c r="F46" s="150"/>
      <c r="G46" s="2"/>
      <c r="H46" s="16"/>
      <c r="I46" s="69"/>
      <c r="J46" s="8"/>
      <c r="K46" s="10"/>
      <c r="L46" s="2"/>
      <c r="M46" s="104"/>
      <c r="N46" s="98"/>
    </row>
    <row r="47" spans="1:14" ht="21" thickBot="1">
      <c r="A47" s="41"/>
      <c r="B47" s="65"/>
      <c r="C47" s="66"/>
      <c r="D47" s="31"/>
      <c r="E47" s="31"/>
      <c r="F47" s="31"/>
      <c r="G47" s="31"/>
      <c r="H47" s="39"/>
      <c r="I47" s="67"/>
      <c r="J47" s="67"/>
      <c r="K47" s="31"/>
      <c r="L47" s="31"/>
      <c r="M47" s="116"/>
      <c r="N47" s="99"/>
    </row>
    <row r="48" spans="1:14" ht="26.25" thickBot="1">
      <c r="A48" s="1" t="s">
        <v>9</v>
      </c>
      <c r="B48" s="1" t="s">
        <v>2</v>
      </c>
      <c r="C48" s="137" t="s">
        <v>8</v>
      </c>
      <c r="D48" s="191" t="s">
        <v>10</v>
      </c>
      <c r="E48" s="192"/>
      <c r="F48" s="193"/>
      <c r="G48" s="138" t="s">
        <v>1</v>
      </c>
      <c r="H48" s="1" t="s">
        <v>37</v>
      </c>
      <c r="I48" s="1" t="s">
        <v>18</v>
      </c>
      <c r="J48" s="15" t="s">
        <v>33</v>
      </c>
      <c r="K48" s="15" t="s">
        <v>17</v>
      </c>
      <c r="L48" s="1" t="s">
        <v>16</v>
      </c>
      <c r="M48" s="107" t="s">
        <v>70</v>
      </c>
    </row>
    <row r="49" spans="1:15" s="5" customFormat="1" ht="39" thickBot="1">
      <c r="A49" s="70" t="s">
        <v>44</v>
      </c>
      <c r="B49" s="71">
        <v>40604</v>
      </c>
      <c r="C49" s="72">
        <v>40970</v>
      </c>
      <c r="D49" s="173" t="s">
        <v>56</v>
      </c>
      <c r="E49" s="174"/>
      <c r="F49" s="175"/>
      <c r="G49" s="73" t="s">
        <v>6</v>
      </c>
      <c r="H49" s="74">
        <v>40604</v>
      </c>
      <c r="I49" s="75" t="s">
        <v>49</v>
      </c>
      <c r="J49" s="32"/>
      <c r="K49" s="151">
        <v>35.057465999999998</v>
      </c>
      <c r="L49" s="77">
        <v>366</v>
      </c>
      <c r="M49" s="133" t="s">
        <v>79</v>
      </c>
      <c r="N49" s="98"/>
    </row>
    <row r="50" spans="1:15" s="5" customFormat="1" ht="39" thickBot="1">
      <c r="A50" s="70" t="s">
        <v>23</v>
      </c>
      <c r="B50" s="71">
        <v>40613</v>
      </c>
      <c r="C50" s="72">
        <v>40977</v>
      </c>
      <c r="D50" s="173" t="s">
        <v>57</v>
      </c>
      <c r="E50" s="174"/>
      <c r="F50" s="175"/>
      <c r="G50" s="73" t="s">
        <v>6</v>
      </c>
      <c r="H50" s="78">
        <v>40613</v>
      </c>
      <c r="I50" s="79" t="s">
        <v>49</v>
      </c>
      <c r="J50" s="32"/>
      <c r="K50" s="151">
        <v>160</v>
      </c>
      <c r="L50" s="77">
        <v>364</v>
      </c>
      <c r="M50" s="133" t="s">
        <v>87</v>
      </c>
      <c r="N50" s="98"/>
    </row>
    <row r="51" spans="1:15" s="2" customFormat="1" ht="39" thickBot="1">
      <c r="A51" s="70" t="s">
        <v>44</v>
      </c>
      <c r="B51" s="71">
        <v>40604</v>
      </c>
      <c r="C51" s="72">
        <v>40970</v>
      </c>
      <c r="D51" s="173" t="s">
        <v>58</v>
      </c>
      <c r="E51" s="174"/>
      <c r="F51" s="175"/>
      <c r="G51" s="73" t="s">
        <v>6</v>
      </c>
      <c r="H51" s="80">
        <v>40625</v>
      </c>
      <c r="I51" s="81" t="s">
        <v>49</v>
      </c>
      <c r="J51" s="32"/>
      <c r="K51" s="151">
        <v>737.25209800000005</v>
      </c>
      <c r="L51" s="77">
        <v>366</v>
      </c>
      <c r="M51" s="133" t="s">
        <v>79</v>
      </c>
      <c r="N51" s="98"/>
    </row>
    <row r="52" spans="1:15" s="5" customFormat="1" ht="39" thickBot="1">
      <c r="A52" s="70" t="s">
        <v>44</v>
      </c>
      <c r="B52" s="71">
        <v>40763</v>
      </c>
      <c r="C52" s="72">
        <v>41128</v>
      </c>
      <c r="D52" s="190" t="s">
        <v>101</v>
      </c>
      <c r="E52" s="174"/>
      <c r="F52" s="175"/>
      <c r="G52" s="73" t="s">
        <v>6</v>
      </c>
      <c r="H52" s="71">
        <v>40763</v>
      </c>
      <c r="I52" s="79" t="s">
        <v>39</v>
      </c>
      <c r="J52" s="32">
        <v>66</v>
      </c>
      <c r="K52" s="151"/>
      <c r="L52" s="77">
        <v>365</v>
      </c>
      <c r="M52" s="132" t="s">
        <v>80</v>
      </c>
      <c r="N52" s="98"/>
    </row>
    <row r="53" spans="1:15" s="5" customFormat="1" ht="39" thickBot="1">
      <c r="A53" s="70" t="s">
        <v>60</v>
      </c>
      <c r="B53" s="71">
        <v>40763</v>
      </c>
      <c r="C53" s="72">
        <v>40945</v>
      </c>
      <c r="D53" s="190" t="s">
        <v>102</v>
      </c>
      <c r="E53" s="174"/>
      <c r="F53" s="175"/>
      <c r="G53" s="73" t="s">
        <v>6</v>
      </c>
      <c r="H53" s="78">
        <v>40763</v>
      </c>
      <c r="I53" s="79" t="s">
        <v>39</v>
      </c>
      <c r="J53" s="32">
        <v>47</v>
      </c>
      <c r="K53" s="151"/>
      <c r="L53" s="77">
        <v>182</v>
      </c>
      <c r="M53" s="133" t="s">
        <v>86</v>
      </c>
      <c r="N53" s="98"/>
    </row>
    <row r="54" spans="1:15" s="5" customFormat="1" ht="39" thickBot="1">
      <c r="A54" s="70" t="s">
        <v>61</v>
      </c>
      <c r="B54" s="71">
        <v>40771</v>
      </c>
      <c r="C54" s="72">
        <v>40953</v>
      </c>
      <c r="D54" s="190" t="s">
        <v>103</v>
      </c>
      <c r="E54" s="174"/>
      <c r="F54" s="175"/>
      <c r="G54" s="73" t="s">
        <v>6</v>
      </c>
      <c r="H54" s="71">
        <v>40771</v>
      </c>
      <c r="I54" s="79" t="s">
        <v>49</v>
      </c>
      <c r="J54" s="32"/>
      <c r="K54" s="151">
        <v>145.47470999999999</v>
      </c>
      <c r="L54" s="77">
        <v>182</v>
      </c>
      <c r="M54" s="133" t="s">
        <v>81</v>
      </c>
      <c r="N54" s="98"/>
    </row>
    <row r="55" spans="1:15" s="5" customFormat="1" ht="39" thickBot="1">
      <c r="A55" s="70" t="s">
        <v>47</v>
      </c>
      <c r="B55" s="71">
        <v>40772</v>
      </c>
      <c r="C55" s="72">
        <v>41137</v>
      </c>
      <c r="D55" s="190" t="s">
        <v>104</v>
      </c>
      <c r="E55" s="174"/>
      <c r="F55" s="175"/>
      <c r="G55" s="73" t="s">
        <v>6</v>
      </c>
      <c r="H55" s="78">
        <v>40772</v>
      </c>
      <c r="I55" s="79" t="s">
        <v>49</v>
      </c>
      <c r="J55" s="32"/>
      <c r="K55" s="151">
        <v>46.727124000000003</v>
      </c>
      <c r="L55" s="77">
        <v>365</v>
      </c>
      <c r="M55" s="133" t="s">
        <v>91</v>
      </c>
      <c r="N55" s="98"/>
    </row>
    <row r="56" spans="1:15" s="5" customFormat="1" ht="39" thickBot="1">
      <c r="A56" s="70" t="s">
        <v>69</v>
      </c>
      <c r="B56" s="71">
        <v>40778</v>
      </c>
      <c r="C56" s="72">
        <v>40960</v>
      </c>
      <c r="D56" s="190" t="s">
        <v>105</v>
      </c>
      <c r="E56" s="174"/>
      <c r="F56" s="175"/>
      <c r="G56" s="73" t="s">
        <v>6</v>
      </c>
      <c r="H56" s="78">
        <v>40778</v>
      </c>
      <c r="I56" s="79" t="s">
        <v>49</v>
      </c>
      <c r="J56" s="32"/>
      <c r="K56" s="151">
        <v>160.63499999999999</v>
      </c>
      <c r="L56" s="77">
        <v>182</v>
      </c>
      <c r="M56" s="133" t="s">
        <v>85</v>
      </c>
      <c r="N56" s="189"/>
    </row>
    <row r="57" spans="1:15" s="5" customFormat="1" ht="44.25" customHeight="1" thickBot="1">
      <c r="A57" s="70" t="s">
        <v>44</v>
      </c>
      <c r="B57" s="36">
        <v>40788</v>
      </c>
      <c r="C57" s="72">
        <v>41152</v>
      </c>
      <c r="D57" s="170" t="s">
        <v>106</v>
      </c>
      <c r="E57" s="171"/>
      <c r="F57" s="172"/>
      <c r="G57" s="73" t="s">
        <v>6</v>
      </c>
      <c r="H57" s="78">
        <v>40788</v>
      </c>
      <c r="I57" s="79" t="s">
        <v>49</v>
      </c>
      <c r="J57" s="32"/>
      <c r="K57" s="151">
        <v>609.1</v>
      </c>
      <c r="L57" s="77">
        <v>364</v>
      </c>
      <c r="M57" s="133" t="s">
        <v>107</v>
      </c>
      <c r="N57" s="189"/>
    </row>
    <row r="58" spans="1:15" s="5" customFormat="1" ht="39" thickBot="1">
      <c r="A58" s="70" t="s">
        <v>63</v>
      </c>
      <c r="B58" s="71">
        <v>40798</v>
      </c>
      <c r="C58" s="72">
        <v>40980</v>
      </c>
      <c r="D58" s="170" t="s">
        <v>108</v>
      </c>
      <c r="E58" s="171"/>
      <c r="F58" s="172"/>
      <c r="G58" s="73" t="s">
        <v>6</v>
      </c>
      <c r="H58" s="71">
        <v>40798</v>
      </c>
      <c r="I58" s="82" t="s">
        <v>49</v>
      </c>
      <c r="J58" s="32"/>
      <c r="K58" s="151">
        <v>1630</v>
      </c>
      <c r="L58" s="77">
        <v>182</v>
      </c>
      <c r="M58" s="133" t="s">
        <v>88</v>
      </c>
      <c r="N58" s="152"/>
    </row>
    <row r="59" spans="1:15" s="5" customFormat="1" ht="39" customHeight="1" thickBot="1">
      <c r="A59" s="70" t="s">
        <v>63</v>
      </c>
      <c r="B59" s="71">
        <v>40897</v>
      </c>
      <c r="C59" s="72">
        <v>41079</v>
      </c>
      <c r="D59" s="170" t="s">
        <v>109</v>
      </c>
      <c r="E59" s="171"/>
      <c r="F59" s="172"/>
      <c r="G59" s="73" t="s">
        <v>6</v>
      </c>
      <c r="H59" s="71">
        <v>40897</v>
      </c>
      <c r="I59" s="82" t="s">
        <v>49</v>
      </c>
      <c r="J59" s="32"/>
      <c r="K59" s="151">
        <v>700</v>
      </c>
      <c r="L59" s="77">
        <v>182</v>
      </c>
      <c r="M59" s="133" t="s">
        <v>89</v>
      </c>
      <c r="N59" s="152"/>
    </row>
    <row r="60" spans="1:15" s="5" customFormat="1" ht="39" thickBot="1">
      <c r="A60" s="70" t="s">
        <v>68</v>
      </c>
      <c r="B60" s="71">
        <v>40889</v>
      </c>
      <c r="C60" s="72">
        <v>41071</v>
      </c>
      <c r="D60" s="170" t="s">
        <v>110</v>
      </c>
      <c r="E60" s="171"/>
      <c r="F60" s="172"/>
      <c r="G60" s="73" t="s">
        <v>6</v>
      </c>
      <c r="H60" s="71">
        <v>40889</v>
      </c>
      <c r="I60" s="82" t="s">
        <v>49</v>
      </c>
      <c r="J60" s="32"/>
      <c r="K60" s="151">
        <v>40</v>
      </c>
      <c r="L60" s="77">
        <v>182</v>
      </c>
      <c r="M60" s="133" t="s">
        <v>74</v>
      </c>
      <c r="N60" s="98"/>
    </row>
    <row r="61" spans="1:15" s="5" customFormat="1" ht="39" thickBot="1">
      <c r="A61" s="70" t="s">
        <v>67</v>
      </c>
      <c r="B61" s="71">
        <v>40883</v>
      </c>
      <c r="C61" s="72">
        <v>40974</v>
      </c>
      <c r="D61" s="170" t="s">
        <v>111</v>
      </c>
      <c r="E61" s="171"/>
      <c r="F61" s="172"/>
      <c r="G61" s="73" t="s">
        <v>6</v>
      </c>
      <c r="H61" s="71">
        <v>40798</v>
      </c>
      <c r="I61" s="82" t="s">
        <v>49</v>
      </c>
      <c r="J61" s="32"/>
      <c r="K61" s="151">
        <v>150</v>
      </c>
      <c r="L61" s="77">
        <v>91</v>
      </c>
      <c r="M61" s="133" t="s">
        <v>84</v>
      </c>
      <c r="N61" s="98"/>
    </row>
    <row r="62" spans="1:15" s="67" customFormat="1" ht="39" thickBot="1">
      <c r="A62" s="34" t="s">
        <v>44</v>
      </c>
      <c r="B62" s="36">
        <v>40879</v>
      </c>
      <c r="C62" s="37">
        <v>41243</v>
      </c>
      <c r="D62" s="170" t="s">
        <v>66</v>
      </c>
      <c r="E62" s="171"/>
      <c r="F62" s="172"/>
      <c r="G62" s="153" t="s">
        <v>6</v>
      </c>
      <c r="H62" s="154">
        <v>40879</v>
      </c>
      <c r="I62" s="155" t="s">
        <v>49</v>
      </c>
      <c r="J62" s="32"/>
      <c r="K62" s="151">
        <v>317</v>
      </c>
      <c r="L62" s="151">
        <f>+C62-B62</f>
        <v>364</v>
      </c>
      <c r="M62" s="133" t="s">
        <v>78</v>
      </c>
      <c r="N62" s="169"/>
      <c r="O62" s="156"/>
    </row>
    <row r="63" spans="1:15" s="67" customFormat="1" ht="46.5" customHeight="1" thickBot="1">
      <c r="A63" s="34" t="s">
        <v>44</v>
      </c>
      <c r="B63" s="36">
        <v>40879</v>
      </c>
      <c r="C63" s="37">
        <v>41243</v>
      </c>
      <c r="D63" s="170" t="s">
        <v>66</v>
      </c>
      <c r="E63" s="171"/>
      <c r="F63" s="172"/>
      <c r="G63" s="153" t="s">
        <v>6</v>
      </c>
      <c r="H63" s="154">
        <v>40897</v>
      </c>
      <c r="I63" s="155" t="s">
        <v>49</v>
      </c>
      <c r="J63" s="32"/>
      <c r="K63" s="151">
        <v>20.399999999999999</v>
      </c>
      <c r="L63" s="151">
        <f>+C63-B63</f>
        <v>364</v>
      </c>
      <c r="M63" s="133" t="s">
        <v>78</v>
      </c>
      <c r="N63" s="169"/>
      <c r="O63" s="156"/>
    </row>
    <row r="64" spans="1:15" s="5" customFormat="1" ht="39" thickBot="1">
      <c r="A64" s="70" t="s">
        <v>63</v>
      </c>
      <c r="B64" s="71">
        <v>40840</v>
      </c>
      <c r="C64" s="72">
        <v>41022</v>
      </c>
      <c r="D64" s="173" t="s">
        <v>62</v>
      </c>
      <c r="E64" s="174"/>
      <c r="F64" s="175"/>
      <c r="G64" s="73" t="s">
        <v>6</v>
      </c>
      <c r="H64" s="71">
        <v>40840</v>
      </c>
      <c r="I64" s="82" t="s">
        <v>49</v>
      </c>
      <c r="J64" s="32"/>
      <c r="K64" s="32">
        <v>500</v>
      </c>
      <c r="L64" s="77">
        <v>182</v>
      </c>
      <c r="M64" s="133" t="s">
        <v>90</v>
      </c>
      <c r="N64" s="98"/>
    </row>
    <row r="65" spans="1:14" ht="24" thickBot="1">
      <c r="A65" s="40"/>
      <c r="B65" s="2"/>
      <c r="C65" s="16"/>
      <c r="D65" s="14"/>
      <c r="E65" s="28"/>
      <c r="F65" s="28"/>
      <c r="G65" s="29"/>
      <c r="H65" s="2"/>
      <c r="I65" s="49" t="s">
        <v>5</v>
      </c>
      <c r="J65" s="145">
        <v>113</v>
      </c>
      <c r="K65" s="145">
        <v>5251.6463979999999</v>
      </c>
      <c r="L65" s="20"/>
    </row>
    <row r="66" spans="1:14">
      <c r="A66" s="2"/>
      <c r="B66" s="2"/>
      <c r="C66" s="2"/>
      <c r="D66" s="14"/>
      <c r="E66" s="14"/>
      <c r="F66" s="14"/>
      <c r="G66" s="2"/>
      <c r="H66" s="21"/>
      <c r="I66" s="22"/>
      <c r="J66" s="22"/>
      <c r="K66" s="20"/>
      <c r="L66" s="2"/>
      <c r="M66" s="104"/>
      <c r="N66" s="98"/>
    </row>
    <row r="67" spans="1:14">
      <c r="A67" s="2"/>
      <c r="B67" s="2"/>
      <c r="C67" s="2"/>
      <c r="D67" s="14"/>
      <c r="E67" s="14"/>
      <c r="F67" s="14"/>
      <c r="G67" s="2"/>
      <c r="H67" s="21"/>
      <c r="I67" s="22"/>
      <c r="J67" s="22"/>
      <c r="K67" s="20"/>
      <c r="L67" s="2"/>
      <c r="M67" s="104"/>
      <c r="N67" s="98"/>
    </row>
    <row r="68" spans="1:14" ht="23.25">
      <c r="A68" s="83" t="s">
        <v>51</v>
      </c>
      <c r="B68" s="31"/>
      <c r="C68" s="31"/>
      <c r="D68" s="31"/>
      <c r="E68" s="31"/>
      <c r="F68" s="31"/>
      <c r="G68" s="31"/>
      <c r="H68" s="2"/>
      <c r="I68" s="19"/>
      <c r="J68" s="68"/>
      <c r="K68" s="2"/>
      <c r="L68" s="2"/>
      <c r="M68" s="104"/>
      <c r="N68" s="98"/>
    </row>
    <row r="69" spans="1:14" ht="24" thickBot="1">
      <c r="A69" s="64"/>
      <c r="B69" s="31"/>
      <c r="C69" s="31"/>
      <c r="D69" s="31"/>
      <c r="E69" s="31"/>
      <c r="F69" s="31"/>
      <c r="G69" s="31"/>
      <c r="H69" s="2"/>
      <c r="I69" s="19"/>
      <c r="J69" s="19"/>
      <c r="K69" s="2"/>
      <c r="L69" s="2"/>
      <c r="M69" s="104"/>
      <c r="N69" s="98"/>
    </row>
    <row r="70" spans="1:14" ht="15" thickBot="1">
      <c r="A70" s="2"/>
      <c r="B70" s="2"/>
      <c r="C70" s="176" t="s">
        <v>34</v>
      </c>
      <c r="D70" s="177"/>
      <c r="E70" s="177"/>
      <c r="F70" s="177"/>
      <c r="G70" s="177"/>
      <c r="H70" s="177"/>
      <c r="I70" s="177"/>
      <c r="J70" s="177"/>
      <c r="K70" s="178"/>
      <c r="L70" s="2"/>
      <c r="M70" s="104"/>
      <c r="N70" s="98"/>
    </row>
    <row r="71" spans="1:14" ht="15" thickBot="1">
      <c r="A71" s="2"/>
      <c r="B71" s="2"/>
      <c r="C71" s="26">
        <v>39447</v>
      </c>
      <c r="D71" s="179">
        <v>39813</v>
      </c>
      <c r="E71" s="180"/>
      <c r="F71" s="181">
        <v>40178</v>
      </c>
      <c r="G71" s="182"/>
      <c r="H71" s="181">
        <v>40543</v>
      </c>
      <c r="I71" s="182"/>
      <c r="J71" s="181">
        <v>40900</v>
      </c>
      <c r="K71" s="182"/>
      <c r="L71" s="2"/>
      <c r="M71" s="104"/>
      <c r="N71" s="98"/>
    </row>
    <row r="72" spans="1:14" ht="15" thickBot="1">
      <c r="A72" s="207" t="s">
        <v>9</v>
      </c>
      <c r="B72" s="208"/>
      <c r="C72" s="27" t="s">
        <v>35</v>
      </c>
      <c r="D72" s="27" t="s">
        <v>35</v>
      </c>
      <c r="E72" s="27" t="s">
        <v>36</v>
      </c>
      <c r="F72" s="27" t="s">
        <v>35</v>
      </c>
      <c r="G72" s="27" t="s">
        <v>36</v>
      </c>
      <c r="H72" s="27" t="s">
        <v>35</v>
      </c>
      <c r="I72" s="27" t="s">
        <v>36</v>
      </c>
      <c r="J72" s="27" t="s">
        <v>35</v>
      </c>
      <c r="K72" s="27" t="s">
        <v>36</v>
      </c>
      <c r="L72" s="2"/>
      <c r="M72" s="104"/>
      <c r="N72" s="98"/>
    </row>
    <row r="73" spans="1:14" ht="20.25">
      <c r="A73" s="210" t="s">
        <v>26</v>
      </c>
      <c r="B73" s="211"/>
      <c r="C73" s="50">
        <v>1450</v>
      </c>
      <c r="D73" s="53">
        <v>1600</v>
      </c>
      <c r="E73" s="54">
        <v>0</v>
      </c>
      <c r="F73" s="53">
        <v>500</v>
      </c>
      <c r="G73" s="54">
        <v>0</v>
      </c>
      <c r="H73" s="53">
        <v>0</v>
      </c>
      <c r="I73" s="157">
        <v>0</v>
      </c>
      <c r="J73" s="158">
        <v>0</v>
      </c>
      <c r="K73" s="157">
        <v>0</v>
      </c>
      <c r="L73" s="41"/>
      <c r="M73" s="104"/>
      <c r="N73" s="98"/>
    </row>
    <row r="74" spans="1:14">
      <c r="A74" s="165" t="s">
        <v>25</v>
      </c>
      <c r="B74" s="209"/>
      <c r="C74" s="51">
        <v>4050</v>
      </c>
      <c r="D74" s="55">
        <v>8450</v>
      </c>
      <c r="E74" s="56">
        <v>0</v>
      </c>
      <c r="F74" s="55">
        <v>0</v>
      </c>
      <c r="G74" s="56">
        <v>0</v>
      </c>
      <c r="H74" s="55">
        <v>0</v>
      </c>
      <c r="I74" s="60">
        <v>0</v>
      </c>
      <c r="J74" s="59">
        <v>0</v>
      </c>
      <c r="K74" s="60">
        <v>0</v>
      </c>
      <c r="L74" s="2"/>
      <c r="M74" s="104"/>
      <c r="N74" s="98"/>
    </row>
    <row r="75" spans="1:14">
      <c r="A75" s="165" t="s">
        <v>24</v>
      </c>
      <c r="B75" s="209"/>
      <c r="C75" s="51">
        <v>506.99389600000001</v>
      </c>
      <c r="D75" s="55">
        <v>1095.5938960000001</v>
      </c>
      <c r="E75" s="56">
        <v>34.78</v>
      </c>
      <c r="F75" s="55">
        <v>1316.6110160000001</v>
      </c>
      <c r="G75" s="56">
        <v>37</v>
      </c>
      <c r="H75" s="59">
        <v>1511.5</v>
      </c>
      <c r="I75" s="60">
        <v>52</v>
      </c>
      <c r="J75" s="59">
        <v>1718.8095640000001</v>
      </c>
      <c r="K75" s="60">
        <v>66</v>
      </c>
      <c r="L75" s="2"/>
      <c r="M75" s="104"/>
      <c r="N75" s="98"/>
    </row>
    <row r="76" spans="1:14">
      <c r="A76" s="165" t="s">
        <v>23</v>
      </c>
      <c r="B76" s="209"/>
      <c r="C76" s="51">
        <v>149</v>
      </c>
      <c r="D76" s="55">
        <v>149</v>
      </c>
      <c r="E76" s="56">
        <v>57</v>
      </c>
      <c r="F76" s="55">
        <v>149</v>
      </c>
      <c r="G76" s="56">
        <v>47</v>
      </c>
      <c r="H76" s="59">
        <v>160</v>
      </c>
      <c r="I76" s="60">
        <v>47</v>
      </c>
      <c r="J76" s="59">
        <v>160</v>
      </c>
      <c r="K76" s="60">
        <v>47</v>
      </c>
      <c r="L76" s="2"/>
      <c r="M76" s="104"/>
      <c r="N76" s="98"/>
    </row>
    <row r="77" spans="1:14">
      <c r="A77" s="165" t="s">
        <v>22</v>
      </c>
      <c r="B77" s="166"/>
      <c r="C77" s="51">
        <v>0</v>
      </c>
      <c r="D77" s="55">
        <v>120</v>
      </c>
      <c r="E77" s="56">
        <v>0</v>
      </c>
      <c r="F77" s="55">
        <v>127.4</v>
      </c>
      <c r="G77" s="56">
        <v>0</v>
      </c>
      <c r="H77" s="59">
        <v>136.04222200000001</v>
      </c>
      <c r="I77" s="60">
        <v>0</v>
      </c>
      <c r="J77" s="59">
        <v>145.47470999999999</v>
      </c>
      <c r="K77" s="60"/>
      <c r="L77" s="2"/>
      <c r="M77" s="104"/>
      <c r="N77" s="98"/>
    </row>
    <row r="78" spans="1:14">
      <c r="A78" s="165" t="s">
        <v>21</v>
      </c>
      <c r="B78" s="166"/>
      <c r="C78" s="51">
        <v>0</v>
      </c>
      <c r="D78" s="55">
        <v>33</v>
      </c>
      <c r="E78" s="56">
        <v>0</v>
      </c>
      <c r="F78" s="55">
        <v>36.25</v>
      </c>
      <c r="G78" s="56">
        <v>0</v>
      </c>
      <c r="H78" s="59">
        <v>41.549472999999999</v>
      </c>
      <c r="I78" s="60">
        <v>0</v>
      </c>
      <c r="J78" s="59">
        <v>46.727124000000003</v>
      </c>
      <c r="K78" s="60"/>
      <c r="L78" s="2"/>
      <c r="M78" s="104"/>
      <c r="N78" s="98"/>
    </row>
    <row r="79" spans="1:14">
      <c r="A79" s="165" t="s">
        <v>20</v>
      </c>
      <c r="B79" s="166"/>
      <c r="C79" s="51">
        <v>0</v>
      </c>
      <c r="D79" s="159">
        <v>93.5</v>
      </c>
      <c r="E79" s="56">
        <v>0</v>
      </c>
      <c r="F79" s="55">
        <v>0</v>
      </c>
      <c r="G79" s="56">
        <v>0</v>
      </c>
      <c r="H79" s="59">
        <v>0</v>
      </c>
      <c r="I79" s="60">
        <v>0</v>
      </c>
      <c r="J79" s="59"/>
      <c r="K79" s="60"/>
      <c r="L79" s="2"/>
      <c r="M79" s="104"/>
      <c r="N79" s="98"/>
    </row>
    <row r="80" spans="1:14">
      <c r="A80" s="165" t="s">
        <v>19</v>
      </c>
      <c r="B80" s="166"/>
      <c r="C80" s="51">
        <v>0</v>
      </c>
      <c r="D80" s="55">
        <v>141</v>
      </c>
      <c r="E80" s="56">
        <v>0</v>
      </c>
      <c r="F80" s="55">
        <v>143.72</v>
      </c>
      <c r="G80" s="56">
        <v>0</v>
      </c>
      <c r="H80" s="59">
        <v>152.163172</v>
      </c>
      <c r="I80" s="60">
        <v>0</v>
      </c>
      <c r="J80" s="59">
        <v>160.63499999999999</v>
      </c>
      <c r="K80" s="60"/>
      <c r="L80" s="2"/>
      <c r="M80" s="104"/>
      <c r="N80" s="98"/>
    </row>
    <row r="81" spans="1:14">
      <c r="A81" s="165" t="s">
        <v>27</v>
      </c>
      <c r="B81" s="166"/>
      <c r="C81" s="51">
        <v>0</v>
      </c>
      <c r="D81" s="55">
        <v>70</v>
      </c>
      <c r="E81" s="56">
        <v>0</v>
      </c>
      <c r="F81" s="55">
        <v>0</v>
      </c>
      <c r="G81" s="56">
        <v>0</v>
      </c>
      <c r="H81" s="59">
        <v>0</v>
      </c>
      <c r="I81" s="60">
        <v>0</v>
      </c>
      <c r="J81" s="59"/>
      <c r="K81" s="60"/>
      <c r="L81" s="2"/>
      <c r="M81" s="104"/>
      <c r="N81" s="98"/>
    </row>
    <row r="82" spans="1:14">
      <c r="A82" s="165" t="s">
        <v>32</v>
      </c>
      <c r="B82" s="166"/>
      <c r="C82" s="51">
        <v>0</v>
      </c>
      <c r="D82" s="55">
        <v>150</v>
      </c>
      <c r="E82" s="56">
        <v>0</v>
      </c>
      <c r="F82" s="55">
        <v>150</v>
      </c>
      <c r="G82" s="56">
        <v>0</v>
      </c>
      <c r="H82" s="59">
        <v>150</v>
      </c>
      <c r="I82" s="60">
        <v>0</v>
      </c>
      <c r="J82" s="59">
        <v>150</v>
      </c>
      <c r="K82" s="60"/>
      <c r="L82" s="2"/>
      <c r="M82" s="104"/>
      <c r="N82" s="98"/>
    </row>
    <row r="83" spans="1:14">
      <c r="A83" s="165" t="s">
        <v>30</v>
      </c>
      <c r="B83" s="166"/>
      <c r="C83" s="51">
        <v>0</v>
      </c>
      <c r="D83" s="55">
        <v>200</v>
      </c>
      <c r="E83" s="56">
        <v>0</v>
      </c>
      <c r="F83" s="55">
        <v>0</v>
      </c>
      <c r="G83" s="56">
        <v>0</v>
      </c>
      <c r="H83" s="59">
        <v>0</v>
      </c>
      <c r="I83" s="60">
        <v>0</v>
      </c>
      <c r="J83" s="59"/>
      <c r="K83" s="60"/>
      <c r="L83" s="2"/>
      <c r="M83" s="104"/>
      <c r="N83" s="98"/>
    </row>
    <row r="84" spans="1:14">
      <c r="A84" s="165" t="s">
        <v>28</v>
      </c>
      <c r="B84" s="166"/>
      <c r="C84" s="51">
        <v>0</v>
      </c>
      <c r="D84" s="55">
        <v>645</v>
      </c>
      <c r="E84" s="56">
        <v>0</v>
      </c>
      <c r="F84" s="55">
        <v>0</v>
      </c>
      <c r="G84" s="56">
        <v>0</v>
      </c>
      <c r="H84" s="59">
        <v>0</v>
      </c>
      <c r="I84" s="60">
        <v>0</v>
      </c>
      <c r="J84" s="59"/>
      <c r="K84" s="60"/>
      <c r="L84" s="2"/>
      <c r="M84" s="104"/>
      <c r="N84" s="98"/>
    </row>
    <row r="85" spans="1:14">
      <c r="A85" s="165" t="s">
        <v>29</v>
      </c>
      <c r="B85" s="166"/>
      <c r="C85" s="51">
        <v>0</v>
      </c>
      <c r="D85" s="55">
        <v>1000</v>
      </c>
      <c r="E85" s="56">
        <v>0</v>
      </c>
      <c r="F85" s="55">
        <v>2830</v>
      </c>
      <c r="G85" s="56">
        <v>0</v>
      </c>
      <c r="H85" s="59">
        <v>2830</v>
      </c>
      <c r="I85" s="60">
        <v>0</v>
      </c>
      <c r="J85" s="59">
        <v>2830</v>
      </c>
      <c r="K85" s="60"/>
      <c r="L85" s="2"/>
      <c r="M85" s="104"/>
      <c r="N85" s="98"/>
    </row>
    <row r="86" spans="1:14">
      <c r="A86" s="165" t="s">
        <v>31</v>
      </c>
      <c r="B86" s="166"/>
      <c r="C86" s="51">
        <v>0</v>
      </c>
      <c r="D86" s="55">
        <v>38.5</v>
      </c>
      <c r="E86" s="56">
        <v>4.5999999999999996</v>
      </c>
      <c r="F86" s="55">
        <v>40</v>
      </c>
      <c r="G86" s="56">
        <v>0</v>
      </c>
      <c r="H86" s="59">
        <v>40</v>
      </c>
      <c r="I86" s="60">
        <v>0</v>
      </c>
      <c r="J86" s="59">
        <v>40</v>
      </c>
      <c r="K86" s="60"/>
      <c r="L86" s="2"/>
      <c r="M86" s="104"/>
      <c r="N86" s="98"/>
    </row>
    <row r="87" spans="1:14" ht="15" thickBot="1">
      <c r="A87" s="167" t="s">
        <v>38</v>
      </c>
      <c r="B87" s="168"/>
      <c r="C87" s="52">
        <v>0</v>
      </c>
      <c r="D87" s="57">
        <v>0</v>
      </c>
      <c r="E87" s="58">
        <v>0</v>
      </c>
      <c r="F87" s="57">
        <v>1750</v>
      </c>
      <c r="G87" s="58">
        <v>829.680477</v>
      </c>
      <c r="H87" s="61"/>
      <c r="I87" s="62">
        <v>2598.777</v>
      </c>
      <c r="J87" s="57"/>
      <c r="K87" s="58"/>
      <c r="L87" s="2"/>
      <c r="M87" s="104"/>
      <c r="N87" s="98"/>
    </row>
    <row r="88" spans="1:14" ht="15" thickBot="1">
      <c r="A88" s="2"/>
      <c r="B88" s="2"/>
      <c r="C88" s="160">
        <v>6155.9938959999999</v>
      </c>
      <c r="D88" s="161">
        <v>13786.093896</v>
      </c>
      <c r="E88" s="162">
        <v>96.38</v>
      </c>
      <c r="F88" s="161">
        <v>7042.9810159999997</v>
      </c>
      <c r="G88" s="162">
        <v>913.680477</v>
      </c>
      <c r="H88" s="161">
        <v>5021.2548669999996</v>
      </c>
      <c r="I88" s="162">
        <v>2697.777</v>
      </c>
      <c r="J88" s="163">
        <v>5251.6463979999999</v>
      </c>
      <c r="K88" s="164">
        <v>113</v>
      </c>
      <c r="L88" s="2"/>
      <c r="M88" s="104"/>
      <c r="N88" s="98"/>
    </row>
    <row r="89" spans="1:14">
      <c r="A89" s="2"/>
      <c r="B89" s="2"/>
      <c r="C89" s="2"/>
      <c r="D89" s="2"/>
      <c r="E89" s="2"/>
      <c r="F89" s="2"/>
      <c r="G89" s="31"/>
      <c r="H89" s="2"/>
      <c r="I89" s="42"/>
      <c r="J89" s="44"/>
      <c r="K89" s="42"/>
      <c r="L89" s="43"/>
      <c r="M89" s="104"/>
      <c r="N89" s="98"/>
    </row>
  </sheetData>
  <dataConsolidate/>
  <mergeCells count="74">
    <mergeCell ref="A72:B72"/>
    <mergeCell ref="A80:B80"/>
    <mergeCell ref="A74:B74"/>
    <mergeCell ref="A76:B76"/>
    <mergeCell ref="A75:B75"/>
    <mergeCell ref="A79:B79"/>
    <mergeCell ref="A78:B78"/>
    <mergeCell ref="A73:B73"/>
    <mergeCell ref="A77:B77"/>
    <mergeCell ref="D50:F50"/>
    <mergeCell ref="J5:K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C29:E29"/>
    <mergeCell ref="C30:E30"/>
    <mergeCell ref="C31:E31"/>
    <mergeCell ref="C32:E32"/>
    <mergeCell ref="D16:F16"/>
    <mergeCell ref="D17:F17"/>
    <mergeCell ref="D18:F18"/>
    <mergeCell ref="J21:K21"/>
    <mergeCell ref="D22:F22"/>
    <mergeCell ref="D23:F23"/>
    <mergeCell ref="D24:F24"/>
    <mergeCell ref="A25:B25"/>
    <mergeCell ref="H28:I28"/>
    <mergeCell ref="C39:E39"/>
    <mergeCell ref="C40:E40"/>
    <mergeCell ref="C33:E33"/>
    <mergeCell ref="C38:E38"/>
    <mergeCell ref="C35:E35"/>
    <mergeCell ref="C34:E34"/>
    <mergeCell ref="C36:E36"/>
    <mergeCell ref="C37:E37"/>
    <mergeCell ref="C41:E41"/>
    <mergeCell ref="C42:E42"/>
    <mergeCell ref="N56:N57"/>
    <mergeCell ref="D60:F60"/>
    <mergeCell ref="D61:F61"/>
    <mergeCell ref="D59:F59"/>
    <mergeCell ref="D51:F51"/>
    <mergeCell ref="D52:F52"/>
    <mergeCell ref="D53:F53"/>
    <mergeCell ref="D54:F54"/>
    <mergeCell ref="D48:F48"/>
    <mergeCell ref="D49:F49"/>
    <mergeCell ref="D56:F56"/>
    <mergeCell ref="D57:F57"/>
    <mergeCell ref="D58:F58"/>
    <mergeCell ref="D55:F55"/>
    <mergeCell ref="A86:B86"/>
    <mergeCell ref="A87:B87"/>
    <mergeCell ref="N62:N63"/>
    <mergeCell ref="D63:F63"/>
    <mergeCell ref="D64:F64"/>
    <mergeCell ref="C70:K70"/>
    <mergeCell ref="D71:E71"/>
    <mergeCell ref="F71:G71"/>
    <mergeCell ref="H71:I71"/>
    <mergeCell ref="J71:K71"/>
    <mergeCell ref="D62:F62"/>
    <mergeCell ref="A82:B82"/>
    <mergeCell ref="A83:B83"/>
    <mergeCell ref="A84:B84"/>
    <mergeCell ref="A85:B85"/>
    <mergeCell ref="A81:B81"/>
  </mergeCells>
  <phoneticPr fontId="16" type="noConversion"/>
  <hyperlinks>
    <hyperlink ref="N10" r:id="rId1"/>
    <hyperlink ref="M60" r:id="rId2"/>
    <hyperlink ref="L34" r:id="rId3"/>
    <hyperlink ref="L30" r:id="rId4"/>
    <hyperlink ref="L39" r:id="rId5"/>
    <hyperlink ref="M62" r:id="rId6"/>
    <hyperlink ref="M52" r:id="rId7"/>
    <hyperlink ref="M54" r:id="rId8"/>
    <hyperlink ref="N23" r:id="rId9"/>
    <hyperlink ref="N24" r:id="rId10"/>
    <hyperlink ref="M61" r:id="rId11"/>
    <hyperlink ref="M56" r:id="rId12"/>
    <hyperlink ref="M53" r:id="rId13"/>
    <hyperlink ref="M50" r:id="rId14"/>
    <hyperlink ref="M58" r:id="rId15"/>
    <hyperlink ref="M59" r:id="rId16"/>
    <hyperlink ref="M64" r:id="rId17"/>
    <hyperlink ref="M55" r:id="rId18"/>
    <hyperlink ref="L42" r:id="rId19"/>
    <hyperlink ref="M49" r:id="rId20"/>
    <hyperlink ref="M51" r:id="rId21"/>
    <hyperlink ref="N7" r:id="rId22"/>
    <hyperlink ref="N8" r:id="rId23"/>
    <hyperlink ref="N16" r:id="rId24"/>
    <hyperlink ref="M57" r:id="rId25"/>
    <hyperlink ref="N13" r:id="rId26"/>
    <hyperlink ref="N9" r:id="rId27"/>
    <hyperlink ref="N11" r:id="rId28"/>
    <hyperlink ref="N12" r:id="rId29"/>
    <hyperlink ref="N14" r:id="rId30"/>
    <hyperlink ref="N15" r:id="rId31"/>
    <hyperlink ref="N17" r:id="rId32"/>
    <hyperlink ref="N18" r:id="rId33"/>
    <hyperlink ref="L31" r:id="rId34"/>
    <hyperlink ref="L32" r:id="rId35"/>
    <hyperlink ref="L33" r:id="rId36"/>
    <hyperlink ref="L35" r:id="rId37"/>
    <hyperlink ref="L36" r:id="rId38"/>
    <hyperlink ref="L37" r:id="rId39"/>
    <hyperlink ref="L38" r:id="rId40"/>
    <hyperlink ref="L40" r:id="rId41"/>
    <hyperlink ref="L41" r:id="rId42"/>
    <hyperlink ref="M63" r:id="rId43"/>
  </hyperlinks>
  <printOptions horizontalCentered="1" verticalCentered="1"/>
  <pageMargins left="0.15748031496062992" right="0.6692913385826772" top="0.19685039370078741" bottom="0.15748031496062992" header="0" footer="0"/>
  <pageSetup paperSize="9" scale="75" fitToHeight="2" orientation="landscape" r:id="rId44"/>
  <headerFooter alignWithMargins="0"/>
  <rowBreaks count="2" manualBreakCount="2">
    <brk id="41" max="13" man="1"/>
    <brk id="62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Emisiones 2011</vt:lpstr>
      <vt:lpstr>'Emisiones 2011'!Área_de_impresión</vt:lpstr>
    </vt:vector>
  </TitlesOfParts>
  <Company>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Soledad Tortarolo</dc:creator>
  <cp:lastModifiedBy>Mecon</cp:lastModifiedBy>
  <cp:lastPrinted>2015-01-30T19:03:28Z</cp:lastPrinted>
  <dcterms:created xsi:type="dcterms:W3CDTF">2006-09-18T16:30:39Z</dcterms:created>
  <dcterms:modified xsi:type="dcterms:W3CDTF">2015-02-27T17:35:35Z</dcterms:modified>
</cp:coreProperties>
</file>