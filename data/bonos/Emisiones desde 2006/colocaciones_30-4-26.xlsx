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inisterio\Desktop\SF\04.Licitaciones\1. Colocación y estructura\2026\Abr_26\"/>
    </mc:Choice>
  </mc:AlternateContent>
  <bookViews>
    <workbookView xWindow="0" yWindow="0" windowWidth="19200" windowHeight="7050"/>
  </bookViews>
  <sheets>
    <sheet name="Portada" sheetId="1" r:id="rId1"/>
    <sheet name="Bonos" sheetId="2" r:id="rId2"/>
    <sheet name="Letras" sheetId="3" r:id="rId3"/>
    <sheet name="Letras ISP" sheetId="4" r:id="rId4"/>
    <sheet name="Otras Operaciones" sheetId="5" r:id="rId5"/>
    <sheet name="Canjes- Conversiones" sheetId="6" r:id="rId6"/>
  </sheets>
  <definedNames>
    <definedName name="_xlnm._FilterDatabase" localSheetId="1" hidden="1">Bonos!$A$3:$Z$33</definedName>
    <definedName name="ACwvu.PLA1." localSheetId="5">#REF!</definedName>
    <definedName name="ACwvu.PLA1.">#REF!</definedName>
    <definedName name="ACwvu.PLA2.">#REF!</definedName>
    <definedName name="d" localSheetId="5">#REF!</definedName>
    <definedName name="d">#REF!</definedName>
    <definedName name="Rwvu.PLA2." localSheetId="5">#REF!</definedName>
    <definedName name="Rwvu.PLA2.">#REF!</definedName>
    <definedName name="Swvu.PLA1." localSheetId="5">#REF!</definedName>
    <definedName name="Swvu.PLA1.">#REF!</definedName>
    <definedName name="Swvu.PLA2.">#REF!</definedName>
  </definedNames>
  <calcPr calcId="162913"/>
  <extLst>
    <ext uri="GoogleSheetsCustomDataVersion2">
      <go:sheetsCustomData xmlns:go="http://customooxmlschemas.google.com/" r:id="rId10" roundtripDataChecksum="cFDSzxhSJpkZmgwxa8pWaw/0moeWo2G7hFcqiuhQdHg="/>
    </ext>
  </extLst>
</workbook>
</file>

<file path=xl/calcChain.xml><?xml version="1.0" encoding="utf-8"?>
<calcChain xmlns="http://schemas.openxmlformats.org/spreadsheetml/2006/main">
  <c r="C22" i="6" l="1"/>
  <c r="L22" i="6" s="1"/>
  <c r="C21" i="6"/>
  <c r="L21" i="6" s="1"/>
  <c r="C20" i="6"/>
  <c r="L20" i="6" s="1"/>
  <c r="C19" i="6"/>
  <c r="L19" i="6" s="1"/>
  <c r="C18" i="6"/>
  <c r="L18" i="6" s="1"/>
  <c r="C17" i="6"/>
  <c r="L17" i="6" s="1"/>
  <c r="C16" i="6"/>
  <c r="L16" i="6" s="1"/>
  <c r="L15" i="6"/>
  <c r="L14" i="6"/>
  <c r="L13" i="6"/>
  <c r="L12" i="6"/>
  <c r="L11" i="6"/>
  <c r="J13" i="5"/>
  <c r="C12" i="5"/>
  <c r="J12" i="5" s="1"/>
  <c r="C11" i="5"/>
  <c r="J11" i="5" s="1"/>
  <c r="C10" i="5"/>
  <c r="J10" i="5" s="1"/>
  <c r="C9" i="5"/>
  <c r="J9" i="5" s="1"/>
  <c r="C8" i="5"/>
  <c r="J8" i="5" s="1"/>
  <c r="C7" i="5"/>
  <c r="J7" i="5" s="1"/>
  <c r="C6" i="5"/>
  <c r="J6" i="5" s="1"/>
  <c r="C5" i="5"/>
  <c r="J5" i="5" s="1"/>
  <c r="C4" i="5"/>
  <c r="J4" i="5" s="1"/>
  <c r="L9" i="4"/>
  <c r="J9" i="4"/>
  <c r="L8" i="4"/>
  <c r="J8" i="4"/>
  <c r="L7" i="4"/>
  <c r="J7" i="4"/>
  <c r="L6" i="4"/>
  <c r="J6" i="4"/>
  <c r="L5" i="4"/>
  <c r="J5" i="4"/>
  <c r="L4" i="4"/>
  <c r="J4" i="4"/>
  <c r="L36" i="3"/>
  <c r="J36" i="3"/>
  <c r="J35" i="3"/>
  <c r="C35" i="3"/>
  <c r="L35" i="3" s="1"/>
  <c r="L34" i="3"/>
  <c r="J34" i="3"/>
  <c r="C34" i="3"/>
  <c r="J33" i="3"/>
  <c r="C33" i="3"/>
  <c r="L33" i="3" s="1"/>
  <c r="L32" i="3"/>
  <c r="J32" i="3"/>
  <c r="L31" i="3"/>
  <c r="J31" i="3"/>
  <c r="L30" i="3"/>
  <c r="J30" i="3"/>
  <c r="L29" i="3"/>
  <c r="J29" i="3"/>
  <c r="L28" i="3"/>
  <c r="J28" i="3"/>
  <c r="L27" i="3"/>
  <c r="J27" i="3"/>
  <c r="L26" i="3"/>
  <c r="J26" i="3"/>
  <c r="L25" i="3"/>
  <c r="J25" i="3"/>
  <c r="L24" i="3"/>
  <c r="J24" i="3"/>
  <c r="L23" i="3"/>
  <c r="J23" i="3"/>
  <c r="L22" i="3"/>
  <c r="J22" i="3"/>
  <c r="L21" i="3"/>
  <c r="J21" i="3"/>
  <c r="L20" i="3"/>
  <c r="J20" i="3"/>
  <c r="L19" i="3"/>
  <c r="J19" i="3"/>
  <c r="L18" i="3"/>
  <c r="J18" i="3"/>
  <c r="L49" i="2"/>
  <c r="J49" i="2"/>
  <c r="C49" i="2"/>
  <c r="J48" i="2"/>
  <c r="C48" i="2"/>
  <c r="L48" i="2" s="1"/>
  <c r="L47" i="2"/>
  <c r="J47" i="2"/>
  <c r="L46" i="2"/>
  <c r="J46" i="2"/>
  <c r="J45" i="2"/>
  <c r="C45" i="2"/>
  <c r="L45" i="2" s="1"/>
  <c r="J44" i="2"/>
  <c r="C44" i="2"/>
  <c r="L44" i="2" s="1"/>
  <c r="J43" i="2"/>
  <c r="C43" i="2"/>
  <c r="L43" i="2" s="1"/>
  <c r="J42" i="2"/>
  <c r="C42" i="2"/>
  <c r="L42" i="2" s="1"/>
  <c r="J41" i="2"/>
  <c r="C41" i="2"/>
  <c r="L41" i="2" s="1"/>
  <c r="L40" i="2"/>
  <c r="J40" i="2"/>
  <c r="L39" i="2"/>
  <c r="J39" i="2"/>
  <c r="L38" i="2"/>
  <c r="J38" i="2"/>
  <c r="C38" i="2"/>
  <c r="J37" i="2"/>
  <c r="C37" i="2"/>
  <c r="L37" i="2" s="1"/>
  <c r="L36" i="2"/>
  <c r="J36" i="2"/>
  <c r="J35" i="2"/>
  <c r="C35" i="2"/>
  <c r="L35" i="2" s="1"/>
  <c r="J34" i="2"/>
  <c r="C34" i="2"/>
  <c r="L34" i="2" s="1"/>
  <c r="L33" i="2"/>
  <c r="J33" i="2"/>
  <c r="J32" i="2"/>
  <c r="C32" i="2"/>
  <c r="L32" i="2" s="1"/>
  <c r="L31" i="2"/>
  <c r="J31" i="2"/>
  <c r="C31" i="2"/>
  <c r="J30" i="2"/>
  <c r="C30" i="2"/>
  <c r="L30" i="2" s="1"/>
  <c r="L29" i="2"/>
  <c r="J29" i="2"/>
  <c r="C29" i="2"/>
  <c r="J28" i="2"/>
  <c r="C28" i="2"/>
  <c r="L28" i="2" s="1"/>
  <c r="L27" i="2"/>
  <c r="J27" i="2"/>
  <c r="C27" i="2"/>
  <c r="J26" i="2"/>
  <c r="C26" i="2"/>
  <c r="L26" i="2" s="1"/>
  <c r="L25" i="2"/>
  <c r="J25" i="2"/>
  <c r="L24" i="2"/>
  <c r="J24" i="2"/>
  <c r="L23" i="2"/>
  <c r="J23" i="2"/>
  <c r="L22" i="2"/>
  <c r="J22" i="2"/>
  <c r="L21" i="2"/>
  <c r="J21" i="2"/>
  <c r="L20" i="2"/>
  <c r="J20" i="2"/>
  <c r="L19" i="2"/>
  <c r="J19" i="2"/>
  <c r="L18" i="2"/>
  <c r="J18" i="2"/>
  <c r="L17" i="2"/>
  <c r="J17" i="2"/>
  <c r="L16" i="2"/>
  <c r="J16" i="2"/>
  <c r="L15" i="2"/>
  <c r="J15" i="2"/>
  <c r="L14" i="2"/>
  <c r="J14" i="2"/>
  <c r="L13" i="2"/>
  <c r="J13" i="2"/>
  <c r="L12" i="2"/>
  <c r="J12" i="2"/>
  <c r="L11" i="2"/>
  <c r="J11" i="2"/>
  <c r="L10" i="2"/>
  <c r="J10" i="2"/>
  <c r="J9" i="2"/>
</calcChain>
</file>

<file path=xl/sharedStrings.xml><?xml version="1.0" encoding="utf-8"?>
<sst xmlns="http://schemas.openxmlformats.org/spreadsheetml/2006/main" count="824" uniqueCount="148">
  <si>
    <t xml:space="preserve"> </t>
  </si>
  <si>
    <t>OFICINA NACIONAL DE CRÉDITO PÚBLICO - DIRECCIÓN DE PROGRAMACIÓN E INFORMACIÓN FINANCIERA</t>
  </si>
  <si>
    <t>COLOCACIONES DE DEUDA 2026</t>
  </si>
  <si>
    <t>CONTENIDO</t>
  </si>
  <si>
    <t>1. Bonos</t>
  </si>
  <si>
    <t>2. Letras</t>
  </si>
  <si>
    <t>3. Letras intra sector público</t>
  </si>
  <si>
    <t>4. Canje y Conversiones</t>
  </si>
  <si>
    <t>5. Otras Operaciones</t>
  </si>
  <si>
    <t>Emisiones de deuda pública en millones de pesos entre 01-01-2026 y 30-04-2026 (información preliminar)</t>
  </si>
  <si>
    <t>Inicio</t>
  </si>
  <si>
    <t>Nombre del Instrumento</t>
  </si>
  <si>
    <t>Fecha de emisión</t>
  </si>
  <si>
    <t>Vencimiento</t>
  </si>
  <si>
    <t>Cupón</t>
  </si>
  <si>
    <t>Amortización</t>
  </si>
  <si>
    <r>
      <rPr>
        <b/>
        <sz val="9"/>
        <color theme="0"/>
        <rFont val="Encode Sans"/>
      </rPr>
      <t xml:space="preserve">Tipo Moneda </t>
    </r>
    <r>
      <rPr>
        <b/>
        <sz val="8"/>
        <color theme="0"/>
        <rFont val="Encode Sans"/>
      </rPr>
      <t>(*)</t>
    </r>
  </si>
  <si>
    <t>Moneda de Origen (**)</t>
  </si>
  <si>
    <t>Fecha colocación/      liquidación</t>
  </si>
  <si>
    <t>Valor Nominal</t>
  </si>
  <si>
    <t>Valor Efectivo</t>
  </si>
  <si>
    <t>Precio de emisión c/1000</t>
  </si>
  <si>
    <t>Vida Promedio</t>
  </si>
  <si>
    <t>Resolución</t>
  </si>
  <si>
    <t>Número</t>
  </si>
  <si>
    <t>BONCER/$/TASA CERO/30-06-2028</t>
  </si>
  <si>
    <t>Cero cupón</t>
  </si>
  <si>
    <t>Integra al vencimiento</t>
  </si>
  <si>
    <t>MONEDA NACIONAL</t>
  </si>
  <si>
    <t>UCP</t>
  </si>
  <si>
    <t>RESOL</t>
  </si>
  <si>
    <t>8/2024 y 3/2026</t>
  </si>
  <si>
    <t>BONCER/$/TASA CERO/30-06-2027</t>
  </si>
  <si>
    <t>BONCAP/$/30-06-2027</t>
  </si>
  <si>
    <t>Tasa efectiva mensual capitalizable 2,58%</t>
  </si>
  <si>
    <t>ARP</t>
  </si>
  <si>
    <t>BONCAP/$/15-01-2027</t>
  </si>
  <si>
    <t>Tasa efectiva mensual capitalizable 2,05%</t>
  </si>
  <si>
    <t>6/2025 y 29/2025</t>
  </si>
  <si>
    <t>BONCAP/$/TAMAR+6,5%/26-02-2027</t>
  </si>
  <si>
    <t>Tasa efectiva mensual “TAMAR TEM”</t>
  </si>
  <si>
    <t>6/2025,y 9/2026</t>
  </si>
  <si>
    <t>BONCER/$/TASA CERO/15-12-2026</t>
  </si>
  <si>
    <t>16/2024 y 9/2026</t>
  </si>
  <si>
    <t>BONCER/$/TASA CERO/30-06-2026</t>
  </si>
  <si>
    <t>8/2024 y 9/2026</t>
  </si>
  <si>
    <t>BONTE/U$S/30-06-2027 - Paga en pesos</t>
  </si>
  <si>
    <t>USD</t>
  </si>
  <si>
    <t>BONAR/U$S/29-10-2027</t>
  </si>
  <si>
    <t>MONEDA EXTRANJERA</t>
  </si>
  <si>
    <t>9 y 13</t>
  </si>
  <si>
    <t>BONCER/$/TASA CERO/31-03-2027</t>
  </si>
  <si>
    <t>27/2024 y 13/2026</t>
  </si>
  <si>
    <t xml:space="preserve">  11 y 13</t>
  </si>
  <si>
    <t>BONCER/$/TASA CERO/30-09-2027</t>
  </si>
  <si>
    <t>BONCER/$/TASA CERO/29-09-2028</t>
  </si>
  <si>
    <t>BONTE/U$S/30-06-2028</t>
  </si>
  <si>
    <t>BONAR/U$S/6%/31-10-2028</t>
  </si>
  <si>
    <t>11 y 16</t>
  </si>
  <si>
    <t>16 y 21</t>
  </si>
  <si>
    <t>BONCER/$/TASA CERO/28-03-2029</t>
  </si>
  <si>
    <t>9 y 21</t>
  </si>
  <si>
    <t>BONCAP/$/TAMAR+6%/31-08-2027</t>
  </si>
  <si>
    <t>BONCAP/$/TAMAR+6,9%/31-08-2028</t>
  </si>
  <si>
    <t>BONCER DUAL/$/o TAMAR+3/29-06-2029</t>
  </si>
  <si>
    <t>16 y 23</t>
  </si>
  <si>
    <t>(*) Refiere a la moneda de pago</t>
  </si>
  <si>
    <t>(**) Refiere a la moneda de denominación según normativa vigente. UCP refiere a los instrumentos emitidos en pesos y cuyo capital ajusta por CER.</t>
  </si>
  <si>
    <t>Para los instrumentos emitidos en dólares y pagaderos en pesos el valor efectivo está informado en pesos al tipo de cambio indicado en el comunicado de prensa de resultados.</t>
  </si>
  <si>
    <t>Tipo Moneda (*)</t>
  </si>
  <si>
    <t>Fecha colocación/liquidación</t>
  </si>
  <si>
    <t>Vida Promedio (días remanentes)</t>
  </si>
  <si>
    <t>LECAP/$/27-02-2026</t>
  </si>
  <si>
    <t>Tasa efectiva mensual capitalizable 3,95%.</t>
  </si>
  <si>
    <t>Íntegra al vencimiento</t>
  </si>
  <si>
    <t>41/2025 y 3/2026</t>
  </si>
  <si>
    <t>LECAP/$/30-11-2026</t>
  </si>
  <si>
    <t>Tasa efectiva mensual capitalizable 2,30%.</t>
  </si>
  <si>
    <t>63/2025 y 3/2026</t>
  </si>
  <si>
    <t>LECAP/$/TAMAR+5%/31-08-2026</t>
  </si>
  <si>
    <t>58/2025 y 3/2026</t>
  </si>
  <si>
    <t>LECER/$/CER/29-05-2026</t>
  </si>
  <si>
    <t>Cupón cero</t>
  </si>
  <si>
    <t>60/2025 y 3/2026</t>
  </si>
  <si>
    <t>LECAP/$/29-05-2026</t>
  </si>
  <si>
    <t>Tasa efectiva mensual capitalizable 2,35%.</t>
  </si>
  <si>
    <t>24/2025 y 3/2026</t>
  </si>
  <si>
    <t>LECER/$/CER/30-11-2026</t>
  </si>
  <si>
    <t>LELINK/U$D/27-02-2026</t>
  </si>
  <si>
    <t>LECAP/$/16-03-2026</t>
  </si>
  <si>
    <t>Tasa efectiva mensual capitalizable 2,99%</t>
  </si>
  <si>
    <t>LECAP/$/31-07-2026</t>
  </si>
  <si>
    <t>Tasa efectiva mensual capitalizable 2,75%</t>
  </si>
  <si>
    <t>LECER/$/CER/31-07-2026</t>
  </si>
  <si>
    <t>LELINK/U$D/30-04-2026</t>
  </si>
  <si>
    <t>47/2025 y 60/2025</t>
  </si>
  <si>
    <t>LECAP/$/17-04-2026</t>
  </si>
  <si>
    <t>Tasa efectiva mensual capitalizable 2,40%.</t>
  </si>
  <si>
    <t>63 y 9</t>
  </si>
  <si>
    <t>6 y 9</t>
  </si>
  <si>
    <t>58/2025 y 9/2026</t>
  </si>
  <si>
    <t>47/2025 y 9/2026</t>
  </si>
  <si>
    <t>LECER/$/CER/15-05-2026</t>
  </si>
  <si>
    <t>6 y 11</t>
  </si>
  <si>
    <t>3  y 11</t>
  </si>
  <si>
    <t>LECAP/$/15-05-2026</t>
  </si>
  <si>
    <t>Tasa efectiva mensual capitalizable 2,60%.</t>
  </si>
  <si>
    <t>LECAP/$/30-09-2026</t>
  </si>
  <si>
    <t>Tasa efectiva mensual capitalizable 2,53%.</t>
  </si>
  <si>
    <t>11 y 13</t>
  </si>
  <si>
    <t>LECER/$/CER/30-09-2026</t>
  </si>
  <si>
    <t>58/2025 y 13/2026</t>
  </si>
  <si>
    <t>47/2025 y 13/2026</t>
  </si>
  <si>
    <t>LELINK/U$D/30-09-2026</t>
  </si>
  <si>
    <t>LECAP/$/17-07-2026</t>
  </si>
  <si>
    <t>Tasa efectiva mensual capitalizable 2,16%.</t>
  </si>
  <si>
    <t>LECAP/$/14-08-2026</t>
  </si>
  <si>
    <t>Tasa efectiva mensual capitalizable 2%.</t>
  </si>
  <si>
    <t>LECAP/$/12-06-2026</t>
  </si>
  <si>
    <t>Tasa efectiva mensual capitalizable 2,1%.</t>
  </si>
  <si>
    <t>13 y 23</t>
  </si>
  <si>
    <t>Vida Promedio 
(días remanentes)</t>
  </si>
  <si>
    <t>LETRA/U$S/VARIOS/19-02-2027</t>
  </si>
  <si>
    <t>LETRA/U$S/BCRA/17-03-2031</t>
  </si>
  <si>
    <t>(**) Refiere a la moneda de denominación según normativa vigente</t>
  </si>
  <si>
    <t>Norma</t>
  </si>
  <si>
    <t>BONCAP/$/30-04-2027</t>
  </si>
  <si>
    <t>Tasa efectiva mensual capitalizable 2,55%</t>
  </si>
  <si>
    <t>BONCAP/$/31-05-2027</t>
  </si>
  <si>
    <t>Tasa efectiva mensual capitalizable 2,40%</t>
  </si>
  <si>
    <t>LELINK 30-09-2026</t>
  </si>
  <si>
    <t>Canje</t>
  </si>
  <si>
    <t>Valor Técnico Adjudicado</t>
  </si>
  <si>
    <t>Norma de emisión Original</t>
  </si>
  <si>
    <t>Conversiones</t>
  </si>
  <si>
    <t>Nombre del Instrumento a entregar</t>
  </si>
  <si>
    <t>Valor Nominal a entregar nuevos instrumentos</t>
  </si>
  <si>
    <t>Instrumento  a dar de baja</t>
  </si>
  <si>
    <t>Valor a dar de baja</t>
  </si>
  <si>
    <t>LELINK/U$D/30-01-2026</t>
  </si>
  <si>
    <t>LELINK/U$D/16-01-2026</t>
  </si>
  <si>
    <t>1 y 2</t>
  </si>
  <si>
    <t>BONTE/U$S/0%/30-06-2026 - Paga en pesos</t>
  </si>
  <si>
    <t>BONCAP/$/TAMAR 6%/31-08-2027</t>
  </si>
  <si>
    <t>BONCER/$/TASA CERO/31-03-2028</t>
  </si>
  <si>
    <t>BONCAP/$/TAMAR 6,5%/25-02-2028</t>
  </si>
  <si>
    <t>BONCAP TASA Dual /$/15-09-2026</t>
  </si>
  <si>
    <t>BONTE/U$S/30-06-2026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</si>
</sst>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8" formatCode="&quot;$&quot;\ #,##0.00;[Red]\-&quot;$&quot;\ #,##0.00"/>
    <numFmt numFmtId="164" formatCode="_-* #,##0.00_-;\-* #,##0.00_-;_-* &quot;-&quot;??_-;_-@"/>
    <numFmt numFmtId="165" formatCode="d/mm/yyyy"/>
    <numFmt numFmtId="166" formatCode="#,##0.0000"/>
    <numFmt numFmtId="167" formatCode="#,##0.000"/>
    <numFmt numFmtId="168" formatCode="#,##0.00_);\(#,##0.00\)"/>
    <numFmt numFmtId="169" formatCode="#,##0.0"/>
    <numFmt numFmtId="170" formatCode="#,##0_);\(#,##0\)"/>
  </numFmts>
  <fonts count="35">
    <font>
      <sz val="11"/>
      <color theme="1"/>
      <name val="Calibri"/>
      <scheme val="minor"/>
    </font>
    <font>
      <sz val="11"/>
      <color theme="1"/>
      <name val="Encode Sans"/>
    </font>
    <font>
      <sz val="11"/>
      <color rgb="FF3A3838"/>
      <name val="Encode Sans"/>
    </font>
    <font>
      <b/>
      <sz val="11"/>
      <color rgb="FF3A3838"/>
      <name val="Encode Sans"/>
    </font>
    <font>
      <sz val="11"/>
      <color rgb="FF00B0F0"/>
      <name val="Encode Sans"/>
    </font>
    <font>
      <sz val="18"/>
      <color rgb="FF00B0F0"/>
      <name val="Encode Sans"/>
    </font>
    <font>
      <b/>
      <sz val="14"/>
      <color rgb="FF0070C0"/>
      <name val="Encode Sans"/>
    </font>
    <font>
      <b/>
      <sz val="14"/>
      <color rgb="FF3A3838"/>
      <name val="Encode Sans"/>
    </font>
    <font>
      <b/>
      <sz val="11"/>
      <color theme="1"/>
      <name val="Encode Sans"/>
    </font>
    <font>
      <sz val="14"/>
      <color rgb="FF00B0F0"/>
      <name val="Encode Sans"/>
    </font>
    <font>
      <u/>
      <sz val="16"/>
      <color rgb="FF00B0F0"/>
      <name val="Encode Sans"/>
    </font>
    <font>
      <sz val="16"/>
      <color rgb="FF00B0F0"/>
      <name val="Encode Sans"/>
    </font>
    <font>
      <sz val="16"/>
      <color theme="1"/>
      <name val="Encode Sans"/>
    </font>
    <font>
      <i/>
      <sz val="16"/>
      <color theme="1"/>
      <name val="Encode Sans"/>
    </font>
    <font>
      <b/>
      <sz val="16"/>
      <color theme="1"/>
      <name val="Encode Sans"/>
    </font>
    <font>
      <b/>
      <u/>
      <sz val="9"/>
      <color theme="1"/>
      <name val="Encode Sans"/>
    </font>
    <font>
      <sz val="9"/>
      <color theme="1"/>
      <name val="Encode Sans"/>
    </font>
    <font>
      <b/>
      <u/>
      <sz val="11"/>
      <color theme="10"/>
      <name val="Encode Sans"/>
    </font>
    <font>
      <sz val="8"/>
      <color theme="1"/>
      <name val="Encode Sans"/>
    </font>
    <font>
      <sz val="8"/>
      <color rgb="FF333333"/>
      <name val="Arial"/>
    </font>
    <font>
      <b/>
      <sz val="9"/>
      <color theme="0"/>
      <name val="Encode Sans"/>
    </font>
    <font>
      <sz val="11"/>
      <color theme="1"/>
      <name val="Calibri"/>
    </font>
    <font>
      <sz val="8"/>
      <color rgb="FF000000"/>
      <name val="Encode Sans"/>
    </font>
    <font>
      <sz val="11"/>
      <color rgb="FF000000"/>
      <name val="Calibri"/>
    </font>
    <font>
      <sz val="8"/>
      <color rgb="FFFF0000"/>
      <name val="Encode Sans"/>
    </font>
    <font>
      <sz val="14"/>
      <color rgb="FFFF0000"/>
      <name val="Montserrat"/>
    </font>
    <font>
      <b/>
      <sz val="13"/>
      <color theme="1"/>
      <name val="Calibri"/>
    </font>
    <font>
      <b/>
      <sz val="9"/>
      <color theme="1"/>
      <name val="Encode Sans"/>
    </font>
    <font>
      <b/>
      <sz val="9"/>
      <color rgb="FFFFFFFF"/>
      <name val="Encode Sans"/>
    </font>
    <font>
      <i/>
      <sz val="11"/>
      <color theme="1"/>
      <name val="Calibri"/>
    </font>
    <font>
      <u/>
      <sz val="11"/>
      <color theme="10"/>
      <name val="Encode Sans"/>
    </font>
    <font>
      <b/>
      <sz val="10"/>
      <color theme="0"/>
      <name val="Encode Sans"/>
    </font>
    <font>
      <b/>
      <u/>
      <sz val="9"/>
      <color theme="1"/>
      <name val="Encode Sans"/>
    </font>
    <font>
      <b/>
      <u/>
      <sz val="9"/>
      <color theme="1"/>
      <name val="Encode Sans"/>
    </font>
    <font>
      <b/>
      <sz val="8"/>
      <color theme="0"/>
      <name val="Encode Sans"/>
    </font>
  </fonts>
  <fills count="8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7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0" xfId="0" applyFont="1"/>
    <xf numFmtId="0" fontId="12" fillId="0" borderId="0" xfId="0" applyFont="1"/>
    <xf numFmtId="14" fontId="12" fillId="0" borderId="0" xfId="0" applyNumberFormat="1" applyFont="1"/>
    <xf numFmtId="0" fontId="11" fillId="0" borderId="0" xfId="0" applyFont="1" applyAlignment="1">
      <alignment vertical="center"/>
    </xf>
    <xf numFmtId="0" fontId="14" fillId="0" borderId="0" xfId="0" applyFont="1"/>
    <xf numFmtId="0" fontId="15" fillId="0" borderId="0" xfId="0" applyFont="1" applyAlignment="1">
      <alignment vertical="center"/>
    </xf>
    <xf numFmtId="14" fontId="16" fillId="0" borderId="0" xfId="0" applyNumberFormat="1" applyFont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/>
    </xf>
    <xf numFmtId="2" fontId="16" fillId="0" borderId="0" xfId="0" applyNumberFormat="1" applyFont="1" applyAlignment="1">
      <alignment vertical="center"/>
    </xf>
    <xf numFmtId="0" fontId="18" fillId="0" borderId="0" xfId="0" applyFont="1"/>
    <xf numFmtId="14" fontId="18" fillId="0" borderId="0" xfId="0" applyNumberFormat="1" applyFont="1"/>
    <xf numFmtId="0" fontId="18" fillId="0" borderId="0" xfId="0" applyFont="1" applyAlignment="1">
      <alignment horizontal="center" vertical="center" wrapText="1"/>
    </xf>
    <xf numFmtId="2" fontId="19" fillId="0" borderId="0" xfId="0" applyNumberFormat="1" applyFont="1"/>
    <xf numFmtId="0" fontId="20" fillId="2" borderId="1" xfId="0" applyFont="1" applyFill="1" applyBorder="1" applyAlignment="1">
      <alignment horizontal="center" vertical="center" wrapText="1"/>
    </xf>
    <xf numFmtId="14" fontId="20" fillId="2" borderId="1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8" fillId="0" borderId="1" xfId="0" applyFont="1" applyBorder="1" applyAlignment="1">
      <alignment horizont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3" fontId="18" fillId="0" borderId="1" xfId="0" applyNumberFormat="1" applyFont="1" applyBorder="1" applyAlignment="1">
      <alignment horizontal="center" vertical="center" wrapText="1"/>
    </xf>
    <xf numFmtId="4" fontId="18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/>
    </xf>
    <xf numFmtId="0" fontId="21" fillId="0" borderId="0" xfId="0" applyFont="1"/>
    <xf numFmtId="14" fontId="18" fillId="0" borderId="1" xfId="0" applyNumberFormat="1" applyFont="1" applyBorder="1" applyAlignment="1">
      <alignment horizontal="center"/>
    </xf>
    <xf numFmtId="0" fontId="18" fillId="0" borderId="0" xfId="0" applyFont="1" applyAlignment="1">
      <alignment vertical="center"/>
    </xf>
    <xf numFmtId="0" fontId="22" fillId="0" borderId="1" xfId="0" applyFont="1" applyBorder="1" applyAlignment="1">
      <alignment horizontal="center"/>
    </xf>
    <xf numFmtId="14" fontId="22" fillId="0" borderId="1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3" fontId="22" fillId="0" borderId="1" xfId="0" applyNumberFormat="1" applyFont="1" applyBorder="1" applyAlignment="1">
      <alignment horizontal="center" vertical="center" wrapText="1"/>
    </xf>
    <xf numFmtId="4" fontId="22" fillId="0" borderId="1" xfId="0" applyNumberFormat="1" applyFont="1" applyBorder="1" applyAlignment="1">
      <alignment horizontal="center" vertical="center" wrapText="1"/>
    </xf>
    <xf numFmtId="0" fontId="22" fillId="0" borderId="0" xfId="0" applyFont="1"/>
    <xf numFmtId="0" fontId="23" fillId="0" borderId="0" xfId="0" applyFont="1"/>
    <xf numFmtId="3" fontId="18" fillId="0" borderId="1" xfId="0" applyNumberFormat="1" applyFont="1" applyBorder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/>
    </xf>
    <xf numFmtId="3" fontId="18" fillId="0" borderId="0" xfId="0" applyNumberFormat="1" applyFont="1" applyAlignment="1">
      <alignment horizontal="center" vertical="center" wrapText="1"/>
    </xf>
    <xf numFmtId="3" fontId="24" fillId="0" borderId="0" xfId="0" applyNumberFormat="1" applyFont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 wrapText="1"/>
    </xf>
    <xf numFmtId="3" fontId="25" fillId="3" borderId="0" xfId="0" applyNumberFormat="1" applyFont="1" applyFill="1" applyAlignment="1"/>
    <xf numFmtId="0" fontId="18" fillId="4" borderId="2" xfId="0" applyFont="1" applyFill="1" applyBorder="1"/>
    <xf numFmtId="2" fontId="18" fillId="0" borderId="0" xfId="0" applyNumberFormat="1" applyFont="1"/>
    <xf numFmtId="164" fontId="18" fillId="0" borderId="0" xfId="0" applyNumberFormat="1" applyFont="1"/>
    <xf numFmtId="14" fontId="18" fillId="4" borderId="2" xfId="0" applyNumberFormat="1" applyFont="1" applyFill="1" applyBorder="1"/>
    <xf numFmtId="0" fontId="18" fillId="4" borderId="2" xfId="0" applyFont="1" applyFill="1" applyBorder="1" applyAlignment="1">
      <alignment horizontal="center" vertical="center" wrapText="1"/>
    </xf>
    <xf numFmtId="14" fontId="26" fillId="0" borderId="0" xfId="0" applyNumberFormat="1" applyFont="1" applyAlignment="1">
      <alignment vertical="center"/>
    </xf>
    <xf numFmtId="14" fontId="21" fillId="0" borderId="0" xfId="0" applyNumberFormat="1" applyFont="1"/>
    <xf numFmtId="0" fontId="21" fillId="0" borderId="0" xfId="0" applyFont="1" applyAlignment="1">
      <alignment horizontal="center" vertical="center" wrapText="1"/>
    </xf>
    <xf numFmtId="0" fontId="27" fillId="0" borderId="0" xfId="0" applyFont="1" applyAlignment="1">
      <alignment vertical="center"/>
    </xf>
    <xf numFmtId="4" fontId="16" fillId="0" borderId="0" xfId="0" applyNumberFormat="1" applyFont="1" applyAlignment="1">
      <alignment vertical="center"/>
    </xf>
    <xf numFmtId="0" fontId="1" fillId="0" borderId="0" xfId="0" applyFont="1" applyAlignment="1">
      <alignment horizontal="center"/>
    </xf>
    <xf numFmtId="14" fontId="1" fillId="0" borderId="0" xfId="0" applyNumberFormat="1" applyFont="1"/>
    <xf numFmtId="3" fontId="20" fillId="2" borderId="1" xfId="0" applyNumberFormat="1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wrapText="1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4" fontId="29" fillId="0" borderId="0" xfId="0" applyNumberFormat="1" applyFont="1"/>
    <xf numFmtId="3" fontId="1" fillId="0" borderId="0" xfId="0" applyNumberFormat="1" applyFont="1"/>
    <xf numFmtId="166" fontId="1" fillId="0" borderId="0" xfId="0" applyNumberFormat="1" applyFont="1"/>
    <xf numFmtId="167" fontId="16" fillId="0" borderId="0" xfId="0" applyNumberFormat="1" applyFont="1" applyAlignment="1">
      <alignment vertical="center"/>
    </xf>
    <xf numFmtId="167" fontId="18" fillId="0" borderId="0" xfId="0" applyNumberFormat="1" applyFont="1"/>
    <xf numFmtId="167" fontId="20" fillId="2" borderId="1" xfId="0" applyNumberFormat="1" applyFont="1" applyFill="1" applyBorder="1" applyAlignment="1">
      <alignment horizontal="center" vertical="center" wrapText="1"/>
    </xf>
    <xf numFmtId="168" fontId="18" fillId="0" borderId="1" xfId="0" applyNumberFormat="1" applyFont="1" applyBorder="1" applyAlignment="1">
      <alignment horizontal="center" wrapText="1"/>
    </xf>
    <xf numFmtId="1" fontId="18" fillId="0" borderId="1" xfId="0" applyNumberFormat="1" applyFont="1" applyBorder="1" applyAlignment="1">
      <alignment horizontal="center" wrapText="1"/>
    </xf>
    <xf numFmtId="167" fontId="18" fillId="4" borderId="2" xfId="0" applyNumberFormat="1" applyFont="1" applyFill="1" applyBorder="1"/>
    <xf numFmtId="0" fontId="30" fillId="0" borderId="0" xfId="0" applyFont="1" applyAlignment="1">
      <alignment horizontal="center" vertical="center"/>
    </xf>
    <xf numFmtId="0" fontId="31" fillId="2" borderId="3" xfId="0" applyFont="1" applyFill="1" applyBorder="1" applyAlignment="1">
      <alignment horizontal="center" vertical="center" wrapText="1"/>
    </xf>
    <xf numFmtId="14" fontId="31" fillId="2" borderId="4" xfId="0" applyNumberFormat="1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31" fillId="2" borderId="5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14" fontId="18" fillId="4" borderId="1" xfId="0" applyNumberFormat="1" applyFont="1" applyFill="1" applyBorder="1" applyAlignment="1">
      <alignment horizontal="center" vertical="center" wrapText="1"/>
    </xf>
    <xf numFmtId="168" fontId="18" fillId="0" borderId="1" xfId="0" applyNumberFormat="1" applyFont="1" applyBorder="1" applyAlignment="1">
      <alignment horizontal="center" vertical="center" wrapText="1"/>
    </xf>
    <xf numFmtId="2" fontId="18" fillId="0" borderId="1" xfId="0" applyNumberFormat="1" applyFont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4" fontId="18" fillId="0" borderId="1" xfId="0" applyNumberFormat="1" applyFont="1" applyBorder="1" applyAlignment="1">
      <alignment horizontal="center" wrapText="1"/>
    </xf>
    <xf numFmtId="4" fontId="21" fillId="0" borderId="0" xfId="0" applyNumberFormat="1" applyFont="1"/>
    <xf numFmtId="14" fontId="32" fillId="0" borderId="0" xfId="0" applyNumberFormat="1" applyFont="1" applyAlignment="1">
      <alignment vertical="center"/>
    </xf>
    <xf numFmtId="169" fontId="16" fillId="0" borderId="0" xfId="0" applyNumberFormat="1" applyFont="1" applyAlignment="1">
      <alignment vertical="center"/>
    </xf>
    <xf numFmtId="0" fontId="33" fillId="4" borderId="2" xfId="0" applyFont="1" applyFill="1" applyBorder="1" applyAlignment="1">
      <alignment vertical="center"/>
    </xf>
    <xf numFmtId="169" fontId="18" fillId="0" borderId="0" xfId="0" applyNumberFormat="1" applyFont="1"/>
    <xf numFmtId="169" fontId="20" fillId="2" borderId="1" xfId="0" applyNumberFormat="1" applyFont="1" applyFill="1" applyBorder="1" applyAlignment="1">
      <alignment horizontal="center" vertical="center" wrapText="1"/>
    </xf>
    <xf numFmtId="2" fontId="20" fillId="0" borderId="0" xfId="0" applyNumberFormat="1" applyFont="1" applyAlignment="1">
      <alignment horizontal="center" vertical="center" wrapText="1"/>
    </xf>
    <xf numFmtId="14" fontId="20" fillId="0" borderId="0" xfId="0" applyNumberFormat="1" applyFont="1" applyAlignment="1">
      <alignment horizontal="center" vertical="center" wrapText="1"/>
    </xf>
    <xf numFmtId="169" fontId="20" fillId="0" borderId="0" xfId="0" applyNumberFormat="1" applyFont="1" applyAlignment="1">
      <alignment horizontal="center" vertical="center" wrapText="1"/>
    </xf>
    <xf numFmtId="2" fontId="18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14" fontId="20" fillId="2" borderId="6" xfId="0" applyNumberFormat="1" applyFont="1" applyFill="1" applyBorder="1" applyAlignment="1">
      <alignment horizontal="center" vertical="center" wrapText="1"/>
    </xf>
    <xf numFmtId="2" fontId="18" fillId="4" borderId="2" xfId="0" applyNumberFormat="1" applyFont="1" applyFill="1" applyBorder="1"/>
    <xf numFmtId="168" fontId="18" fillId="3" borderId="1" xfId="0" applyNumberFormat="1" applyFont="1" applyFill="1" applyBorder="1" applyAlignment="1">
      <alignment horizontal="center" vertical="center" wrapText="1"/>
    </xf>
    <xf numFmtId="8" fontId="18" fillId="0" borderId="0" xfId="0" applyNumberFormat="1" applyFont="1"/>
    <xf numFmtId="0" fontId="18" fillId="6" borderId="1" xfId="0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/>
    </xf>
    <xf numFmtId="0" fontId="18" fillId="7" borderId="1" xfId="0" applyFont="1" applyFill="1" applyBorder="1" applyAlignment="1">
      <alignment horizontal="center"/>
    </xf>
    <xf numFmtId="170" fontId="18" fillId="0" borderId="1" xfId="0" applyNumberFormat="1" applyFont="1" applyBorder="1" applyAlignment="1">
      <alignment horizontal="center" vertical="center" wrapText="1"/>
    </xf>
    <xf numFmtId="14" fontId="18" fillId="0" borderId="0" xfId="0" applyNumberFormat="1" applyFont="1" applyAlignment="1">
      <alignment horizontal="center" wrapText="1"/>
    </xf>
    <xf numFmtId="0" fontId="18" fillId="0" borderId="0" xfId="0" applyFont="1" applyAlignment="1">
      <alignment horizontal="center" wrapText="1"/>
    </xf>
    <xf numFmtId="4" fontId="18" fillId="0" borderId="0" xfId="0" applyNumberFormat="1" applyFont="1" applyAlignment="1">
      <alignment horizontal="center" wrapText="1"/>
    </xf>
    <xf numFmtId="168" fontId="18" fillId="0" borderId="0" xfId="0" applyNumberFormat="1" applyFont="1" applyAlignment="1">
      <alignment horizontal="center" vertical="center" wrapText="1"/>
    </xf>
    <xf numFmtId="3" fontId="18" fillId="0" borderId="0" xfId="0" applyNumberFormat="1" applyFont="1"/>
    <xf numFmtId="3" fontId="23" fillId="0" borderId="0" xfId="0" applyNumberFormat="1" applyFont="1" applyAlignment="1">
      <alignment horizontal="center"/>
    </xf>
    <xf numFmtId="169" fontId="18" fillId="4" borderId="2" xfId="0" applyNumberFormat="1" applyFont="1" applyFill="1" applyBorder="1"/>
    <xf numFmtId="14" fontId="18" fillId="0" borderId="1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 vertical="center" wrapText="1"/>
    </xf>
    <xf numFmtId="165" fontId="18" fillId="0" borderId="1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wrapText="1"/>
    </xf>
    <xf numFmtId="0" fontId="13" fillId="0" borderId="0" xfId="0" applyFont="1" applyAlignment="1">
      <alignment horizontal="left"/>
    </xf>
    <xf numFmtId="0" fontId="0" fillId="0" borderId="0" xfId="0" applyFont="1" applyAlignment="1"/>
    <xf numFmtId="0" fontId="17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438150</xdr:colOff>
      <xdr:row>1</xdr:row>
      <xdr:rowOff>76200</xdr:rowOff>
    </xdr:from>
    <xdr:ext cx="2447925" cy="857250"/>
    <xdr:sp macro="" textlink="">
      <xdr:nvSpPr>
        <xdr:cNvPr id="3" name="Shape 3"/>
        <xdr:cNvSpPr txBox="1"/>
      </xdr:nvSpPr>
      <xdr:spPr>
        <a:xfrm>
          <a:off x="4126800" y="3356138"/>
          <a:ext cx="2438400" cy="847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lang="en-US" sz="1300" i="0" u="none" strike="noStrike" cap="none">
              <a:solidFill>
                <a:srgbClr val="434343"/>
              </a:solidFill>
              <a:latin typeface="Encode Sans Condensed"/>
              <a:ea typeface="Encode Sans Condensed"/>
              <a:cs typeface="Encode Sans Condensed"/>
              <a:sym typeface="Encode Sans Condensed"/>
            </a:rPr>
            <a:t>Secretaría de</a:t>
          </a:r>
          <a:r>
            <a:rPr lang="en-US" sz="1300">
              <a:solidFill>
                <a:srgbClr val="434343"/>
              </a:solidFill>
              <a:latin typeface="Encode Sans Condensed"/>
              <a:ea typeface="Encode Sans Condensed"/>
              <a:cs typeface="Encode Sans Condensed"/>
              <a:sym typeface="Encode Sans Condensed"/>
            </a:rPr>
            <a:t> Finanzas</a:t>
          </a:r>
          <a:endParaRPr sz="1300" i="0" u="none" strike="noStrike" cap="none">
            <a:solidFill>
              <a:srgbClr val="434343"/>
            </a:solidFill>
            <a:latin typeface="Encode Sans Condensed"/>
            <a:ea typeface="Encode Sans Condensed"/>
            <a:cs typeface="Encode Sans Condensed"/>
            <a:sym typeface="Encode Sans Condensed"/>
          </a:endParaRPr>
        </a:p>
      </xdr:txBody>
    </xdr:sp>
    <xdr:clientData fLocksWithSheet="0"/>
  </xdr:oneCellAnchor>
  <xdr:oneCellAnchor>
    <xdr:from>
      <xdr:col>10</xdr:col>
      <xdr:colOff>638175</xdr:colOff>
      <xdr:row>1</xdr:row>
      <xdr:rowOff>95250</xdr:rowOff>
    </xdr:from>
    <xdr:ext cx="2057400" cy="857250"/>
    <xdr:grpSp>
      <xdr:nvGrpSpPr>
        <xdr:cNvPr id="2" name="Shape 2"/>
        <xdr:cNvGrpSpPr/>
      </xdr:nvGrpSpPr>
      <xdr:grpSpPr>
        <a:xfrm>
          <a:off x="8181975" y="381000"/>
          <a:ext cx="2057400" cy="857250"/>
          <a:chOff x="4317300" y="3351375"/>
          <a:chExt cx="2057400" cy="857250"/>
        </a:xfrm>
      </xdr:grpSpPr>
      <xdr:grpSp>
        <xdr:nvGrpSpPr>
          <xdr:cNvPr id="4" name="Shape 4"/>
          <xdr:cNvGrpSpPr/>
        </xdr:nvGrpSpPr>
        <xdr:grpSpPr>
          <a:xfrm>
            <a:off x="4317300" y="3351375"/>
            <a:ext cx="2057400" cy="857250"/>
            <a:chOff x="4317300" y="3351375"/>
            <a:chExt cx="2057400" cy="857250"/>
          </a:xfrm>
        </xdr:grpSpPr>
        <xdr:sp macro="" textlink="">
          <xdr:nvSpPr>
            <xdr:cNvPr id="5" name="Shape 5"/>
            <xdr:cNvSpPr/>
          </xdr:nvSpPr>
          <xdr:spPr>
            <a:xfrm>
              <a:off x="4317300" y="3351375"/>
              <a:ext cx="2057400" cy="8572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" name="Shape 6"/>
            <xdr:cNvGrpSpPr/>
          </xdr:nvGrpSpPr>
          <xdr:grpSpPr>
            <a:xfrm>
              <a:off x="4317300" y="3351375"/>
              <a:ext cx="2057400" cy="857250"/>
              <a:chOff x="4317300" y="3351375"/>
              <a:chExt cx="2057400" cy="857250"/>
            </a:xfrm>
          </xdr:grpSpPr>
          <xdr:sp macro="" textlink="">
            <xdr:nvSpPr>
              <xdr:cNvPr id="7" name="Shape 7"/>
              <xdr:cNvSpPr/>
            </xdr:nvSpPr>
            <xdr:spPr>
              <a:xfrm>
                <a:off x="4317300" y="3351375"/>
                <a:ext cx="2057400" cy="8572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" name="Shape 8"/>
              <xdr:cNvGrpSpPr/>
            </xdr:nvGrpSpPr>
            <xdr:grpSpPr>
              <a:xfrm>
                <a:off x="4317300" y="3351375"/>
                <a:ext cx="2057400" cy="857250"/>
                <a:chOff x="4317300" y="3351375"/>
                <a:chExt cx="2057400" cy="857250"/>
              </a:xfrm>
            </xdr:grpSpPr>
            <xdr:sp macro="" textlink="">
              <xdr:nvSpPr>
                <xdr:cNvPr id="9" name="Shape 9"/>
                <xdr:cNvSpPr/>
              </xdr:nvSpPr>
              <xdr:spPr>
                <a:xfrm>
                  <a:off x="4317300" y="3351375"/>
                  <a:ext cx="2057400" cy="8572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" name="Shape 10"/>
                <xdr:cNvGrpSpPr/>
              </xdr:nvGrpSpPr>
              <xdr:grpSpPr>
                <a:xfrm>
                  <a:off x="4317300" y="3351375"/>
                  <a:ext cx="2057400" cy="857250"/>
                  <a:chOff x="4317300" y="3351375"/>
                  <a:chExt cx="2057400" cy="857250"/>
                </a:xfrm>
              </xdr:grpSpPr>
              <xdr:sp macro="" textlink="">
                <xdr:nvSpPr>
                  <xdr:cNvPr id="11" name="Shape 11"/>
                  <xdr:cNvSpPr/>
                </xdr:nvSpPr>
                <xdr:spPr>
                  <a:xfrm>
                    <a:off x="4317300" y="3351375"/>
                    <a:ext cx="2057400" cy="8572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" name="Shape 12"/>
                  <xdr:cNvGrpSpPr/>
                </xdr:nvGrpSpPr>
                <xdr:grpSpPr>
                  <a:xfrm>
                    <a:off x="4317300" y="3351375"/>
                    <a:ext cx="2057400" cy="857250"/>
                    <a:chOff x="4317300" y="3351375"/>
                    <a:chExt cx="2057400" cy="857250"/>
                  </a:xfrm>
                </xdr:grpSpPr>
                <xdr:sp macro="" textlink="">
                  <xdr:nvSpPr>
                    <xdr:cNvPr id="13" name="Shape 13"/>
                    <xdr:cNvSpPr/>
                  </xdr:nvSpPr>
                  <xdr:spPr>
                    <a:xfrm>
                      <a:off x="4317300" y="3351375"/>
                      <a:ext cx="2057400" cy="8572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" name="Shape 14"/>
                    <xdr:cNvGrpSpPr/>
                  </xdr:nvGrpSpPr>
                  <xdr:grpSpPr>
                    <a:xfrm>
                      <a:off x="4317300" y="3351375"/>
                      <a:ext cx="2057400" cy="857250"/>
                      <a:chOff x="4317300" y="3351375"/>
                      <a:chExt cx="2057400" cy="857250"/>
                    </a:xfrm>
                  </xdr:grpSpPr>
                  <xdr:sp macro="" textlink="">
                    <xdr:nvSpPr>
                      <xdr:cNvPr id="15" name="Shape 15"/>
                      <xdr:cNvSpPr/>
                    </xdr:nvSpPr>
                    <xdr:spPr>
                      <a:xfrm>
                        <a:off x="4317300" y="3351375"/>
                        <a:ext cx="2057400" cy="8572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" name="Shape 16"/>
                      <xdr:cNvGrpSpPr/>
                    </xdr:nvGrpSpPr>
                    <xdr:grpSpPr>
                      <a:xfrm>
                        <a:off x="4317300" y="3351375"/>
                        <a:ext cx="2057400" cy="857250"/>
                        <a:chOff x="4317300" y="3351375"/>
                        <a:chExt cx="2057400" cy="857250"/>
                      </a:xfrm>
                    </xdr:grpSpPr>
                    <xdr:sp macro="" textlink="">
                      <xdr:nvSpPr>
                        <xdr:cNvPr id="17" name="Shape 17"/>
                        <xdr:cNvSpPr/>
                      </xdr:nvSpPr>
                      <xdr:spPr>
                        <a:xfrm>
                          <a:off x="4317300" y="3351375"/>
                          <a:ext cx="2057400" cy="8572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" name="Shape 18"/>
                        <xdr:cNvGrpSpPr/>
                      </xdr:nvGrpSpPr>
                      <xdr:grpSpPr>
                        <a:xfrm>
                          <a:off x="4317300" y="3351375"/>
                          <a:ext cx="2057400" cy="857250"/>
                          <a:chOff x="4317300" y="3351375"/>
                          <a:chExt cx="2057400" cy="857250"/>
                        </a:xfrm>
                      </xdr:grpSpPr>
                      <xdr:sp macro="" textlink="">
                        <xdr:nvSpPr>
                          <xdr:cNvPr id="19" name="Shape 19"/>
                          <xdr:cNvSpPr/>
                        </xdr:nvSpPr>
                        <xdr:spPr>
                          <a:xfrm>
                            <a:off x="4317300" y="3351375"/>
                            <a:ext cx="2057400" cy="8572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" name="Shape 20"/>
                          <xdr:cNvGrpSpPr/>
                        </xdr:nvGrpSpPr>
                        <xdr:grpSpPr>
                          <a:xfrm>
                            <a:off x="4317300" y="3351375"/>
                            <a:ext cx="2057400" cy="857250"/>
                            <a:chOff x="4317300" y="3351375"/>
                            <a:chExt cx="2057400" cy="857250"/>
                          </a:xfrm>
                        </xdr:grpSpPr>
                        <xdr:sp macro="" textlink="">
                          <xdr:nvSpPr>
                            <xdr:cNvPr id="21" name="Shape 21"/>
                            <xdr:cNvSpPr/>
                          </xdr:nvSpPr>
                          <xdr:spPr>
                            <a:xfrm>
                              <a:off x="4317300" y="3351375"/>
                              <a:ext cx="2057400" cy="8572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" name="Shape 22"/>
                            <xdr:cNvGrpSpPr/>
                          </xdr:nvGrpSpPr>
                          <xdr:grpSpPr>
                            <a:xfrm>
                              <a:off x="4317300" y="3351375"/>
                              <a:ext cx="2057400" cy="857250"/>
                              <a:chOff x="2337425" y="992050"/>
                              <a:chExt cx="1116000" cy="372025"/>
                            </a:xfrm>
                          </xdr:grpSpPr>
                          <xdr:sp macro="" textlink="">
                            <xdr:nvSpPr>
                              <xdr:cNvPr id="23" name="Shape 23"/>
                              <xdr:cNvSpPr/>
                            </xdr:nvSpPr>
                            <xdr:spPr>
                              <a:xfrm>
                                <a:off x="2337425" y="992050"/>
                                <a:ext cx="1116000" cy="3720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sp macro="" textlink="">
                            <xdr:nvSpPr>
                              <xdr:cNvPr id="24" name="Shape 24"/>
                              <xdr:cNvSpPr/>
                            </xdr:nvSpPr>
                            <xdr:spPr>
                              <a:xfrm>
                                <a:off x="2358800" y="1075600"/>
                                <a:ext cx="191500" cy="12682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7660" h="5073" extrusionOk="0">
                                    <a:moveTo>
                                      <a:pt x="3820" y="0"/>
                                    </a:moveTo>
                                    <a:cubicBezTo>
                                      <a:pt x="3303" y="0"/>
                                      <a:pt x="2806" y="120"/>
                                      <a:pt x="2348" y="378"/>
                                    </a:cubicBezTo>
                                    <a:cubicBezTo>
                                      <a:pt x="1890" y="637"/>
                                      <a:pt x="1473" y="1015"/>
                                      <a:pt x="1115" y="1472"/>
                                    </a:cubicBezTo>
                                    <a:cubicBezTo>
                                      <a:pt x="776" y="1930"/>
                                      <a:pt x="498" y="2487"/>
                                      <a:pt x="299" y="3084"/>
                                    </a:cubicBezTo>
                                    <a:cubicBezTo>
                                      <a:pt x="100" y="3700"/>
                                      <a:pt x="1" y="4377"/>
                                      <a:pt x="1" y="5073"/>
                                    </a:cubicBezTo>
                                    <a:lnTo>
                                      <a:pt x="3701" y="5073"/>
                                    </a:lnTo>
                                    <a:lnTo>
                                      <a:pt x="3701" y="3879"/>
                                    </a:lnTo>
                                    <a:lnTo>
                                      <a:pt x="2865" y="3879"/>
                                    </a:lnTo>
                                    <a:cubicBezTo>
                                      <a:pt x="2686" y="3879"/>
                                      <a:pt x="2587" y="3820"/>
                                      <a:pt x="2527" y="3740"/>
                                    </a:cubicBezTo>
                                    <a:cubicBezTo>
                                      <a:pt x="2487" y="3700"/>
                                      <a:pt x="2467" y="3621"/>
                                      <a:pt x="2447" y="3541"/>
                                    </a:cubicBezTo>
                                    <a:cubicBezTo>
                                      <a:pt x="2447" y="3541"/>
                                      <a:pt x="2447" y="3521"/>
                                      <a:pt x="2447" y="3521"/>
                                    </a:cubicBezTo>
                                    <a:cubicBezTo>
                                      <a:pt x="2428" y="3462"/>
                                      <a:pt x="2447" y="3362"/>
                                      <a:pt x="2467" y="3283"/>
                                    </a:cubicBezTo>
                                    <a:cubicBezTo>
                                      <a:pt x="2567" y="2726"/>
                                      <a:pt x="2786" y="2368"/>
                                      <a:pt x="2965" y="2149"/>
                                    </a:cubicBezTo>
                                    <a:cubicBezTo>
                                      <a:pt x="2945" y="2129"/>
                                      <a:pt x="2925" y="2129"/>
                                      <a:pt x="2905" y="2109"/>
                                    </a:cubicBezTo>
                                    <a:cubicBezTo>
                                      <a:pt x="2786" y="2049"/>
                                      <a:pt x="2746" y="1930"/>
                                      <a:pt x="2766" y="1771"/>
                                    </a:cubicBezTo>
                                    <a:cubicBezTo>
                                      <a:pt x="2786" y="1592"/>
                                      <a:pt x="2965" y="1413"/>
                                      <a:pt x="3004" y="1373"/>
                                    </a:cubicBezTo>
                                    <a:cubicBezTo>
                                      <a:pt x="3283" y="1035"/>
                                      <a:pt x="3701" y="1015"/>
                                      <a:pt x="3760" y="1015"/>
                                    </a:cubicBezTo>
                                    <a:cubicBezTo>
                                      <a:pt x="3764" y="1015"/>
                                      <a:pt x="3770" y="1015"/>
                                      <a:pt x="3777" y="1015"/>
                                    </a:cubicBezTo>
                                    <a:cubicBezTo>
                                      <a:pt x="3889" y="1015"/>
                                      <a:pt x="4396" y="1032"/>
                                      <a:pt x="4675" y="1592"/>
                                    </a:cubicBezTo>
                                    <a:cubicBezTo>
                                      <a:pt x="5053" y="2288"/>
                                      <a:pt x="5133" y="2865"/>
                                      <a:pt x="5193" y="3322"/>
                                    </a:cubicBezTo>
                                    <a:lnTo>
                                      <a:pt x="5193" y="3342"/>
                                    </a:lnTo>
                                    <a:cubicBezTo>
                                      <a:pt x="5213" y="3442"/>
                                      <a:pt x="5213" y="3501"/>
                                      <a:pt x="5193" y="3561"/>
                                    </a:cubicBezTo>
                                    <a:cubicBezTo>
                                      <a:pt x="5193" y="3561"/>
                                      <a:pt x="5193" y="3561"/>
                                      <a:pt x="5193" y="3581"/>
                                    </a:cubicBezTo>
                                    <a:cubicBezTo>
                                      <a:pt x="5173" y="3641"/>
                                      <a:pt x="5133" y="3681"/>
                                      <a:pt x="5093" y="3720"/>
                                    </a:cubicBezTo>
                                    <a:cubicBezTo>
                                      <a:pt x="5033" y="3800"/>
                                      <a:pt x="4914" y="3860"/>
                                      <a:pt x="4775" y="3879"/>
                                    </a:cubicBezTo>
                                    <a:cubicBezTo>
                                      <a:pt x="4715" y="3879"/>
                                      <a:pt x="4656" y="3899"/>
                                      <a:pt x="4636" y="3899"/>
                                    </a:cubicBezTo>
                                    <a:lnTo>
                                      <a:pt x="3959" y="3899"/>
                                    </a:lnTo>
                                    <a:lnTo>
                                      <a:pt x="3959" y="5073"/>
                                    </a:lnTo>
                                    <a:lnTo>
                                      <a:pt x="7659" y="5073"/>
                                    </a:lnTo>
                                    <a:cubicBezTo>
                                      <a:pt x="7659" y="4377"/>
                                      <a:pt x="7560" y="3720"/>
                                      <a:pt x="7361" y="3084"/>
                                    </a:cubicBezTo>
                                    <a:cubicBezTo>
                                      <a:pt x="7162" y="2487"/>
                                      <a:pt x="6884" y="1930"/>
                                      <a:pt x="6525" y="1472"/>
                                    </a:cubicBezTo>
                                    <a:cubicBezTo>
                                      <a:pt x="6167" y="995"/>
                                      <a:pt x="5770" y="637"/>
                                      <a:pt x="5312" y="378"/>
                                    </a:cubicBezTo>
                                    <a:cubicBezTo>
                                      <a:pt x="4835" y="120"/>
                                      <a:pt x="4337" y="0"/>
                                      <a:pt x="3820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00B3E8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25" name="Shape 25"/>
                              <xdr:cNvSpPr/>
                            </xdr:nvSpPr>
                            <xdr:spPr>
                              <a:xfrm>
                                <a:off x="2358800" y="1201925"/>
                                <a:ext cx="92525" cy="383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3701" h="1532" extrusionOk="0">
                                    <a:moveTo>
                                      <a:pt x="1" y="0"/>
                                    </a:moveTo>
                                    <a:cubicBezTo>
                                      <a:pt x="1" y="537"/>
                                      <a:pt x="60" y="1035"/>
                                      <a:pt x="180" y="1532"/>
                                    </a:cubicBezTo>
                                    <a:cubicBezTo>
                                      <a:pt x="1831" y="1333"/>
                                      <a:pt x="2825" y="1154"/>
                                      <a:pt x="3104" y="955"/>
                                    </a:cubicBezTo>
                                    <a:cubicBezTo>
                                      <a:pt x="3323" y="796"/>
                                      <a:pt x="3482" y="716"/>
                                      <a:pt x="3701" y="716"/>
                                    </a:cubicBezTo>
                                    <a:lnTo>
                                      <a:pt x="3701" y="0"/>
                                    </a:lnTo>
                                    <a:close/>
                                  </a:path>
                                </a:pathLst>
                              </a:custGeom>
                              <a:solidFill>
                                <a:srgbClr val="FFFFFF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26" name="Shape 26"/>
                              <xdr:cNvSpPr/>
                            </xdr:nvSpPr>
                            <xdr:spPr>
                              <a:xfrm>
                                <a:off x="2457775" y="1201925"/>
                                <a:ext cx="92525" cy="388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3701" h="1552" extrusionOk="0">
                                    <a:moveTo>
                                      <a:pt x="0" y="0"/>
                                    </a:moveTo>
                                    <a:lnTo>
                                      <a:pt x="0" y="756"/>
                                    </a:lnTo>
                                    <a:cubicBezTo>
                                      <a:pt x="140" y="776"/>
                                      <a:pt x="239" y="816"/>
                                      <a:pt x="378" y="875"/>
                                    </a:cubicBezTo>
                                    <a:lnTo>
                                      <a:pt x="398" y="875"/>
                                    </a:lnTo>
                                    <a:cubicBezTo>
                                      <a:pt x="617" y="875"/>
                                      <a:pt x="796" y="935"/>
                                      <a:pt x="1055" y="1035"/>
                                    </a:cubicBezTo>
                                    <a:cubicBezTo>
                                      <a:pt x="1114" y="1054"/>
                                      <a:pt x="1194" y="1074"/>
                                      <a:pt x="1273" y="1114"/>
                                    </a:cubicBezTo>
                                    <a:cubicBezTo>
                                      <a:pt x="1313" y="1114"/>
                                      <a:pt x="2507" y="1492"/>
                                      <a:pt x="3521" y="1552"/>
                                    </a:cubicBezTo>
                                    <a:cubicBezTo>
                                      <a:pt x="3641" y="1054"/>
                                      <a:pt x="3700" y="537"/>
                                      <a:pt x="3700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FFFFFF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27" name="Shape 27"/>
                              <xdr:cNvSpPr/>
                            </xdr:nvSpPr>
                            <xdr:spPr>
                              <a:xfrm>
                                <a:off x="2448325" y="1059175"/>
                                <a:ext cx="25" cy="2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1" h="1" extrusionOk="0">
                                    <a:moveTo>
                                      <a:pt x="0" y="1"/>
                                    </a:moveTo>
                                    <a:lnTo>
                                      <a:pt x="0" y="1"/>
                                    </a:lnTo>
                                    <a:lnTo>
                                      <a:pt x="0" y="1"/>
                                    </a:lnTo>
                                    <a:close/>
                                  </a:path>
                                </a:pathLst>
                              </a:custGeom>
                              <a:solidFill>
                                <a:srgbClr val="231F2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28" name="Shape 28"/>
                              <xdr:cNvSpPr/>
                            </xdr:nvSpPr>
                            <xdr:spPr>
                              <a:xfrm>
                                <a:off x="2428925" y="1062175"/>
                                <a:ext cx="25" cy="2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1" h="1" extrusionOk="0">
                                    <a:moveTo>
                                      <a:pt x="1" y="0"/>
                                    </a:moveTo>
                                    <a:close/>
                                  </a:path>
                                </a:pathLst>
                              </a:custGeom>
                              <a:solidFill>
                                <a:srgbClr val="231F2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29" name="Shape 29"/>
                              <xdr:cNvSpPr/>
                            </xdr:nvSpPr>
                            <xdr:spPr>
                              <a:xfrm>
                                <a:off x="2428925" y="1062175"/>
                                <a:ext cx="25" cy="2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1" h="1" extrusionOk="0">
                                    <a:moveTo>
                                      <a:pt x="1" y="0"/>
                                    </a:moveTo>
                                    <a:lnTo>
                                      <a:pt x="1" y="0"/>
                                    </a:lnTo>
                                    <a:lnTo>
                                      <a:pt x="1" y="0"/>
                                    </a:lnTo>
                                    <a:lnTo>
                                      <a:pt x="1" y="0"/>
                                    </a:lnTo>
                                    <a:close/>
                                  </a:path>
                                </a:pathLst>
                              </a:custGeom>
                              <a:solidFill>
                                <a:srgbClr val="231F2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30" name="Shape 30"/>
                              <xdr:cNvSpPr/>
                            </xdr:nvSpPr>
                            <xdr:spPr>
                              <a:xfrm>
                                <a:off x="2378700" y="1261100"/>
                                <a:ext cx="151700" cy="6467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6068" h="2587" extrusionOk="0">
                                    <a:moveTo>
                                      <a:pt x="4655" y="0"/>
                                    </a:moveTo>
                                    <a:cubicBezTo>
                                      <a:pt x="4655" y="40"/>
                                      <a:pt x="4615" y="80"/>
                                      <a:pt x="4596" y="100"/>
                                    </a:cubicBezTo>
                                    <a:cubicBezTo>
                                      <a:pt x="4536" y="159"/>
                                      <a:pt x="4456" y="199"/>
                                      <a:pt x="4357" y="199"/>
                                    </a:cubicBezTo>
                                    <a:cubicBezTo>
                                      <a:pt x="4337" y="239"/>
                                      <a:pt x="4317" y="259"/>
                                      <a:pt x="4277" y="299"/>
                                    </a:cubicBezTo>
                                    <a:cubicBezTo>
                                      <a:pt x="4242" y="352"/>
                                      <a:pt x="4159" y="421"/>
                                      <a:pt x="4014" y="421"/>
                                    </a:cubicBezTo>
                                    <a:cubicBezTo>
                                      <a:pt x="3996" y="421"/>
                                      <a:pt x="3978" y="420"/>
                                      <a:pt x="3959" y="418"/>
                                    </a:cubicBezTo>
                                    <a:cubicBezTo>
                                      <a:pt x="3939" y="458"/>
                                      <a:pt x="3919" y="478"/>
                                      <a:pt x="3899" y="518"/>
                                    </a:cubicBezTo>
                                    <a:cubicBezTo>
                                      <a:pt x="3839" y="578"/>
                                      <a:pt x="3755" y="604"/>
                                      <a:pt x="3665" y="604"/>
                                    </a:cubicBezTo>
                                    <a:cubicBezTo>
                                      <a:pt x="3637" y="604"/>
                                      <a:pt x="3609" y="602"/>
                                      <a:pt x="3581" y="597"/>
                                    </a:cubicBezTo>
                                    <a:cubicBezTo>
                                      <a:pt x="3561" y="637"/>
                                      <a:pt x="3501" y="657"/>
                                      <a:pt x="3462" y="677"/>
                                    </a:cubicBezTo>
                                    <a:cubicBezTo>
                                      <a:pt x="3413" y="701"/>
                                      <a:pt x="3356" y="718"/>
                                      <a:pt x="3291" y="718"/>
                                    </a:cubicBezTo>
                                    <a:cubicBezTo>
                                      <a:pt x="3252" y="718"/>
                                      <a:pt x="3209" y="712"/>
                                      <a:pt x="3163" y="697"/>
                                    </a:cubicBezTo>
                                    <a:lnTo>
                                      <a:pt x="3163" y="1691"/>
                                    </a:lnTo>
                                    <a:cubicBezTo>
                                      <a:pt x="3163" y="1751"/>
                                      <a:pt x="3104" y="1811"/>
                                      <a:pt x="3024" y="1811"/>
                                    </a:cubicBezTo>
                                    <a:cubicBezTo>
                                      <a:pt x="2964" y="1811"/>
                                      <a:pt x="2905" y="1751"/>
                                      <a:pt x="2905" y="1691"/>
                                    </a:cubicBezTo>
                                    <a:lnTo>
                                      <a:pt x="2905" y="756"/>
                                    </a:lnTo>
                                    <a:cubicBezTo>
                                      <a:pt x="2865" y="756"/>
                                      <a:pt x="2805" y="776"/>
                                      <a:pt x="2746" y="776"/>
                                    </a:cubicBezTo>
                                    <a:lnTo>
                                      <a:pt x="2686" y="776"/>
                                    </a:lnTo>
                                    <a:cubicBezTo>
                                      <a:pt x="2606" y="756"/>
                                      <a:pt x="2547" y="716"/>
                                      <a:pt x="2507" y="657"/>
                                    </a:cubicBezTo>
                                    <a:cubicBezTo>
                                      <a:pt x="2471" y="666"/>
                                      <a:pt x="2420" y="675"/>
                                      <a:pt x="2365" y="675"/>
                                    </a:cubicBezTo>
                                    <a:cubicBezTo>
                                      <a:pt x="2297" y="675"/>
                                      <a:pt x="2224" y="661"/>
                                      <a:pt x="2169" y="617"/>
                                    </a:cubicBezTo>
                                    <a:cubicBezTo>
                                      <a:pt x="2129" y="597"/>
                                      <a:pt x="2109" y="557"/>
                                      <a:pt x="2089" y="498"/>
                                    </a:cubicBezTo>
                                    <a:cubicBezTo>
                                      <a:pt x="2049" y="498"/>
                                      <a:pt x="2010" y="498"/>
                                      <a:pt x="1970" y="478"/>
                                    </a:cubicBezTo>
                                    <a:cubicBezTo>
                                      <a:pt x="1850" y="438"/>
                                      <a:pt x="1791" y="378"/>
                                      <a:pt x="1751" y="299"/>
                                    </a:cubicBezTo>
                                    <a:cubicBezTo>
                                      <a:pt x="1731" y="299"/>
                                      <a:pt x="1691" y="299"/>
                                      <a:pt x="1671" y="279"/>
                                    </a:cubicBezTo>
                                    <a:cubicBezTo>
                                      <a:pt x="1572" y="279"/>
                                      <a:pt x="1453" y="239"/>
                                      <a:pt x="1413" y="120"/>
                                    </a:cubicBezTo>
                                    <a:cubicBezTo>
                                      <a:pt x="1413" y="100"/>
                                      <a:pt x="1393" y="80"/>
                                      <a:pt x="1393" y="60"/>
                                    </a:cubicBezTo>
                                    <a:cubicBezTo>
                                      <a:pt x="876" y="339"/>
                                      <a:pt x="259" y="597"/>
                                      <a:pt x="0" y="716"/>
                                    </a:cubicBezTo>
                                    <a:cubicBezTo>
                                      <a:pt x="100" y="896"/>
                                      <a:pt x="219" y="1075"/>
                                      <a:pt x="339" y="1234"/>
                                    </a:cubicBezTo>
                                    <a:cubicBezTo>
                                      <a:pt x="677" y="1711"/>
                                      <a:pt x="1094" y="2069"/>
                                      <a:pt x="1552" y="2328"/>
                                    </a:cubicBezTo>
                                    <a:cubicBezTo>
                                      <a:pt x="1771" y="2447"/>
                                      <a:pt x="1990" y="2527"/>
                                      <a:pt x="2208" y="2586"/>
                                    </a:cubicBezTo>
                                    <a:cubicBezTo>
                                      <a:pt x="2228" y="2547"/>
                                      <a:pt x="2268" y="2527"/>
                                      <a:pt x="2308" y="2487"/>
                                    </a:cubicBezTo>
                                    <a:cubicBezTo>
                                      <a:pt x="2384" y="2434"/>
                                      <a:pt x="2493" y="2415"/>
                                      <a:pt x="2603" y="2415"/>
                                    </a:cubicBezTo>
                                    <a:cubicBezTo>
                                      <a:pt x="2781" y="2415"/>
                                      <a:pt x="2963" y="2462"/>
                                      <a:pt x="3024" y="2487"/>
                                    </a:cubicBezTo>
                                    <a:cubicBezTo>
                                      <a:pt x="3098" y="2462"/>
                                      <a:pt x="3285" y="2415"/>
                                      <a:pt x="3464" y="2415"/>
                                    </a:cubicBezTo>
                                    <a:cubicBezTo>
                                      <a:pt x="3575" y="2415"/>
                                      <a:pt x="3684" y="2434"/>
                                      <a:pt x="3760" y="2487"/>
                                    </a:cubicBezTo>
                                    <a:cubicBezTo>
                                      <a:pt x="3800" y="2507"/>
                                      <a:pt x="3840" y="2547"/>
                                      <a:pt x="3860" y="2586"/>
                                    </a:cubicBezTo>
                                    <a:cubicBezTo>
                                      <a:pt x="4078" y="2527"/>
                                      <a:pt x="4297" y="2447"/>
                                      <a:pt x="4516" y="2328"/>
                                    </a:cubicBezTo>
                                    <a:cubicBezTo>
                                      <a:pt x="4974" y="2069"/>
                                      <a:pt x="5391" y="1691"/>
                                      <a:pt x="5729" y="1234"/>
                                    </a:cubicBezTo>
                                    <a:cubicBezTo>
                                      <a:pt x="5849" y="1094"/>
                                      <a:pt x="5968" y="915"/>
                                      <a:pt x="6068" y="756"/>
                                    </a:cubicBezTo>
                                    <a:cubicBezTo>
                                      <a:pt x="5749" y="637"/>
                                      <a:pt x="5093" y="339"/>
                                      <a:pt x="4655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FFFFFF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31" name="Shape 31"/>
                              <xdr:cNvSpPr/>
                            </xdr:nvSpPr>
                            <xdr:spPr>
                              <a:xfrm>
                                <a:off x="2425950" y="1321475"/>
                                <a:ext cx="57200" cy="426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2288" h="1704" extrusionOk="0">
                                    <a:moveTo>
                                      <a:pt x="713" y="0"/>
                                    </a:moveTo>
                                    <a:cubicBezTo>
                                      <a:pt x="603" y="0"/>
                                      <a:pt x="494" y="19"/>
                                      <a:pt x="418" y="72"/>
                                    </a:cubicBezTo>
                                    <a:cubicBezTo>
                                      <a:pt x="338" y="132"/>
                                      <a:pt x="279" y="211"/>
                                      <a:pt x="279" y="291"/>
                                    </a:cubicBezTo>
                                    <a:cubicBezTo>
                                      <a:pt x="259" y="390"/>
                                      <a:pt x="299" y="490"/>
                                      <a:pt x="358" y="569"/>
                                    </a:cubicBezTo>
                                    <a:cubicBezTo>
                                      <a:pt x="478" y="709"/>
                                      <a:pt x="677" y="768"/>
                                      <a:pt x="796" y="788"/>
                                    </a:cubicBezTo>
                                    <a:cubicBezTo>
                                      <a:pt x="796" y="828"/>
                                      <a:pt x="796" y="848"/>
                                      <a:pt x="796" y="868"/>
                                    </a:cubicBezTo>
                                    <a:cubicBezTo>
                                      <a:pt x="796" y="907"/>
                                      <a:pt x="796" y="927"/>
                                      <a:pt x="796" y="947"/>
                                    </a:cubicBezTo>
                                    <a:cubicBezTo>
                                      <a:pt x="716" y="1047"/>
                                      <a:pt x="418" y="1305"/>
                                      <a:pt x="0" y="1345"/>
                                    </a:cubicBezTo>
                                    <a:cubicBezTo>
                                      <a:pt x="0" y="1365"/>
                                      <a:pt x="40" y="1425"/>
                                      <a:pt x="120" y="1504"/>
                                    </a:cubicBezTo>
                                    <a:cubicBezTo>
                                      <a:pt x="497" y="1425"/>
                                      <a:pt x="756" y="1226"/>
                                      <a:pt x="875" y="1106"/>
                                    </a:cubicBezTo>
                                    <a:cubicBezTo>
                                      <a:pt x="895" y="1126"/>
                                      <a:pt x="915" y="1126"/>
                                      <a:pt x="915" y="1146"/>
                                    </a:cubicBezTo>
                                    <a:cubicBezTo>
                                      <a:pt x="895" y="1246"/>
                                      <a:pt x="776" y="1524"/>
                                      <a:pt x="318" y="1624"/>
                                    </a:cubicBezTo>
                                    <a:cubicBezTo>
                                      <a:pt x="398" y="1663"/>
                                      <a:pt x="497" y="1683"/>
                                      <a:pt x="597" y="1703"/>
                                    </a:cubicBezTo>
                                    <a:cubicBezTo>
                                      <a:pt x="915" y="1564"/>
                                      <a:pt x="1035" y="1345"/>
                                      <a:pt x="1074" y="1226"/>
                                    </a:cubicBezTo>
                                    <a:lnTo>
                                      <a:pt x="1214" y="1226"/>
                                    </a:lnTo>
                                    <a:cubicBezTo>
                                      <a:pt x="1253" y="1345"/>
                                      <a:pt x="1373" y="1564"/>
                                      <a:pt x="1691" y="1703"/>
                                    </a:cubicBezTo>
                                    <a:cubicBezTo>
                                      <a:pt x="1791" y="1703"/>
                                      <a:pt x="1890" y="1663"/>
                                      <a:pt x="1970" y="1624"/>
                                    </a:cubicBezTo>
                                    <a:cubicBezTo>
                                      <a:pt x="1512" y="1524"/>
                                      <a:pt x="1393" y="1246"/>
                                      <a:pt x="1353" y="1146"/>
                                    </a:cubicBezTo>
                                    <a:cubicBezTo>
                                      <a:pt x="1373" y="1126"/>
                                      <a:pt x="1393" y="1126"/>
                                      <a:pt x="1393" y="1106"/>
                                    </a:cubicBezTo>
                                    <a:cubicBezTo>
                                      <a:pt x="1532" y="1226"/>
                                      <a:pt x="1791" y="1425"/>
                                      <a:pt x="2168" y="1504"/>
                                    </a:cubicBezTo>
                                    <a:cubicBezTo>
                                      <a:pt x="2248" y="1425"/>
                                      <a:pt x="2268" y="1365"/>
                                      <a:pt x="2288" y="1345"/>
                                    </a:cubicBezTo>
                                    <a:cubicBezTo>
                                      <a:pt x="1870" y="1305"/>
                                      <a:pt x="1572" y="1047"/>
                                      <a:pt x="1472" y="947"/>
                                    </a:cubicBezTo>
                                    <a:cubicBezTo>
                                      <a:pt x="1492" y="927"/>
                                      <a:pt x="1492" y="907"/>
                                      <a:pt x="1492" y="868"/>
                                    </a:cubicBezTo>
                                    <a:cubicBezTo>
                                      <a:pt x="1492" y="848"/>
                                      <a:pt x="1492" y="828"/>
                                      <a:pt x="1472" y="788"/>
                                    </a:cubicBezTo>
                                    <a:cubicBezTo>
                                      <a:pt x="1611" y="768"/>
                                      <a:pt x="1810" y="709"/>
                                      <a:pt x="1930" y="569"/>
                                    </a:cubicBezTo>
                                    <a:cubicBezTo>
                                      <a:pt x="1989" y="490"/>
                                      <a:pt x="2009" y="390"/>
                                      <a:pt x="2009" y="291"/>
                                    </a:cubicBezTo>
                                    <a:cubicBezTo>
                                      <a:pt x="1989" y="211"/>
                                      <a:pt x="1950" y="132"/>
                                      <a:pt x="1870" y="72"/>
                                    </a:cubicBezTo>
                                    <a:cubicBezTo>
                                      <a:pt x="1786" y="19"/>
                                      <a:pt x="1676" y="0"/>
                                      <a:pt x="1565" y="0"/>
                                    </a:cubicBezTo>
                                    <a:cubicBezTo>
                                      <a:pt x="1387" y="0"/>
                                      <a:pt x="1208" y="47"/>
                                      <a:pt x="1134" y="72"/>
                                    </a:cubicBezTo>
                                    <a:cubicBezTo>
                                      <a:pt x="1073" y="47"/>
                                      <a:pt x="891" y="0"/>
                                      <a:pt x="713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00B3E8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32" name="Shape 32"/>
                              <xdr:cNvSpPr/>
                            </xdr:nvSpPr>
                            <xdr:spPr>
                              <a:xfrm>
                                <a:off x="2462750" y="1325750"/>
                                <a:ext cx="9475" cy="1047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379" h="419" extrusionOk="0">
                                    <a:moveTo>
                                      <a:pt x="0" y="0"/>
                                    </a:moveTo>
                                    <a:cubicBezTo>
                                      <a:pt x="40" y="40"/>
                                      <a:pt x="100" y="100"/>
                                      <a:pt x="120" y="179"/>
                                    </a:cubicBezTo>
                                    <a:cubicBezTo>
                                      <a:pt x="159" y="259"/>
                                      <a:pt x="139" y="339"/>
                                      <a:pt x="100" y="418"/>
                                    </a:cubicBezTo>
                                    <a:cubicBezTo>
                                      <a:pt x="199" y="398"/>
                                      <a:pt x="279" y="358"/>
                                      <a:pt x="319" y="299"/>
                                    </a:cubicBezTo>
                                    <a:cubicBezTo>
                                      <a:pt x="358" y="239"/>
                                      <a:pt x="378" y="199"/>
                                      <a:pt x="358" y="140"/>
                                    </a:cubicBezTo>
                                    <a:cubicBezTo>
                                      <a:pt x="358" y="100"/>
                                      <a:pt x="338" y="60"/>
                                      <a:pt x="319" y="40"/>
                                    </a:cubicBezTo>
                                    <a:cubicBezTo>
                                      <a:pt x="239" y="0"/>
                                      <a:pt x="120" y="0"/>
                                      <a:pt x="0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FFFFFF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33" name="Shape 33"/>
                              <xdr:cNvSpPr/>
                            </xdr:nvSpPr>
                            <xdr:spPr>
                              <a:xfrm>
                                <a:off x="2446325" y="1327250"/>
                                <a:ext cx="16450" cy="947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658" h="379" extrusionOk="0">
                                    <a:moveTo>
                                      <a:pt x="319" y="0"/>
                                    </a:moveTo>
                                    <a:cubicBezTo>
                                      <a:pt x="319" y="0"/>
                                      <a:pt x="80" y="0"/>
                                      <a:pt x="21" y="179"/>
                                    </a:cubicBezTo>
                                    <a:cubicBezTo>
                                      <a:pt x="1" y="259"/>
                                      <a:pt x="41" y="338"/>
                                      <a:pt x="100" y="378"/>
                                    </a:cubicBezTo>
                                    <a:cubicBezTo>
                                      <a:pt x="160" y="318"/>
                                      <a:pt x="239" y="298"/>
                                      <a:pt x="319" y="298"/>
                                    </a:cubicBezTo>
                                    <a:cubicBezTo>
                                      <a:pt x="419" y="298"/>
                                      <a:pt x="498" y="318"/>
                                      <a:pt x="558" y="378"/>
                                    </a:cubicBezTo>
                                    <a:cubicBezTo>
                                      <a:pt x="598" y="318"/>
                                      <a:pt x="657" y="259"/>
                                      <a:pt x="617" y="179"/>
                                    </a:cubicBezTo>
                                    <a:cubicBezTo>
                                      <a:pt x="598" y="100"/>
                                      <a:pt x="538" y="60"/>
                                      <a:pt x="458" y="20"/>
                                    </a:cubicBezTo>
                                    <a:cubicBezTo>
                                      <a:pt x="379" y="0"/>
                                      <a:pt x="319" y="0"/>
                                      <a:pt x="319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FFFFFF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34" name="Shape 34"/>
                              <xdr:cNvSpPr/>
                            </xdr:nvSpPr>
                            <xdr:spPr>
                              <a:xfrm>
                                <a:off x="2436875" y="1325750"/>
                                <a:ext cx="9475" cy="1047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379" h="419" extrusionOk="0">
                                    <a:moveTo>
                                      <a:pt x="279" y="0"/>
                                    </a:moveTo>
                                    <a:cubicBezTo>
                                      <a:pt x="180" y="0"/>
                                      <a:pt x="100" y="0"/>
                                      <a:pt x="60" y="40"/>
                                    </a:cubicBezTo>
                                    <a:cubicBezTo>
                                      <a:pt x="21" y="60"/>
                                      <a:pt x="1" y="100"/>
                                      <a:pt x="1" y="140"/>
                                    </a:cubicBezTo>
                                    <a:cubicBezTo>
                                      <a:pt x="1" y="199"/>
                                      <a:pt x="21" y="239"/>
                                      <a:pt x="41" y="299"/>
                                    </a:cubicBezTo>
                                    <a:cubicBezTo>
                                      <a:pt x="100" y="358"/>
                                      <a:pt x="180" y="398"/>
                                      <a:pt x="259" y="418"/>
                                    </a:cubicBezTo>
                                    <a:cubicBezTo>
                                      <a:pt x="220" y="358"/>
                                      <a:pt x="220" y="279"/>
                                      <a:pt x="240" y="179"/>
                                    </a:cubicBezTo>
                                    <a:cubicBezTo>
                                      <a:pt x="279" y="100"/>
                                      <a:pt x="319" y="40"/>
                                      <a:pt x="379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FFFFFF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35" name="Shape 35"/>
                              <xdr:cNvSpPr/>
                            </xdr:nvSpPr>
                            <xdr:spPr>
                              <a:xfrm>
                                <a:off x="2449825" y="1338675"/>
                                <a:ext cx="8975" cy="897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359" h="359" extrusionOk="0">
                                    <a:moveTo>
                                      <a:pt x="179" y="1"/>
                                    </a:moveTo>
                                    <a:cubicBezTo>
                                      <a:pt x="80" y="1"/>
                                      <a:pt x="0" y="80"/>
                                      <a:pt x="0" y="180"/>
                                    </a:cubicBezTo>
                                    <a:cubicBezTo>
                                      <a:pt x="0" y="279"/>
                                      <a:pt x="80" y="359"/>
                                      <a:pt x="179" y="359"/>
                                    </a:cubicBezTo>
                                    <a:cubicBezTo>
                                      <a:pt x="279" y="359"/>
                                      <a:pt x="358" y="279"/>
                                      <a:pt x="358" y="180"/>
                                    </a:cubicBezTo>
                                    <a:cubicBezTo>
                                      <a:pt x="358" y="80"/>
                                      <a:pt x="279" y="1"/>
                                      <a:pt x="179" y="1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FFFFFF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36" name="Shape 36"/>
                              <xdr:cNvSpPr/>
                            </xdr:nvSpPr>
                            <xdr:spPr>
                              <a:xfrm>
                                <a:off x="2459750" y="1349125"/>
                                <a:ext cx="20425" cy="1295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817" h="518" extrusionOk="0">
                                    <a:moveTo>
                                      <a:pt x="41" y="0"/>
                                    </a:moveTo>
                                    <a:cubicBezTo>
                                      <a:pt x="41" y="20"/>
                                      <a:pt x="21" y="20"/>
                                      <a:pt x="1" y="40"/>
                                    </a:cubicBezTo>
                                    <a:cubicBezTo>
                                      <a:pt x="41" y="140"/>
                                      <a:pt x="140" y="398"/>
                                      <a:pt x="598" y="518"/>
                                    </a:cubicBezTo>
                                    <a:cubicBezTo>
                                      <a:pt x="697" y="478"/>
                                      <a:pt x="757" y="438"/>
                                      <a:pt x="816" y="398"/>
                                    </a:cubicBezTo>
                                    <a:cubicBezTo>
                                      <a:pt x="439" y="319"/>
                                      <a:pt x="160" y="120"/>
                                      <a:pt x="41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FFFFFF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37" name="Shape 37"/>
                              <xdr:cNvSpPr/>
                            </xdr:nvSpPr>
                            <xdr:spPr>
                              <a:xfrm>
                                <a:off x="2428925" y="1349125"/>
                                <a:ext cx="19925" cy="1295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797" h="518" extrusionOk="0">
                                    <a:moveTo>
                                      <a:pt x="756" y="0"/>
                                    </a:moveTo>
                                    <a:cubicBezTo>
                                      <a:pt x="637" y="120"/>
                                      <a:pt x="378" y="319"/>
                                      <a:pt x="1" y="398"/>
                                    </a:cubicBezTo>
                                    <a:cubicBezTo>
                                      <a:pt x="40" y="438"/>
                                      <a:pt x="120" y="478"/>
                                      <a:pt x="199" y="518"/>
                                    </a:cubicBezTo>
                                    <a:cubicBezTo>
                                      <a:pt x="657" y="398"/>
                                      <a:pt x="776" y="140"/>
                                      <a:pt x="796" y="40"/>
                                    </a:cubicBezTo>
                                    <a:cubicBezTo>
                                      <a:pt x="796" y="20"/>
                                      <a:pt x="776" y="20"/>
                                      <a:pt x="756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FFFFFF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38" name="Shape 38"/>
                              <xdr:cNvSpPr/>
                            </xdr:nvSpPr>
                            <xdr:spPr>
                              <a:xfrm>
                                <a:off x="2337425" y="992050"/>
                                <a:ext cx="234250" cy="34815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9370" h="13926" extrusionOk="0">
                                    <a:moveTo>
                                      <a:pt x="4675" y="398"/>
                                    </a:moveTo>
                                    <a:lnTo>
                                      <a:pt x="4775" y="1094"/>
                                    </a:lnTo>
                                    <a:cubicBezTo>
                                      <a:pt x="4775" y="1114"/>
                                      <a:pt x="4794" y="1134"/>
                                      <a:pt x="4814" y="1134"/>
                                    </a:cubicBezTo>
                                    <a:cubicBezTo>
                                      <a:pt x="4834" y="1134"/>
                                      <a:pt x="4854" y="1114"/>
                                      <a:pt x="4854" y="1094"/>
                                    </a:cubicBezTo>
                                    <a:cubicBezTo>
                                      <a:pt x="4854" y="1075"/>
                                      <a:pt x="4874" y="935"/>
                                      <a:pt x="4954" y="776"/>
                                    </a:cubicBezTo>
                                    <a:cubicBezTo>
                                      <a:pt x="4973" y="736"/>
                                      <a:pt x="4993" y="697"/>
                                      <a:pt x="5013" y="657"/>
                                    </a:cubicBezTo>
                                    <a:cubicBezTo>
                                      <a:pt x="5053" y="597"/>
                                      <a:pt x="5073" y="537"/>
                                      <a:pt x="5093" y="458"/>
                                    </a:cubicBezTo>
                                    <a:cubicBezTo>
                                      <a:pt x="5093" y="458"/>
                                      <a:pt x="5093" y="478"/>
                                      <a:pt x="5093" y="498"/>
                                    </a:cubicBezTo>
                                    <a:cubicBezTo>
                                      <a:pt x="5093" y="637"/>
                                      <a:pt x="5073" y="776"/>
                                      <a:pt x="5053" y="856"/>
                                    </a:cubicBezTo>
                                    <a:cubicBezTo>
                                      <a:pt x="5033" y="1015"/>
                                      <a:pt x="5053" y="1134"/>
                                      <a:pt x="5053" y="1154"/>
                                    </a:cubicBezTo>
                                    <a:cubicBezTo>
                                      <a:pt x="5053" y="1174"/>
                                      <a:pt x="5073" y="1174"/>
                                      <a:pt x="5093" y="1174"/>
                                    </a:cubicBezTo>
                                    <a:cubicBezTo>
                                      <a:pt x="5093" y="1174"/>
                                      <a:pt x="5113" y="1174"/>
                                      <a:pt x="5133" y="1154"/>
                                    </a:cubicBezTo>
                                    <a:lnTo>
                                      <a:pt x="5491" y="557"/>
                                    </a:lnTo>
                                    <a:lnTo>
                                      <a:pt x="5312" y="1234"/>
                                    </a:lnTo>
                                    <a:cubicBezTo>
                                      <a:pt x="5312" y="1254"/>
                                      <a:pt x="5312" y="1274"/>
                                      <a:pt x="5332" y="1293"/>
                                    </a:cubicBezTo>
                                    <a:cubicBezTo>
                                      <a:pt x="5351" y="1293"/>
                                      <a:pt x="5371" y="1293"/>
                                      <a:pt x="5391" y="1274"/>
                                    </a:cubicBezTo>
                                    <a:cubicBezTo>
                                      <a:pt x="5391" y="1254"/>
                                      <a:pt x="5471" y="1134"/>
                                      <a:pt x="5590" y="1015"/>
                                    </a:cubicBezTo>
                                    <a:cubicBezTo>
                                      <a:pt x="5630" y="975"/>
                                      <a:pt x="5670" y="955"/>
                                      <a:pt x="5709" y="935"/>
                                    </a:cubicBezTo>
                                    <a:cubicBezTo>
                                      <a:pt x="5749" y="876"/>
                                      <a:pt x="5809" y="836"/>
                                      <a:pt x="5869" y="776"/>
                                    </a:cubicBezTo>
                                    <a:lnTo>
                                      <a:pt x="5869" y="776"/>
                                    </a:lnTo>
                                    <a:cubicBezTo>
                                      <a:pt x="5849" y="796"/>
                                      <a:pt x="5849" y="796"/>
                                      <a:pt x="5849" y="816"/>
                                    </a:cubicBezTo>
                                    <a:cubicBezTo>
                                      <a:pt x="5789" y="955"/>
                                      <a:pt x="5709" y="1075"/>
                                      <a:pt x="5670" y="1134"/>
                                    </a:cubicBezTo>
                                    <a:cubicBezTo>
                                      <a:pt x="5590" y="1254"/>
                                      <a:pt x="5550" y="1393"/>
                                      <a:pt x="5550" y="1393"/>
                                    </a:cubicBezTo>
                                    <a:cubicBezTo>
                                      <a:pt x="5550" y="1413"/>
                                      <a:pt x="5550" y="1433"/>
                                      <a:pt x="5570" y="1433"/>
                                    </a:cubicBezTo>
                                    <a:cubicBezTo>
                                      <a:pt x="5580" y="1443"/>
                                      <a:pt x="5590" y="1448"/>
                                      <a:pt x="5598" y="1448"/>
                                    </a:cubicBezTo>
                                    <a:cubicBezTo>
                                      <a:pt x="5605" y="1448"/>
                                      <a:pt x="5610" y="1443"/>
                                      <a:pt x="5610" y="1433"/>
                                    </a:cubicBezTo>
                                    <a:lnTo>
                                      <a:pt x="6187" y="1015"/>
                                    </a:lnTo>
                                    <a:lnTo>
                                      <a:pt x="6187" y="1015"/>
                                    </a:lnTo>
                                    <a:lnTo>
                                      <a:pt x="5769" y="1592"/>
                                    </a:lnTo>
                                    <a:cubicBezTo>
                                      <a:pt x="5749" y="1592"/>
                                      <a:pt x="5749" y="1612"/>
                                      <a:pt x="5769" y="1632"/>
                                    </a:cubicBezTo>
                                    <a:cubicBezTo>
                                      <a:pt x="5779" y="1642"/>
                                      <a:pt x="5789" y="1647"/>
                                      <a:pt x="5799" y="1647"/>
                                    </a:cubicBezTo>
                                    <a:cubicBezTo>
                                      <a:pt x="5809" y="1647"/>
                                      <a:pt x="5819" y="1642"/>
                                      <a:pt x="5829" y="1632"/>
                                    </a:cubicBezTo>
                                    <a:cubicBezTo>
                                      <a:pt x="5829" y="1632"/>
                                      <a:pt x="5948" y="1552"/>
                                      <a:pt x="6107" y="1492"/>
                                    </a:cubicBezTo>
                                    <a:cubicBezTo>
                                      <a:pt x="6147" y="1472"/>
                                      <a:pt x="6187" y="1453"/>
                                      <a:pt x="6247" y="1453"/>
                                    </a:cubicBezTo>
                                    <a:cubicBezTo>
                                      <a:pt x="6302" y="1434"/>
                                      <a:pt x="6358" y="1416"/>
                                      <a:pt x="6429" y="1381"/>
                                    </a:cubicBezTo>
                                    <a:lnTo>
                                      <a:pt x="6429" y="1381"/>
                                    </a:lnTo>
                                    <a:cubicBezTo>
                                      <a:pt x="6426" y="1387"/>
                                      <a:pt x="6426" y="1393"/>
                                      <a:pt x="6426" y="1393"/>
                                    </a:cubicBezTo>
                                    <a:cubicBezTo>
                                      <a:pt x="6306" y="1492"/>
                                      <a:pt x="6187" y="1572"/>
                                      <a:pt x="6127" y="1612"/>
                                    </a:cubicBezTo>
                                    <a:cubicBezTo>
                                      <a:pt x="6008" y="1711"/>
                                      <a:pt x="5928" y="1811"/>
                                      <a:pt x="5928" y="1831"/>
                                    </a:cubicBezTo>
                                    <a:cubicBezTo>
                                      <a:pt x="5908" y="1831"/>
                                      <a:pt x="5908" y="1850"/>
                                      <a:pt x="5928" y="1870"/>
                                    </a:cubicBezTo>
                                    <a:cubicBezTo>
                                      <a:pt x="5928" y="1890"/>
                                      <a:pt x="5948" y="1890"/>
                                      <a:pt x="5968" y="1890"/>
                                    </a:cubicBezTo>
                                    <a:lnTo>
                                      <a:pt x="6644" y="1711"/>
                                    </a:lnTo>
                                    <a:lnTo>
                                      <a:pt x="6048" y="2069"/>
                                    </a:lnTo>
                                    <a:cubicBezTo>
                                      <a:pt x="6028" y="2089"/>
                                      <a:pt x="6008" y="2109"/>
                                      <a:pt x="6028" y="2129"/>
                                    </a:cubicBezTo>
                                    <a:cubicBezTo>
                                      <a:pt x="6028" y="2149"/>
                                      <a:pt x="6048" y="2149"/>
                                      <a:pt x="6068" y="2149"/>
                                    </a:cubicBezTo>
                                    <a:cubicBezTo>
                                      <a:pt x="6083" y="2149"/>
                                      <a:pt x="6176" y="2123"/>
                                      <a:pt x="6294" y="2123"/>
                                    </a:cubicBezTo>
                                    <a:cubicBezTo>
                                      <a:pt x="6323" y="2123"/>
                                      <a:pt x="6354" y="2125"/>
                                      <a:pt x="6386" y="2129"/>
                                    </a:cubicBezTo>
                                    <a:lnTo>
                                      <a:pt x="6525" y="2129"/>
                                    </a:lnTo>
                                    <a:cubicBezTo>
                                      <a:pt x="6605" y="2149"/>
                                      <a:pt x="6664" y="2149"/>
                                      <a:pt x="6744" y="2149"/>
                                    </a:cubicBezTo>
                                    <a:lnTo>
                                      <a:pt x="6724" y="2149"/>
                                    </a:lnTo>
                                    <a:cubicBezTo>
                                      <a:pt x="6565" y="2208"/>
                                      <a:pt x="6445" y="2228"/>
                                      <a:pt x="6366" y="2248"/>
                                    </a:cubicBezTo>
                                    <a:cubicBezTo>
                                      <a:pt x="6207" y="2288"/>
                                      <a:pt x="6107" y="2348"/>
                                      <a:pt x="6087" y="2348"/>
                                    </a:cubicBezTo>
                                    <a:cubicBezTo>
                                      <a:pt x="6087" y="2368"/>
                                      <a:pt x="6068" y="2388"/>
                                      <a:pt x="6087" y="2388"/>
                                    </a:cubicBezTo>
                                    <a:cubicBezTo>
                                      <a:pt x="6087" y="2407"/>
                                      <a:pt x="6087" y="2427"/>
                                      <a:pt x="6107" y="2427"/>
                                    </a:cubicBezTo>
                                    <a:lnTo>
                                      <a:pt x="6823" y="2527"/>
                                    </a:lnTo>
                                    <a:lnTo>
                                      <a:pt x="6107" y="2626"/>
                                    </a:lnTo>
                                    <a:cubicBezTo>
                                      <a:pt x="6087" y="2626"/>
                                      <a:pt x="6087" y="2646"/>
                                      <a:pt x="6087" y="2666"/>
                                    </a:cubicBezTo>
                                    <a:cubicBezTo>
                                      <a:pt x="6087" y="2686"/>
                                      <a:pt x="6087" y="2706"/>
                                      <a:pt x="6107" y="2706"/>
                                    </a:cubicBezTo>
                                    <a:cubicBezTo>
                                      <a:pt x="6127" y="2706"/>
                                      <a:pt x="6266" y="2746"/>
                                      <a:pt x="6426" y="2805"/>
                                    </a:cubicBezTo>
                                    <a:cubicBezTo>
                                      <a:pt x="6465" y="2825"/>
                                      <a:pt x="6505" y="2845"/>
                                      <a:pt x="6545" y="2865"/>
                                    </a:cubicBezTo>
                                    <a:cubicBezTo>
                                      <a:pt x="6605" y="2905"/>
                                      <a:pt x="6664" y="2945"/>
                                      <a:pt x="6744" y="2964"/>
                                    </a:cubicBezTo>
                                    <a:lnTo>
                                      <a:pt x="6704" y="2964"/>
                                    </a:lnTo>
                                    <a:cubicBezTo>
                                      <a:pt x="6565" y="2945"/>
                                      <a:pt x="6426" y="2925"/>
                                      <a:pt x="6346" y="2925"/>
                                    </a:cubicBezTo>
                                    <a:lnTo>
                                      <a:pt x="6326" y="2925"/>
                                    </a:lnTo>
                                    <a:cubicBezTo>
                                      <a:pt x="6207" y="2865"/>
                                      <a:pt x="6068" y="2825"/>
                                      <a:pt x="5948" y="2825"/>
                                    </a:cubicBezTo>
                                    <a:cubicBezTo>
                                      <a:pt x="5928" y="2805"/>
                                      <a:pt x="5928" y="2785"/>
                                      <a:pt x="5888" y="2765"/>
                                    </a:cubicBezTo>
                                    <a:cubicBezTo>
                                      <a:pt x="5709" y="2706"/>
                                      <a:pt x="5530" y="2666"/>
                                      <a:pt x="5351" y="2666"/>
                                    </a:cubicBezTo>
                                    <a:cubicBezTo>
                                      <a:pt x="5292" y="2666"/>
                                      <a:pt x="5252" y="2666"/>
                                      <a:pt x="5192" y="2686"/>
                                    </a:cubicBezTo>
                                    <a:cubicBezTo>
                                      <a:pt x="5192" y="2666"/>
                                      <a:pt x="5192" y="2666"/>
                                      <a:pt x="5172" y="2666"/>
                                    </a:cubicBezTo>
                                    <a:cubicBezTo>
                                      <a:pt x="5172" y="2626"/>
                                      <a:pt x="5152" y="2626"/>
                                      <a:pt x="5113" y="2606"/>
                                    </a:cubicBezTo>
                                    <a:cubicBezTo>
                                      <a:pt x="5030" y="2598"/>
                                      <a:pt x="4951" y="2593"/>
                                      <a:pt x="4876" y="2593"/>
                                    </a:cubicBezTo>
                                    <a:cubicBezTo>
                                      <a:pt x="4769" y="2593"/>
                                      <a:pt x="4669" y="2603"/>
                                      <a:pt x="4576" y="2626"/>
                                    </a:cubicBezTo>
                                    <a:cubicBezTo>
                                      <a:pt x="4516" y="2626"/>
                                      <a:pt x="4456" y="2646"/>
                                      <a:pt x="4397" y="2666"/>
                                    </a:cubicBezTo>
                                    <a:cubicBezTo>
                                      <a:pt x="4397" y="2666"/>
                                      <a:pt x="4397" y="2646"/>
                                      <a:pt x="4377" y="2626"/>
                                    </a:cubicBezTo>
                                    <a:cubicBezTo>
                                      <a:pt x="4357" y="2606"/>
                                      <a:pt x="4337" y="2606"/>
                                      <a:pt x="4317" y="2606"/>
                                    </a:cubicBezTo>
                                    <a:cubicBezTo>
                                      <a:pt x="4118" y="2626"/>
                                      <a:pt x="3939" y="2666"/>
                                      <a:pt x="3780" y="2726"/>
                                    </a:cubicBezTo>
                                    <a:cubicBezTo>
                                      <a:pt x="3740" y="2746"/>
                                      <a:pt x="3700" y="2765"/>
                                      <a:pt x="3680" y="2785"/>
                                    </a:cubicBezTo>
                                    <a:cubicBezTo>
                                      <a:pt x="3661" y="2765"/>
                                      <a:pt x="3661" y="2746"/>
                                      <a:pt x="3641" y="2726"/>
                                    </a:cubicBezTo>
                                    <a:cubicBezTo>
                                      <a:pt x="3621" y="2706"/>
                                      <a:pt x="3601" y="2706"/>
                                      <a:pt x="3561" y="2706"/>
                                    </a:cubicBezTo>
                                    <a:cubicBezTo>
                                      <a:pt x="3382" y="2765"/>
                                      <a:pt x="3203" y="2845"/>
                                      <a:pt x="3064" y="2945"/>
                                    </a:cubicBezTo>
                                    <a:lnTo>
                                      <a:pt x="2944" y="2945"/>
                                    </a:lnTo>
                                    <a:cubicBezTo>
                                      <a:pt x="2924" y="2945"/>
                                      <a:pt x="2825" y="2925"/>
                                      <a:pt x="2805" y="2925"/>
                                    </a:cubicBezTo>
                                    <a:lnTo>
                                      <a:pt x="2626" y="2925"/>
                                    </a:lnTo>
                                    <a:cubicBezTo>
                                      <a:pt x="2785" y="2865"/>
                                      <a:pt x="2905" y="2825"/>
                                      <a:pt x="2984" y="2825"/>
                                    </a:cubicBezTo>
                                    <a:cubicBezTo>
                                      <a:pt x="3143" y="2785"/>
                                      <a:pt x="3243" y="2706"/>
                                      <a:pt x="3263" y="2706"/>
                                    </a:cubicBezTo>
                                    <a:cubicBezTo>
                                      <a:pt x="3263" y="2706"/>
                                      <a:pt x="3283" y="2686"/>
                                      <a:pt x="3263" y="2666"/>
                                    </a:cubicBezTo>
                                    <a:cubicBezTo>
                                      <a:pt x="3263" y="2646"/>
                                      <a:pt x="3263" y="2646"/>
                                      <a:pt x="3243" y="2626"/>
                                    </a:cubicBezTo>
                                    <a:lnTo>
                                      <a:pt x="2527" y="2527"/>
                                    </a:lnTo>
                                    <a:lnTo>
                                      <a:pt x="3243" y="2427"/>
                                    </a:lnTo>
                                    <a:cubicBezTo>
                                      <a:pt x="3263" y="2427"/>
                                      <a:pt x="3263" y="2407"/>
                                      <a:pt x="3263" y="2388"/>
                                    </a:cubicBezTo>
                                    <a:cubicBezTo>
                                      <a:pt x="3263" y="2368"/>
                                      <a:pt x="3263" y="2348"/>
                                      <a:pt x="3243" y="2348"/>
                                    </a:cubicBezTo>
                                    <a:cubicBezTo>
                                      <a:pt x="3223" y="2348"/>
                                      <a:pt x="3084" y="2328"/>
                                      <a:pt x="2924" y="2248"/>
                                    </a:cubicBezTo>
                                    <a:cubicBezTo>
                                      <a:pt x="2885" y="2228"/>
                                      <a:pt x="2845" y="2208"/>
                                      <a:pt x="2805" y="2189"/>
                                    </a:cubicBezTo>
                                    <a:cubicBezTo>
                                      <a:pt x="2745" y="2169"/>
                                      <a:pt x="2686" y="2129"/>
                                      <a:pt x="2606" y="2109"/>
                                    </a:cubicBezTo>
                                    <a:lnTo>
                                      <a:pt x="2626" y="2109"/>
                                    </a:lnTo>
                                    <a:cubicBezTo>
                                      <a:pt x="2785" y="2109"/>
                                      <a:pt x="2924" y="2129"/>
                                      <a:pt x="3004" y="2149"/>
                                    </a:cubicBezTo>
                                    <a:cubicBezTo>
                                      <a:pt x="3057" y="2155"/>
                                      <a:pt x="3106" y="2158"/>
                                      <a:pt x="3147" y="2158"/>
                                    </a:cubicBezTo>
                                    <a:cubicBezTo>
                                      <a:pt x="3230" y="2158"/>
                                      <a:pt x="3283" y="2149"/>
                                      <a:pt x="3283" y="2149"/>
                                    </a:cubicBezTo>
                                    <a:cubicBezTo>
                                      <a:pt x="3302" y="2149"/>
                                      <a:pt x="3322" y="2129"/>
                                      <a:pt x="3322" y="2129"/>
                                    </a:cubicBezTo>
                                    <a:cubicBezTo>
                                      <a:pt x="3322" y="2109"/>
                                      <a:pt x="3322" y="2089"/>
                                      <a:pt x="3302" y="2069"/>
                                    </a:cubicBezTo>
                                    <a:lnTo>
                                      <a:pt x="2686" y="1711"/>
                                    </a:lnTo>
                                    <a:lnTo>
                                      <a:pt x="3382" y="1890"/>
                                    </a:lnTo>
                                    <a:cubicBezTo>
                                      <a:pt x="3402" y="1890"/>
                                      <a:pt x="3422" y="1890"/>
                                      <a:pt x="3422" y="1870"/>
                                    </a:cubicBezTo>
                                    <a:cubicBezTo>
                                      <a:pt x="3442" y="1850"/>
                                      <a:pt x="3422" y="1831"/>
                                      <a:pt x="3422" y="1811"/>
                                    </a:cubicBezTo>
                                    <a:cubicBezTo>
                                      <a:pt x="3402" y="1811"/>
                                      <a:pt x="3283" y="1731"/>
                                      <a:pt x="3163" y="1612"/>
                                    </a:cubicBezTo>
                                    <a:cubicBezTo>
                                      <a:pt x="3123" y="1572"/>
                                      <a:pt x="3104" y="1532"/>
                                      <a:pt x="3064" y="1492"/>
                                    </a:cubicBezTo>
                                    <a:cubicBezTo>
                                      <a:pt x="3028" y="1457"/>
                                      <a:pt x="2993" y="1405"/>
                                      <a:pt x="2943" y="1352"/>
                                    </a:cubicBezTo>
                                    <a:lnTo>
                                      <a:pt x="2943" y="1352"/>
                                    </a:lnTo>
                                    <a:cubicBezTo>
                                      <a:pt x="2949" y="1353"/>
                                      <a:pt x="2957" y="1353"/>
                                      <a:pt x="2964" y="1353"/>
                                    </a:cubicBezTo>
                                    <a:cubicBezTo>
                                      <a:pt x="3084" y="1413"/>
                                      <a:pt x="3203" y="1492"/>
                                      <a:pt x="3263" y="1532"/>
                                    </a:cubicBezTo>
                                    <a:cubicBezTo>
                                      <a:pt x="3402" y="1612"/>
                                      <a:pt x="3541" y="1651"/>
                                      <a:pt x="3541" y="1651"/>
                                    </a:cubicBezTo>
                                    <a:cubicBezTo>
                                      <a:pt x="3561" y="1651"/>
                                      <a:pt x="3581" y="1651"/>
                                      <a:pt x="3581" y="1632"/>
                                    </a:cubicBezTo>
                                    <a:cubicBezTo>
                                      <a:pt x="3601" y="1612"/>
                                      <a:pt x="3601" y="1592"/>
                                      <a:pt x="3581" y="1592"/>
                                    </a:cubicBezTo>
                                    <a:lnTo>
                                      <a:pt x="3163" y="1015"/>
                                    </a:lnTo>
                                    <a:lnTo>
                                      <a:pt x="3720" y="1433"/>
                                    </a:lnTo>
                                    <a:cubicBezTo>
                                      <a:pt x="3730" y="1443"/>
                                      <a:pt x="3740" y="1448"/>
                                      <a:pt x="3750" y="1448"/>
                                    </a:cubicBezTo>
                                    <a:cubicBezTo>
                                      <a:pt x="3760" y="1448"/>
                                      <a:pt x="3770" y="1443"/>
                                      <a:pt x="3780" y="1433"/>
                                    </a:cubicBezTo>
                                    <a:cubicBezTo>
                                      <a:pt x="3800" y="1413"/>
                                      <a:pt x="3800" y="1393"/>
                                      <a:pt x="3780" y="1373"/>
                                    </a:cubicBezTo>
                                    <a:cubicBezTo>
                                      <a:pt x="3780" y="1373"/>
                                      <a:pt x="3700" y="1254"/>
                                      <a:pt x="3641" y="1094"/>
                                    </a:cubicBezTo>
                                    <a:cubicBezTo>
                                      <a:pt x="3621" y="1055"/>
                                      <a:pt x="3601" y="1015"/>
                                      <a:pt x="3601" y="955"/>
                                    </a:cubicBezTo>
                                    <a:cubicBezTo>
                                      <a:pt x="3582" y="900"/>
                                      <a:pt x="3564" y="844"/>
                                      <a:pt x="3529" y="773"/>
                                    </a:cubicBezTo>
                                    <a:lnTo>
                                      <a:pt x="3529" y="773"/>
                                    </a:lnTo>
                                    <a:cubicBezTo>
                                      <a:pt x="3535" y="776"/>
                                      <a:pt x="3541" y="776"/>
                                      <a:pt x="3541" y="776"/>
                                    </a:cubicBezTo>
                                    <a:cubicBezTo>
                                      <a:pt x="3641" y="896"/>
                                      <a:pt x="3720" y="1015"/>
                                      <a:pt x="3760" y="1075"/>
                                    </a:cubicBezTo>
                                    <a:cubicBezTo>
                                      <a:pt x="3859" y="1194"/>
                                      <a:pt x="3959" y="1274"/>
                                      <a:pt x="3959" y="1274"/>
                                    </a:cubicBezTo>
                                    <a:cubicBezTo>
                                      <a:pt x="3969" y="1283"/>
                                      <a:pt x="3979" y="1288"/>
                                      <a:pt x="3989" y="1288"/>
                                    </a:cubicBezTo>
                                    <a:cubicBezTo>
                                      <a:pt x="3999" y="1288"/>
                                      <a:pt x="4009" y="1283"/>
                                      <a:pt x="4019" y="1274"/>
                                    </a:cubicBezTo>
                                    <a:cubicBezTo>
                                      <a:pt x="4038" y="1274"/>
                                      <a:pt x="4038" y="1254"/>
                                      <a:pt x="4038" y="1234"/>
                                    </a:cubicBezTo>
                                    <a:lnTo>
                                      <a:pt x="3859" y="557"/>
                                    </a:lnTo>
                                    <a:lnTo>
                                      <a:pt x="4218" y="1154"/>
                                    </a:lnTo>
                                    <a:cubicBezTo>
                                      <a:pt x="4232" y="1168"/>
                                      <a:pt x="4246" y="1182"/>
                                      <a:pt x="4260" y="1182"/>
                                    </a:cubicBezTo>
                                    <a:cubicBezTo>
                                      <a:pt x="4266" y="1182"/>
                                      <a:pt x="4271" y="1180"/>
                                      <a:pt x="4277" y="1174"/>
                                    </a:cubicBezTo>
                                    <a:cubicBezTo>
                                      <a:pt x="4297" y="1174"/>
                                      <a:pt x="4297" y="1154"/>
                                      <a:pt x="4297" y="1134"/>
                                    </a:cubicBezTo>
                                    <a:cubicBezTo>
                                      <a:pt x="4297" y="1134"/>
                                      <a:pt x="4257" y="975"/>
                                      <a:pt x="4257" y="816"/>
                                    </a:cubicBezTo>
                                    <a:cubicBezTo>
                                      <a:pt x="4277" y="756"/>
                                      <a:pt x="4277" y="717"/>
                                      <a:pt x="4277" y="677"/>
                                    </a:cubicBezTo>
                                    <a:cubicBezTo>
                                      <a:pt x="4277" y="597"/>
                                      <a:pt x="4297" y="537"/>
                                      <a:pt x="4277" y="458"/>
                                    </a:cubicBezTo>
                                    <a:cubicBezTo>
                                      <a:pt x="4297" y="458"/>
                                      <a:pt x="4297" y="478"/>
                                      <a:pt x="4297" y="478"/>
                                    </a:cubicBezTo>
                                    <a:cubicBezTo>
                                      <a:pt x="4337" y="637"/>
                                      <a:pt x="4377" y="776"/>
                                      <a:pt x="4397" y="836"/>
                                    </a:cubicBezTo>
                                    <a:cubicBezTo>
                                      <a:pt x="4436" y="995"/>
                                      <a:pt x="4496" y="1094"/>
                                      <a:pt x="4496" y="1114"/>
                                    </a:cubicBezTo>
                                    <a:cubicBezTo>
                                      <a:pt x="4516" y="1114"/>
                                      <a:pt x="4536" y="1134"/>
                                      <a:pt x="4536" y="1134"/>
                                    </a:cubicBezTo>
                                    <a:cubicBezTo>
                                      <a:pt x="4556" y="1114"/>
                                      <a:pt x="4576" y="1114"/>
                                      <a:pt x="4576" y="1094"/>
                                    </a:cubicBezTo>
                                    <a:lnTo>
                                      <a:pt x="4675" y="398"/>
                                    </a:lnTo>
                                    <a:close/>
                                    <a:moveTo>
                                      <a:pt x="4848" y="2741"/>
                                    </a:moveTo>
                                    <a:cubicBezTo>
                                      <a:pt x="4888" y="2741"/>
                                      <a:pt x="4930" y="2742"/>
                                      <a:pt x="4973" y="2746"/>
                                    </a:cubicBezTo>
                                    <a:cubicBezTo>
                                      <a:pt x="4914" y="2805"/>
                                      <a:pt x="4814" y="2865"/>
                                      <a:pt x="4635" y="2925"/>
                                    </a:cubicBezTo>
                                    <a:cubicBezTo>
                                      <a:pt x="4615" y="2925"/>
                                      <a:pt x="4595" y="2945"/>
                                      <a:pt x="4595" y="2964"/>
                                    </a:cubicBezTo>
                                    <a:cubicBezTo>
                                      <a:pt x="4595" y="3004"/>
                                      <a:pt x="4615" y="3024"/>
                                      <a:pt x="4635" y="3024"/>
                                    </a:cubicBezTo>
                                    <a:cubicBezTo>
                                      <a:pt x="4635" y="3024"/>
                                      <a:pt x="4794" y="3084"/>
                                      <a:pt x="4894" y="3183"/>
                                    </a:cubicBezTo>
                                    <a:cubicBezTo>
                                      <a:pt x="4854" y="3203"/>
                                      <a:pt x="4814" y="3203"/>
                                      <a:pt x="4755" y="3203"/>
                                    </a:cubicBezTo>
                                    <a:cubicBezTo>
                                      <a:pt x="4576" y="3203"/>
                                      <a:pt x="4337" y="3163"/>
                                      <a:pt x="4158" y="3024"/>
                                    </a:cubicBezTo>
                                    <a:cubicBezTo>
                                      <a:pt x="4198" y="2984"/>
                                      <a:pt x="4237" y="2925"/>
                                      <a:pt x="4337" y="2865"/>
                                    </a:cubicBezTo>
                                    <a:cubicBezTo>
                                      <a:pt x="4469" y="2782"/>
                                      <a:pt x="4644" y="2741"/>
                                      <a:pt x="4848" y="2741"/>
                                    </a:cubicBezTo>
                                    <a:close/>
                                    <a:moveTo>
                                      <a:pt x="5944" y="2971"/>
                                    </a:moveTo>
                                    <a:cubicBezTo>
                                      <a:pt x="5985" y="2971"/>
                                      <a:pt x="6026" y="2976"/>
                                      <a:pt x="6068" y="2984"/>
                                    </a:cubicBezTo>
                                    <a:cubicBezTo>
                                      <a:pt x="6167" y="3004"/>
                                      <a:pt x="6266" y="3044"/>
                                      <a:pt x="6366" y="3104"/>
                                    </a:cubicBezTo>
                                    <a:cubicBezTo>
                                      <a:pt x="6306" y="3124"/>
                                      <a:pt x="6207" y="3163"/>
                                      <a:pt x="6107" y="3183"/>
                                    </a:cubicBezTo>
                                    <a:cubicBezTo>
                                      <a:pt x="6048" y="3183"/>
                                      <a:pt x="5968" y="3203"/>
                                      <a:pt x="5908" y="3203"/>
                                    </a:cubicBezTo>
                                    <a:cubicBezTo>
                                      <a:pt x="5769" y="3203"/>
                                      <a:pt x="5650" y="3163"/>
                                      <a:pt x="5550" y="3084"/>
                                    </a:cubicBezTo>
                                    <a:cubicBezTo>
                                      <a:pt x="5590" y="3064"/>
                                      <a:pt x="5670" y="3024"/>
                                      <a:pt x="5769" y="3004"/>
                                    </a:cubicBezTo>
                                    <a:cubicBezTo>
                                      <a:pt x="5827" y="2981"/>
                                      <a:pt x="5886" y="2971"/>
                                      <a:pt x="5944" y="2971"/>
                                    </a:cubicBezTo>
                                    <a:close/>
                                    <a:moveTo>
                                      <a:pt x="4218" y="2765"/>
                                    </a:moveTo>
                                    <a:lnTo>
                                      <a:pt x="4218" y="2765"/>
                                    </a:lnTo>
                                    <a:cubicBezTo>
                                      <a:pt x="4178" y="2825"/>
                                      <a:pt x="4098" y="2905"/>
                                      <a:pt x="3919" y="3004"/>
                                    </a:cubicBezTo>
                                    <a:cubicBezTo>
                                      <a:pt x="3899" y="3004"/>
                                      <a:pt x="3879" y="3024"/>
                                      <a:pt x="3879" y="3064"/>
                                    </a:cubicBezTo>
                                    <a:cubicBezTo>
                                      <a:pt x="3879" y="3084"/>
                                      <a:pt x="3899" y="3104"/>
                                      <a:pt x="3939" y="3104"/>
                                    </a:cubicBezTo>
                                    <a:cubicBezTo>
                                      <a:pt x="3939" y="3104"/>
                                      <a:pt x="4078" y="3143"/>
                                      <a:pt x="4218" y="3203"/>
                                    </a:cubicBezTo>
                                    <a:lnTo>
                                      <a:pt x="4237" y="3203"/>
                                    </a:lnTo>
                                    <a:cubicBezTo>
                                      <a:pt x="4237" y="3223"/>
                                      <a:pt x="4218" y="3223"/>
                                      <a:pt x="4218" y="3223"/>
                                    </a:cubicBezTo>
                                    <a:cubicBezTo>
                                      <a:pt x="4158" y="3243"/>
                                      <a:pt x="4098" y="3243"/>
                                      <a:pt x="4038" y="3263"/>
                                    </a:cubicBezTo>
                                    <a:cubicBezTo>
                                      <a:pt x="3979" y="3283"/>
                                      <a:pt x="3899" y="3283"/>
                                      <a:pt x="3820" y="3283"/>
                                    </a:cubicBezTo>
                                    <a:cubicBezTo>
                                      <a:pt x="3720" y="3283"/>
                                      <a:pt x="3581" y="3263"/>
                                      <a:pt x="3462" y="3203"/>
                                    </a:cubicBezTo>
                                    <a:cubicBezTo>
                                      <a:pt x="3481" y="3163"/>
                                      <a:pt x="3521" y="3084"/>
                                      <a:pt x="3581" y="3024"/>
                                    </a:cubicBezTo>
                                    <a:cubicBezTo>
                                      <a:pt x="3720" y="2885"/>
                                      <a:pt x="3939" y="2785"/>
                                      <a:pt x="4218" y="2765"/>
                                    </a:cubicBezTo>
                                    <a:close/>
                                    <a:moveTo>
                                      <a:pt x="5364" y="2805"/>
                                    </a:moveTo>
                                    <a:cubicBezTo>
                                      <a:pt x="5476" y="2805"/>
                                      <a:pt x="5600" y="2825"/>
                                      <a:pt x="5729" y="2865"/>
                                    </a:cubicBezTo>
                                    <a:cubicBezTo>
                                      <a:pt x="5650" y="2905"/>
                                      <a:pt x="5530" y="2945"/>
                                      <a:pt x="5371" y="2964"/>
                                    </a:cubicBezTo>
                                    <a:cubicBezTo>
                                      <a:pt x="5332" y="2964"/>
                                      <a:pt x="5312" y="2984"/>
                                      <a:pt x="5312" y="3004"/>
                                    </a:cubicBezTo>
                                    <a:cubicBezTo>
                                      <a:pt x="5312" y="3024"/>
                                      <a:pt x="5312" y="3064"/>
                                      <a:pt x="5332" y="3064"/>
                                    </a:cubicBezTo>
                                    <a:cubicBezTo>
                                      <a:pt x="5332" y="3064"/>
                                      <a:pt x="5471" y="3163"/>
                                      <a:pt x="5570" y="3283"/>
                                    </a:cubicBezTo>
                                    <a:lnTo>
                                      <a:pt x="5570" y="3303"/>
                                    </a:lnTo>
                                    <a:cubicBezTo>
                                      <a:pt x="5411" y="3283"/>
                                      <a:pt x="5093" y="3243"/>
                                      <a:pt x="4874" y="2984"/>
                                    </a:cubicBezTo>
                                    <a:cubicBezTo>
                                      <a:pt x="4874" y="2984"/>
                                      <a:pt x="4874" y="2964"/>
                                      <a:pt x="4874" y="2964"/>
                                    </a:cubicBezTo>
                                    <a:cubicBezTo>
                                      <a:pt x="4914" y="2945"/>
                                      <a:pt x="4973" y="2885"/>
                                      <a:pt x="5073" y="2865"/>
                                    </a:cubicBezTo>
                                    <a:cubicBezTo>
                                      <a:pt x="5152" y="2825"/>
                                      <a:pt x="5252" y="2805"/>
                                      <a:pt x="5364" y="2805"/>
                                    </a:cubicBezTo>
                                    <a:close/>
                                    <a:moveTo>
                                      <a:pt x="3501" y="2885"/>
                                    </a:moveTo>
                                    <a:cubicBezTo>
                                      <a:pt x="3481" y="2964"/>
                                      <a:pt x="3402" y="3104"/>
                                      <a:pt x="3243" y="3223"/>
                                    </a:cubicBezTo>
                                    <a:cubicBezTo>
                                      <a:pt x="3223" y="3243"/>
                                      <a:pt x="3223" y="3263"/>
                                      <a:pt x="3223" y="3283"/>
                                    </a:cubicBezTo>
                                    <a:cubicBezTo>
                                      <a:pt x="3223" y="3322"/>
                                      <a:pt x="3263" y="3322"/>
                                      <a:pt x="3283" y="3322"/>
                                    </a:cubicBezTo>
                                    <a:cubicBezTo>
                                      <a:pt x="3283" y="3322"/>
                                      <a:pt x="3342" y="3322"/>
                                      <a:pt x="3422" y="3342"/>
                                    </a:cubicBezTo>
                                    <a:cubicBezTo>
                                      <a:pt x="3481" y="3342"/>
                                      <a:pt x="3541" y="3362"/>
                                      <a:pt x="3581" y="3362"/>
                                    </a:cubicBezTo>
                                    <a:cubicBezTo>
                                      <a:pt x="3601" y="3362"/>
                                      <a:pt x="3601" y="3382"/>
                                      <a:pt x="3601" y="3382"/>
                                    </a:cubicBezTo>
                                    <a:lnTo>
                                      <a:pt x="3581" y="3382"/>
                                    </a:lnTo>
                                    <a:cubicBezTo>
                                      <a:pt x="3521" y="3402"/>
                                      <a:pt x="3462" y="3442"/>
                                      <a:pt x="3402" y="3462"/>
                                    </a:cubicBezTo>
                                    <a:cubicBezTo>
                                      <a:pt x="3263" y="3501"/>
                                      <a:pt x="3143" y="3521"/>
                                      <a:pt x="3044" y="3521"/>
                                    </a:cubicBezTo>
                                    <a:cubicBezTo>
                                      <a:pt x="2964" y="3521"/>
                                      <a:pt x="2885" y="3501"/>
                                      <a:pt x="2825" y="3501"/>
                                    </a:cubicBezTo>
                                    <a:cubicBezTo>
                                      <a:pt x="2825" y="3501"/>
                                      <a:pt x="2825" y="3501"/>
                                      <a:pt x="2825" y="3482"/>
                                    </a:cubicBezTo>
                                    <a:cubicBezTo>
                                      <a:pt x="2845" y="3362"/>
                                      <a:pt x="2964" y="3064"/>
                                      <a:pt x="3501" y="2885"/>
                                    </a:cubicBezTo>
                                    <a:close/>
                                    <a:moveTo>
                                      <a:pt x="6081" y="3319"/>
                                    </a:moveTo>
                                    <a:cubicBezTo>
                                      <a:pt x="6251" y="3319"/>
                                      <a:pt x="6403" y="3380"/>
                                      <a:pt x="6525" y="3501"/>
                                    </a:cubicBezTo>
                                    <a:cubicBezTo>
                                      <a:pt x="6525" y="3501"/>
                                      <a:pt x="6525" y="3501"/>
                                      <a:pt x="6525" y="3521"/>
                                    </a:cubicBezTo>
                                    <a:lnTo>
                                      <a:pt x="6505" y="3521"/>
                                    </a:lnTo>
                                    <a:cubicBezTo>
                                      <a:pt x="6465" y="3521"/>
                                      <a:pt x="6406" y="3541"/>
                                      <a:pt x="6326" y="3541"/>
                                    </a:cubicBezTo>
                                    <a:lnTo>
                                      <a:pt x="6286" y="3541"/>
                                    </a:lnTo>
                                    <a:cubicBezTo>
                                      <a:pt x="6127" y="3541"/>
                                      <a:pt x="5948" y="3482"/>
                                      <a:pt x="5789" y="3362"/>
                                    </a:cubicBezTo>
                                    <a:cubicBezTo>
                                      <a:pt x="5869" y="3322"/>
                                      <a:pt x="5928" y="3322"/>
                                      <a:pt x="6008" y="3322"/>
                                    </a:cubicBezTo>
                                    <a:cubicBezTo>
                                      <a:pt x="6033" y="3320"/>
                                      <a:pt x="6057" y="3319"/>
                                      <a:pt x="6081" y="3319"/>
                                    </a:cubicBezTo>
                                    <a:close/>
                                    <a:moveTo>
                                      <a:pt x="2785" y="3124"/>
                                    </a:moveTo>
                                    <a:cubicBezTo>
                                      <a:pt x="2785" y="3124"/>
                                      <a:pt x="2805" y="3143"/>
                                      <a:pt x="2805" y="3143"/>
                                    </a:cubicBezTo>
                                    <a:cubicBezTo>
                                      <a:pt x="2785" y="3243"/>
                                      <a:pt x="2765" y="3402"/>
                                      <a:pt x="2646" y="3581"/>
                                    </a:cubicBezTo>
                                    <a:cubicBezTo>
                                      <a:pt x="2626" y="3601"/>
                                      <a:pt x="2626" y="3641"/>
                                      <a:pt x="2646" y="3661"/>
                                    </a:cubicBezTo>
                                    <a:cubicBezTo>
                                      <a:pt x="2646" y="3681"/>
                                      <a:pt x="2686" y="3681"/>
                                      <a:pt x="2706" y="3681"/>
                                    </a:cubicBezTo>
                                    <a:cubicBezTo>
                                      <a:pt x="2706" y="3681"/>
                                      <a:pt x="2795" y="3655"/>
                                      <a:pt x="2912" y="3655"/>
                                    </a:cubicBezTo>
                                    <a:cubicBezTo>
                                      <a:pt x="2941" y="3655"/>
                                      <a:pt x="2972" y="3657"/>
                                      <a:pt x="3004" y="3661"/>
                                    </a:cubicBezTo>
                                    <a:cubicBezTo>
                                      <a:pt x="2865" y="3780"/>
                                      <a:pt x="2626" y="3939"/>
                                      <a:pt x="2348" y="3939"/>
                                    </a:cubicBezTo>
                                    <a:lnTo>
                                      <a:pt x="2308" y="3939"/>
                                    </a:lnTo>
                                    <a:cubicBezTo>
                                      <a:pt x="2308" y="3800"/>
                                      <a:pt x="2328" y="3462"/>
                                      <a:pt x="2785" y="3124"/>
                                    </a:cubicBezTo>
                                    <a:close/>
                                    <a:moveTo>
                                      <a:pt x="6545" y="3223"/>
                                    </a:moveTo>
                                    <a:cubicBezTo>
                                      <a:pt x="6784" y="3303"/>
                                      <a:pt x="6943" y="3442"/>
                                      <a:pt x="7022" y="3641"/>
                                    </a:cubicBezTo>
                                    <a:cubicBezTo>
                                      <a:pt x="7062" y="3760"/>
                                      <a:pt x="7062" y="3879"/>
                                      <a:pt x="7062" y="3939"/>
                                    </a:cubicBezTo>
                                    <a:lnTo>
                                      <a:pt x="7042" y="3939"/>
                                    </a:lnTo>
                                    <a:cubicBezTo>
                                      <a:pt x="6784" y="3939"/>
                                      <a:pt x="6505" y="3780"/>
                                      <a:pt x="6366" y="3681"/>
                                    </a:cubicBezTo>
                                    <a:cubicBezTo>
                                      <a:pt x="6412" y="3667"/>
                                      <a:pt x="6461" y="3663"/>
                                      <a:pt x="6505" y="3663"/>
                                    </a:cubicBezTo>
                                    <a:cubicBezTo>
                                      <a:pt x="6594" y="3663"/>
                                      <a:pt x="6664" y="3681"/>
                                      <a:pt x="6664" y="3681"/>
                                    </a:cubicBezTo>
                                    <a:cubicBezTo>
                                      <a:pt x="6684" y="3681"/>
                                      <a:pt x="6704" y="3681"/>
                                      <a:pt x="6724" y="3661"/>
                                    </a:cubicBezTo>
                                    <a:cubicBezTo>
                                      <a:pt x="6744" y="3621"/>
                                      <a:pt x="6744" y="3601"/>
                                      <a:pt x="6724" y="3581"/>
                                    </a:cubicBezTo>
                                    <a:cubicBezTo>
                                      <a:pt x="6625" y="3462"/>
                                      <a:pt x="6565" y="3322"/>
                                      <a:pt x="6525" y="3223"/>
                                    </a:cubicBezTo>
                                    <a:close/>
                                    <a:moveTo>
                                      <a:pt x="2228" y="3561"/>
                                    </a:moveTo>
                                    <a:cubicBezTo>
                                      <a:pt x="2228" y="3681"/>
                                      <a:pt x="2208" y="3840"/>
                                      <a:pt x="2109" y="4019"/>
                                    </a:cubicBezTo>
                                    <a:cubicBezTo>
                                      <a:pt x="2089" y="4058"/>
                                      <a:pt x="2109" y="4078"/>
                                      <a:pt x="2109" y="4098"/>
                                    </a:cubicBezTo>
                                    <a:cubicBezTo>
                                      <a:pt x="2129" y="4118"/>
                                      <a:pt x="2149" y="4118"/>
                                      <a:pt x="2188" y="4118"/>
                                    </a:cubicBezTo>
                                    <a:cubicBezTo>
                                      <a:pt x="2188" y="4118"/>
                                      <a:pt x="2328" y="4058"/>
                                      <a:pt x="2487" y="4058"/>
                                    </a:cubicBezTo>
                                    <a:cubicBezTo>
                                      <a:pt x="2427" y="4118"/>
                                      <a:pt x="2367" y="4178"/>
                                      <a:pt x="2308" y="4218"/>
                                    </a:cubicBezTo>
                                    <a:cubicBezTo>
                                      <a:pt x="2188" y="4317"/>
                                      <a:pt x="2009" y="4417"/>
                                      <a:pt x="1850" y="4417"/>
                                    </a:cubicBezTo>
                                    <a:lnTo>
                                      <a:pt x="1810" y="4417"/>
                                    </a:lnTo>
                                    <a:cubicBezTo>
                                      <a:pt x="1810" y="4377"/>
                                      <a:pt x="1791" y="4277"/>
                                      <a:pt x="1830" y="4158"/>
                                    </a:cubicBezTo>
                                    <a:cubicBezTo>
                                      <a:pt x="1850" y="4058"/>
                                      <a:pt x="1890" y="3959"/>
                                      <a:pt x="1950" y="3840"/>
                                    </a:cubicBezTo>
                                    <a:cubicBezTo>
                                      <a:pt x="2029" y="3740"/>
                                      <a:pt x="2109" y="3661"/>
                                      <a:pt x="2208" y="3561"/>
                                    </a:cubicBezTo>
                                    <a:close/>
                                    <a:moveTo>
                                      <a:pt x="7162" y="3561"/>
                                    </a:moveTo>
                                    <a:lnTo>
                                      <a:pt x="7162" y="3561"/>
                                    </a:lnTo>
                                    <a:cubicBezTo>
                                      <a:pt x="7261" y="3661"/>
                                      <a:pt x="7361" y="3740"/>
                                      <a:pt x="7420" y="3840"/>
                                    </a:cubicBezTo>
                                    <a:cubicBezTo>
                                      <a:pt x="7480" y="3939"/>
                                      <a:pt x="7520" y="4039"/>
                                      <a:pt x="7540" y="4158"/>
                                    </a:cubicBezTo>
                                    <a:cubicBezTo>
                                      <a:pt x="7579" y="4277"/>
                                      <a:pt x="7579" y="4377"/>
                                      <a:pt x="7559" y="4417"/>
                                    </a:cubicBezTo>
                                    <a:cubicBezTo>
                                      <a:pt x="7361" y="4417"/>
                                      <a:pt x="7162" y="4317"/>
                                      <a:pt x="7062" y="4218"/>
                                    </a:cubicBezTo>
                                    <a:cubicBezTo>
                                      <a:pt x="7002" y="4178"/>
                                      <a:pt x="6943" y="4118"/>
                                      <a:pt x="6883" y="4058"/>
                                    </a:cubicBezTo>
                                    <a:lnTo>
                                      <a:pt x="6903" y="4058"/>
                                    </a:lnTo>
                                    <a:cubicBezTo>
                                      <a:pt x="7062" y="4058"/>
                                      <a:pt x="7201" y="4118"/>
                                      <a:pt x="7201" y="4118"/>
                                    </a:cubicBezTo>
                                    <a:cubicBezTo>
                                      <a:pt x="7221" y="4118"/>
                                      <a:pt x="7241" y="4118"/>
                                      <a:pt x="7261" y="4098"/>
                                    </a:cubicBezTo>
                                    <a:cubicBezTo>
                                      <a:pt x="7281" y="4078"/>
                                      <a:pt x="7281" y="4058"/>
                                      <a:pt x="7261" y="4019"/>
                                    </a:cubicBezTo>
                                    <a:cubicBezTo>
                                      <a:pt x="7182" y="3840"/>
                                      <a:pt x="7162" y="3681"/>
                                      <a:pt x="7162" y="3561"/>
                                    </a:cubicBezTo>
                                    <a:close/>
                                    <a:moveTo>
                                      <a:pt x="1671" y="4078"/>
                                    </a:moveTo>
                                    <a:cubicBezTo>
                                      <a:pt x="1691" y="4178"/>
                                      <a:pt x="1711" y="4357"/>
                                      <a:pt x="1631" y="4556"/>
                                    </a:cubicBezTo>
                                    <a:cubicBezTo>
                                      <a:pt x="1631" y="4576"/>
                                      <a:pt x="1631" y="4596"/>
                                      <a:pt x="1651" y="4615"/>
                                    </a:cubicBezTo>
                                    <a:cubicBezTo>
                                      <a:pt x="1661" y="4625"/>
                                      <a:pt x="1676" y="4630"/>
                                      <a:pt x="1691" y="4630"/>
                                    </a:cubicBezTo>
                                    <a:cubicBezTo>
                                      <a:pt x="1706" y="4630"/>
                                      <a:pt x="1721" y="4625"/>
                                      <a:pt x="1731" y="4615"/>
                                    </a:cubicBezTo>
                                    <a:cubicBezTo>
                                      <a:pt x="1731" y="4615"/>
                                      <a:pt x="1870" y="4536"/>
                                      <a:pt x="2029" y="4516"/>
                                    </a:cubicBezTo>
                                    <a:lnTo>
                                      <a:pt x="2029" y="4516"/>
                                    </a:lnTo>
                                    <a:cubicBezTo>
                                      <a:pt x="1930" y="4675"/>
                                      <a:pt x="1691" y="4934"/>
                                      <a:pt x="1413" y="4974"/>
                                    </a:cubicBezTo>
                                    <a:cubicBezTo>
                                      <a:pt x="1373" y="4854"/>
                                      <a:pt x="1313" y="4516"/>
                                      <a:pt x="1671" y="4078"/>
                                    </a:cubicBezTo>
                                    <a:close/>
                                    <a:moveTo>
                                      <a:pt x="7719" y="4078"/>
                                    </a:moveTo>
                                    <a:cubicBezTo>
                                      <a:pt x="7798" y="4178"/>
                                      <a:pt x="7858" y="4297"/>
                                      <a:pt x="7918" y="4397"/>
                                    </a:cubicBezTo>
                                    <a:cubicBezTo>
                                      <a:pt x="7957" y="4516"/>
                                      <a:pt x="7997" y="4615"/>
                                      <a:pt x="7997" y="4715"/>
                                    </a:cubicBezTo>
                                    <a:cubicBezTo>
                                      <a:pt x="7997" y="4834"/>
                                      <a:pt x="7977" y="4934"/>
                                      <a:pt x="7957" y="4974"/>
                                    </a:cubicBezTo>
                                    <a:cubicBezTo>
                                      <a:pt x="7778" y="4954"/>
                                      <a:pt x="7619" y="4854"/>
                                      <a:pt x="7480" y="4695"/>
                                    </a:cubicBezTo>
                                    <a:cubicBezTo>
                                      <a:pt x="7420" y="4635"/>
                                      <a:pt x="7380" y="4576"/>
                                      <a:pt x="7341" y="4516"/>
                                    </a:cubicBezTo>
                                    <a:cubicBezTo>
                                      <a:pt x="7500" y="4516"/>
                                      <a:pt x="7639" y="4615"/>
                                      <a:pt x="7639" y="4615"/>
                                    </a:cubicBezTo>
                                    <a:cubicBezTo>
                                      <a:pt x="7649" y="4625"/>
                                      <a:pt x="7664" y="4630"/>
                                      <a:pt x="7679" y="4630"/>
                                    </a:cubicBezTo>
                                    <a:cubicBezTo>
                                      <a:pt x="7694" y="4630"/>
                                      <a:pt x="7709" y="4625"/>
                                      <a:pt x="7719" y="4615"/>
                                    </a:cubicBezTo>
                                    <a:cubicBezTo>
                                      <a:pt x="7739" y="4596"/>
                                      <a:pt x="7739" y="4576"/>
                                      <a:pt x="7739" y="4556"/>
                                    </a:cubicBezTo>
                                    <a:cubicBezTo>
                                      <a:pt x="7679" y="4377"/>
                                      <a:pt x="7679" y="4198"/>
                                      <a:pt x="7699" y="4078"/>
                                    </a:cubicBezTo>
                                    <a:close/>
                                    <a:moveTo>
                                      <a:pt x="1214" y="4655"/>
                                    </a:moveTo>
                                    <a:cubicBezTo>
                                      <a:pt x="1254" y="4755"/>
                                      <a:pt x="1293" y="4934"/>
                                      <a:pt x="1254" y="5133"/>
                                    </a:cubicBezTo>
                                    <a:cubicBezTo>
                                      <a:pt x="1234" y="5153"/>
                                      <a:pt x="1254" y="5192"/>
                                      <a:pt x="1273" y="5192"/>
                                    </a:cubicBezTo>
                                    <a:cubicBezTo>
                                      <a:pt x="1283" y="5202"/>
                                      <a:pt x="1298" y="5207"/>
                                      <a:pt x="1313" y="5207"/>
                                    </a:cubicBezTo>
                                    <a:cubicBezTo>
                                      <a:pt x="1328" y="5207"/>
                                      <a:pt x="1343" y="5202"/>
                                      <a:pt x="1353" y="5192"/>
                                    </a:cubicBezTo>
                                    <a:cubicBezTo>
                                      <a:pt x="1353" y="5192"/>
                                      <a:pt x="1472" y="5073"/>
                                      <a:pt x="1631" y="5053"/>
                                    </a:cubicBezTo>
                                    <a:lnTo>
                                      <a:pt x="1631" y="5053"/>
                                    </a:lnTo>
                                    <a:cubicBezTo>
                                      <a:pt x="1612" y="5093"/>
                                      <a:pt x="1572" y="5172"/>
                                      <a:pt x="1512" y="5252"/>
                                    </a:cubicBezTo>
                                    <a:cubicBezTo>
                                      <a:pt x="1393" y="5411"/>
                                      <a:pt x="1234" y="5531"/>
                                      <a:pt x="1074" y="5590"/>
                                    </a:cubicBezTo>
                                    <a:cubicBezTo>
                                      <a:pt x="1055" y="5550"/>
                                      <a:pt x="1015" y="5451"/>
                                      <a:pt x="1015" y="5332"/>
                                    </a:cubicBezTo>
                                    <a:cubicBezTo>
                                      <a:pt x="995" y="5232"/>
                                      <a:pt x="1015" y="5113"/>
                                      <a:pt x="1055" y="4993"/>
                                    </a:cubicBezTo>
                                    <a:cubicBezTo>
                                      <a:pt x="1094" y="4894"/>
                                      <a:pt x="1134" y="4775"/>
                                      <a:pt x="1214" y="4655"/>
                                    </a:cubicBezTo>
                                    <a:close/>
                                    <a:moveTo>
                                      <a:pt x="8156" y="4655"/>
                                    </a:moveTo>
                                    <a:cubicBezTo>
                                      <a:pt x="8236" y="4775"/>
                                      <a:pt x="8276" y="4894"/>
                                      <a:pt x="8315" y="4993"/>
                                    </a:cubicBezTo>
                                    <a:cubicBezTo>
                                      <a:pt x="8335" y="5113"/>
                                      <a:pt x="8355" y="5232"/>
                                      <a:pt x="8335" y="5332"/>
                                    </a:cubicBezTo>
                                    <a:cubicBezTo>
                                      <a:pt x="8335" y="5451"/>
                                      <a:pt x="8296" y="5550"/>
                                      <a:pt x="8276" y="5590"/>
                                    </a:cubicBezTo>
                                    <a:cubicBezTo>
                                      <a:pt x="8097" y="5511"/>
                                      <a:pt x="7937" y="5391"/>
                                      <a:pt x="7818" y="5212"/>
                                    </a:cubicBezTo>
                                    <a:cubicBezTo>
                                      <a:pt x="7778" y="5172"/>
                                      <a:pt x="7758" y="5093"/>
                                      <a:pt x="7739" y="5033"/>
                                    </a:cubicBezTo>
                                    <a:lnTo>
                                      <a:pt x="7739" y="5033"/>
                                    </a:lnTo>
                                    <a:cubicBezTo>
                                      <a:pt x="7898" y="5073"/>
                                      <a:pt x="8017" y="5172"/>
                                      <a:pt x="8017" y="5172"/>
                                    </a:cubicBezTo>
                                    <a:cubicBezTo>
                                      <a:pt x="8037" y="5192"/>
                                      <a:pt x="8057" y="5192"/>
                                      <a:pt x="8077" y="5192"/>
                                    </a:cubicBezTo>
                                    <a:cubicBezTo>
                                      <a:pt x="8097" y="5172"/>
                                      <a:pt x="8116" y="5153"/>
                                      <a:pt x="8116" y="5133"/>
                                    </a:cubicBezTo>
                                    <a:cubicBezTo>
                                      <a:pt x="8077" y="4914"/>
                                      <a:pt x="8116" y="4755"/>
                                      <a:pt x="8156" y="4655"/>
                                    </a:cubicBezTo>
                                    <a:close/>
                                    <a:moveTo>
                                      <a:pt x="836" y="5272"/>
                                    </a:moveTo>
                                    <a:cubicBezTo>
                                      <a:pt x="876" y="5371"/>
                                      <a:pt x="935" y="5531"/>
                                      <a:pt x="935" y="5749"/>
                                    </a:cubicBezTo>
                                    <a:cubicBezTo>
                                      <a:pt x="935" y="5769"/>
                                      <a:pt x="935" y="5789"/>
                                      <a:pt x="955" y="5809"/>
                                    </a:cubicBezTo>
                                    <a:cubicBezTo>
                                      <a:pt x="975" y="5809"/>
                                      <a:pt x="1015" y="5809"/>
                                      <a:pt x="1015" y="5789"/>
                                    </a:cubicBezTo>
                                    <a:cubicBezTo>
                                      <a:pt x="1035" y="5789"/>
                                      <a:pt x="1154" y="5690"/>
                                      <a:pt x="1293" y="5610"/>
                                    </a:cubicBezTo>
                                    <a:lnTo>
                                      <a:pt x="1313" y="5610"/>
                                    </a:lnTo>
                                    <a:cubicBezTo>
                                      <a:pt x="1313" y="5610"/>
                                      <a:pt x="1313" y="5610"/>
                                      <a:pt x="1313" y="5630"/>
                                    </a:cubicBezTo>
                                    <a:cubicBezTo>
                                      <a:pt x="1293" y="5690"/>
                                      <a:pt x="1273" y="5729"/>
                                      <a:pt x="1254" y="5789"/>
                                    </a:cubicBezTo>
                                    <a:cubicBezTo>
                                      <a:pt x="1154" y="5988"/>
                                      <a:pt x="1015" y="6127"/>
                                      <a:pt x="816" y="6207"/>
                                    </a:cubicBezTo>
                                    <a:cubicBezTo>
                                      <a:pt x="796" y="6167"/>
                                      <a:pt x="736" y="6088"/>
                                      <a:pt x="716" y="5968"/>
                                    </a:cubicBezTo>
                                    <a:cubicBezTo>
                                      <a:pt x="697" y="5869"/>
                                      <a:pt x="697" y="5749"/>
                                      <a:pt x="716" y="5650"/>
                                    </a:cubicBezTo>
                                    <a:cubicBezTo>
                                      <a:pt x="736" y="5531"/>
                                      <a:pt x="776" y="5411"/>
                                      <a:pt x="836" y="5272"/>
                                    </a:cubicBezTo>
                                    <a:close/>
                                    <a:moveTo>
                                      <a:pt x="8514" y="5272"/>
                                    </a:moveTo>
                                    <a:cubicBezTo>
                                      <a:pt x="8574" y="5411"/>
                                      <a:pt x="8614" y="5531"/>
                                      <a:pt x="8634" y="5650"/>
                                    </a:cubicBezTo>
                                    <a:cubicBezTo>
                                      <a:pt x="8654" y="5749"/>
                                      <a:pt x="8634" y="5869"/>
                                      <a:pt x="8614" y="5968"/>
                                    </a:cubicBezTo>
                                    <a:cubicBezTo>
                                      <a:pt x="8594" y="6088"/>
                                      <a:pt x="8534" y="6187"/>
                                      <a:pt x="8514" y="6207"/>
                                    </a:cubicBezTo>
                                    <a:cubicBezTo>
                                      <a:pt x="8355" y="6127"/>
                                      <a:pt x="8236" y="5988"/>
                                      <a:pt x="8116" y="5809"/>
                                    </a:cubicBezTo>
                                    <a:cubicBezTo>
                                      <a:pt x="8097" y="5749"/>
                                      <a:pt x="8077" y="5690"/>
                                      <a:pt x="8057" y="5630"/>
                                    </a:cubicBezTo>
                                    <a:lnTo>
                                      <a:pt x="8057" y="5610"/>
                                    </a:lnTo>
                                    <a:cubicBezTo>
                                      <a:pt x="8196" y="5670"/>
                                      <a:pt x="8315" y="5789"/>
                                      <a:pt x="8315" y="5789"/>
                                    </a:cubicBezTo>
                                    <a:cubicBezTo>
                                      <a:pt x="8325" y="5799"/>
                                      <a:pt x="8335" y="5804"/>
                                      <a:pt x="8345" y="5804"/>
                                    </a:cubicBezTo>
                                    <a:cubicBezTo>
                                      <a:pt x="8355" y="5804"/>
                                      <a:pt x="8365" y="5799"/>
                                      <a:pt x="8375" y="5789"/>
                                    </a:cubicBezTo>
                                    <a:cubicBezTo>
                                      <a:pt x="8395" y="5789"/>
                                      <a:pt x="8415" y="5769"/>
                                      <a:pt x="8415" y="5749"/>
                                    </a:cubicBezTo>
                                    <a:cubicBezTo>
                                      <a:pt x="8415" y="5531"/>
                                      <a:pt x="8475" y="5371"/>
                                      <a:pt x="8514" y="5272"/>
                                    </a:cubicBezTo>
                                    <a:close/>
                                    <a:moveTo>
                                      <a:pt x="537" y="5948"/>
                                    </a:moveTo>
                                    <a:cubicBezTo>
                                      <a:pt x="597" y="6028"/>
                                      <a:pt x="677" y="6187"/>
                                      <a:pt x="697" y="6386"/>
                                    </a:cubicBezTo>
                                    <a:cubicBezTo>
                                      <a:pt x="697" y="6406"/>
                                      <a:pt x="716" y="6446"/>
                                      <a:pt x="736" y="6446"/>
                                    </a:cubicBezTo>
                                    <a:cubicBezTo>
                                      <a:pt x="756" y="6446"/>
                                      <a:pt x="776" y="6446"/>
                                      <a:pt x="796" y="6426"/>
                                    </a:cubicBezTo>
                                    <a:cubicBezTo>
                                      <a:pt x="796" y="6426"/>
                                      <a:pt x="915" y="6306"/>
                                      <a:pt x="1055" y="6227"/>
                                    </a:cubicBezTo>
                                    <a:lnTo>
                                      <a:pt x="1055" y="6227"/>
                                    </a:lnTo>
                                    <a:cubicBezTo>
                                      <a:pt x="1055" y="6286"/>
                                      <a:pt x="1035" y="6346"/>
                                      <a:pt x="1015" y="6406"/>
                                    </a:cubicBezTo>
                                    <a:cubicBezTo>
                                      <a:pt x="955" y="6605"/>
                                      <a:pt x="836" y="6764"/>
                                      <a:pt x="657" y="6883"/>
                                    </a:cubicBezTo>
                                    <a:cubicBezTo>
                                      <a:pt x="617" y="6843"/>
                                      <a:pt x="557" y="6764"/>
                                      <a:pt x="517" y="6645"/>
                                    </a:cubicBezTo>
                                    <a:cubicBezTo>
                                      <a:pt x="478" y="6545"/>
                                      <a:pt x="478" y="6446"/>
                                      <a:pt x="478" y="6326"/>
                                    </a:cubicBezTo>
                                    <a:cubicBezTo>
                                      <a:pt x="478" y="6187"/>
                                      <a:pt x="498" y="6068"/>
                                      <a:pt x="537" y="5948"/>
                                    </a:cubicBezTo>
                                    <a:close/>
                                    <a:moveTo>
                                      <a:pt x="8813" y="5948"/>
                                    </a:moveTo>
                                    <a:cubicBezTo>
                                      <a:pt x="8853" y="6068"/>
                                      <a:pt x="8872" y="6207"/>
                                      <a:pt x="8872" y="6306"/>
                                    </a:cubicBezTo>
                                    <a:cubicBezTo>
                                      <a:pt x="8872" y="6426"/>
                                      <a:pt x="8872" y="6545"/>
                                      <a:pt x="8833" y="6645"/>
                                    </a:cubicBezTo>
                                    <a:cubicBezTo>
                                      <a:pt x="8793" y="6764"/>
                                      <a:pt x="8733" y="6843"/>
                                      <a:pt x="8713" y="6863"/>
                                    </a:cubicBezTo>
                                    <a:lnTo>
                                      <a:pt x="8713" y="6883"/>
                                    </a:lnTo>
                                    <a:cubicBezTo>
                                      <a:pt x="8554" y="6784"/>
                                      <a:pt x="8435" y="6625"/>
                                      <a:pt x="8355" y="6426"/>
                                    </a:cubicBezTo>
                                    <a:cubicBezTo>
                                      <a:pt x="8335" y="6366"/>
                                      <a:pt x="8315" y="6306"/>
                                      <a:pt x="8296" y="6247"/>
                                    </a:cubicBezTo>
                                    <a:cubicBezTo>
                                      <a:pt x="8296" y="6227"/>
                                      <a:pt x="8296" y="6227"/>
                                      <a:pt x="8296" y="6227"/>
                                    </a:cubicBezTo>
                                    <a:lnTo>
                                      <a:pt x="8315" y="6227"/>
                                    </a:lnTo>
                                    <a:cubicBezTo>
                                      <a:pt x="8435" y="6306"/>
                                      <a:pt x="8554" y="6426"/>
                                      <a:pt x="8554" y="6426"/>
                                    </a:cubicBezTo>
                                    <a:cubicBezTo>
                                      <a:pt x="8568" y="6440"/>
                                      <a:pt x="8582" y="6454"/>
                                      <a:pt x="8596" y="6454"/>
                                    </a:cubicBezTo>
                                    <a:cubicBezTo>
                                      <a:pt x="8602" y="6454"/>
                                      <a:pt x="8608" y="6451"/>
                                      <a:pt x="8614" y="6446"/>
                                    </a:cubicBezTo>
                                    <a:cubicBezTo>
                                      <a:pt x="8634" y="6446"/>
                                      <a:pt x="8654" y="6426"/>
                                      <a:pt x="8654" y="6406"/>
                                    </a:cubicBezTo>
                                    <a:cubicBezTo>
                                      <a:pt x="8673" y="6187"/>
                                      <a:pt x="8733" y="6028"/>
                                      <a:pt x="8793" y="5948"/>
                                    </a:cubicBezTo>
                                    <a:close/>
                                    <a:moveTo>
                                      <a:pt x="3956" y="6806"/>
                                    </a:moveTo>
                                    <a:cubicBezTo>
                                      <a:pt x="4101" y="6806"/>
                                      <a:pt x="4262" y="6860"/>
                                      <a:pt x="4496" y="7003"/>
                                    </a:cubicBezTo>
                                    <a:lnTo>
                                      <a:pt x="3720" y="7003"/>
                                    </a:lnTo>
                                    <a:cubicBezTo>
                                      <a:pt x="3641" y="7003"/>
                                      <a:pt x="3601" y="6983"/>
                                      <a:pt x="3561" y="6943"/>
                                    </a:cubicBezTo>
                                    <a:cubicBezTo>
                                      <a:pt x="3541" y="6943"/>
                                      <a:pt x="3541" y="6943"/>
                                      <a:pt x="3541" y="6923"/>
                                    </a:cubicBezTo>
                                    <a:cubicBezTo>
                                      <a:pt x="3696" y="6855"/>
                                      <a:pt x="3819" y="6806"/>
                                      <a:pt x="3956" y="6806"/>
                                    </a:cubicBezTo>
                                    <a:close/>
                                    <a:moveTo>
                                      <a:pt x="4635" y="4576"/>
                                    </a:moveTo>
                                    <a:cubicBezTo>
                                      <a:pt x="4635" y="4576"/>
                                      <a:pt x="4735" y="4576"/>
                                      <a:pt x="4894" y="4615"/>
                                    </a:cubicBezTo>
                                    <a:cubicBezTo>
                                      <a:pt x="5093" y="4675"/>
                                      <a:pt x="5232" y="4814"/>
                                      <a:pt x="5351" y="5013"/>
                                    </a:cubicBezTo>
                                    <a:cubicBezTo>
                                      <a:pt x="5491" y="5292"/>
                                      <a:pt x="5590" y="5590"/>
                                      <a:pt x="5690" y="5889"/>
                                    </a:cubicBezTo>
                                    <a:cubicBezTo>
                                      <a:pt x="5471" y="5809"/>
                                      <a:pt x="5312" y="5690"/>
                                      <a:pt x="5312" y="5690"/>
                                    </a:cubicBezTo>
                                    <a:cubicBezTo>
                                      <a:pt x="5282" y="5670"/>
                                      <a:pt x="5252" y="5660"/>
                                      <a:pt x="5225" y="5660"/>
                                    </a:cubicBezTo>
                                    <a:cubicBezTo>
                                      <a:pt x="5197" y="5660"/>
                                      <a:pt x="5172" y="5670"/>
                                      <a:pt x="5152" y="5690"/>
                                    </a:cubicBezTo>
                                    <a:cubicBezTo>
                                      <a:pt x="5133" y="5729"/>
                                      <a:pt x="5113" y="5749"/>
                                      <a:pt x="5133" y="5789"/>
                                    </a:cubicBezTo>
                                    <a:cubicBezTo>
                                      <a:pt x="5133" y="5809"/>
                                      <a:pt x="5133" y="5849"/>
                                      <a:pt x="5172" y="5869"/>
                                    </a:cubicBezTo>
                                    <a:cubicBezTo>
                                      <a:pt x="5172" y="5869"/>
                                      <a:pt x="5431" y="6088"/>
                                      <a:pt x="5749" y="6147"/>
                                    </a:cubicBezTo>
                                    <a:cubicBezTo>
                                      <a:pt x="5769" y="6247"/>
                                      <a:pt x="5789" y="6366"/>
                                      <a:pt x="5809" y="6485"/>
                                    </a:cubicBezTo>
                                    <a:cubicBezTo>
                                      <a:pt x="5709" y="6426"/>
                                      <a:pt x="5590" y="6406"/>
                                      <a:pt x="5491" y="6386"/>
                                    </a:cubicBezTo>
                                    <a:cubicBezTo>
                                      <a:pt x="5431" y="6366"/>
                                      <a:pt x="5371" y="6346"/>
                                      <a:pt x="5312" y="6326"/>
                                    </a:cubicBezTo>
                                    <a:cubicBezTo>
                                      <a:pt x="5113" y="6247"/>
                                      <a:pt x="4934" y="6107"/>
                                      <a:pt x="4914" y="6107"/>
                                    </a:cubicBezTo>
                                    <a:cubicBezTo>
                                      <a:pt x="4894" y="6088"/>
                                      <a:pt x="4864" y="6078"/>
                                      <a:pt x="4834" y="6078"/>
                                    </a:cubicBezTo>
                                    <a:cubicBezTo>
                                      <a:pt x="4804" y="6078"/>
                                      <a:pt x="4775" y="6088"/>
                                      <a:pt x="4755" y="6107"/>
                                    </a:cubicBezTo>
                                    <a:cubicBezTo>
                                      <a:pt x="4715" y="6167"/>
                                      <a:pt x="4735" y="6227"/>
                                      <a:pt x="4775" y="6267"/>
                                    </a:cubicBezTo>
                                    <a:cubicBezTo>
                                      <a:pt x="4794" y="6286"/>
                                      <a:pt x="4993" y="6446"/>
                                      <a:pt x="5232" y="6525"/>
                                    </a:cubicBezTo>
                                    <a:cubicBezTo>
                                      <a:pt x="5292" y="6565"/>
                                      <a:pt x="5351" y="6565"/>
                                      <a:pt x="5431" y="6585"/>
                                    </a:cubicBezTo>
                                    <a:cubicBezTo>
                                      <a:pt x="5709" y="6664"/>
                                      <a:pt x="5829" y="6724"/>
                                      <a:pt x="5829" y="6843"/>
                                    </a:cubicBezTo>
                                    <a:cubicBezTo>
                                      <a:pt x="5829" y="6863"/>
                                      <a:pt x="5809" y="6883"/>
                                      <a:pt x="5789" y="6903"/>
                                    </a:cubicBezTo>
                                    <a:cubicBezTo>
                                      <a:pt x="5709" y="7003"/>
                                      <a:pt x="5530" y="7003"/>
                                      <a:pt x="5451" y="7003"/>
                                    </a:cubicBezTo>
                                    <a:lnTo>
                                      <a:pt x="5192" y="7003"/>
                                    </a:lnTo>
                                    <a:cubicBezTo>
                                      <a:pt x="5152" y="7003"/>
                                      <a:pt x="4894" y="7003"/>
                                      <a:pt x="4675" y="6843"/>
                                    </a:cubicBezTo>
                                    <a:cubicBezTo>
                                      <a:pt x="4357" y="6646"/>
                                      <a:pt x="4135" y="6576"/>
                                      <a:pt x="3947" y="6576"/>
                                    </a:cubicBezTo>
                                    <a:cubicBezTo>
                                      <a:pt x="3795" y="6576"/>
                                      <a:pt x="3664" y="6622"/>
                                      <a:pt x="3521" y="6684"/>
                                    </a:cubicBezTo>
                                    <a:cubicBezTo>
                                      <a:pt x="3521" y="6684"/>
                                      <a:pt x="3521" y="6664"/>
                                      <a:pt x="3521" y="6664"/>
                                    </a:cubicBezTo>
                                    <a:cubicBezTo>
                                      <a:pt x="3621" y="6187"/>
                                      <a:pt x="3800" y="5869"/>
                                      <a:pt x="3939" y="5670"/>
                                    </a:cubicBezTo>
                                    <a:cubicBezTo>
                                      <a:pt x="4058" y="5531"/>
                                      <a:pt x="4138" y="5451"/>
                                      <a:pt x="4198" y="5411"/>
                                    </a:cubicBezTo>
                                    <a:cubicBezTo>
                                      <a:pt x="4198" y="5391"/>
                                      <a:pt x="4218" y="5391"/>
                                      <a:pt x="4237" y="5371"/>
                                    </a:cubicBezTo>
                                    <a:cubicBezTo>
                                      <a:pt x="4277" y="5332"/>
                                      <a:pt x="4297" y="5272"/>
                                      <a:pt x="4257" y="5212"/>
                                    </a:cubicBezTo>
                                    <a:cubicBezTo>
                                      <a:pt x="4233" y="5188"/>
                                      <a:pt x="4193" y="5171"/>
                                      <a:pt x="4157" y="5171"/>
                                    </a:cubicBezTo>
                                    <a:cubicBezTo>
                                      <a:pt x="4134" y="5171"/>
                                      <a:pt x="4113" y="5177"/>
                                      <a:pt x="4098" y="5192"/>
                                    </a:cubicBezTo>
                                    <a:cubicBezTo>
                                      <a:pt x="4098" y="5192"/>
                                      <a:pt x="4078" y="5212"/>
                                      <a:pt x="4058" y="5232"/>
                                    </a:cubicBezTo>
                                    <a:cubicBezTo>
                                      <a:pt x="3999" y="5272"/>
                                      <a:pt x="3954" y="5282"/>
                                      <a:pt x="3922" y="5282"/>
                                    </a:cubicBezTo>
                                    <a:cubicBezTo>
                                      <a:pt x="3889" y="5282"/>
                                      <a:pt x="3869" y="5272"/>
                                      <a:pt x="3859" y="5272"/>
                                    </a:cubicBezTo>
                                    <a:cubicBezTo>
                                      <a:pt x="3840" y="5252"/>
                                      <a:pt x="3820" y="5212"/>
                                      <a:pt x="3820" y="5153"/>
                                    </a:cubicBezTo>
                                    <a:cubicBezTo>
                                      <a:pt x="3840" y="5053"/>
                                      <a:pt x="3959" y="4914"/>
                                      <a:pt x="3999" y="4854"/>
                                    </a:cubicBezTo>
                                    <a:lnTo>
                                      <a:pt x="4019" y="4854"/>
                                    </a:lnTo>
                                    <a:cubicBezTo>
                                      <a:pt x="4237" y="4576"/>
                                      <a:pt x="4615" y="4576"/>
                                      <a:pt x="4615" y="4576"/>
                                    </a:cubicBezTo>
                                    <a:close/>
                                    <a:moveTo>
                                      <a:pt x="338" y="6645"/>
                                    </a:moveTo>
                                    <a:cubicBezTo>
                                      <a:pt x="418" y="6724"/>
                                      <a:pt x="498" y="6863"/>
                                      <a:pt x="537" y="7062"/>
                                    </a:cubicBezTo>
                                    <a:cubicBezTo>
                                      <a:pt x="557" y="7082"/>
                                      <a:pt x="577" y="7102"/>
                                      <a:pt x="597" y="7122"/>
                                    </a:cubicBezTo>
                                    <a:cubicBezTo>
                                      <a:pt x="617" y="7122"/>
                                      <a:pt x="637" y="7102"/>
                                      <a:pt x="657" y="7082"/>
                                    </a:cubicBezTo>
                                    <a:cubicBezTo>
                                      <a:pt x="657" y="7082"/>
                                      <a:pt x="756" y="6943"/>
                                      <a:pt x="876" y="6863"/>
                                    </a:cubicBezTo>
                                    <a:lnTo>
                                      <a:pt x="876" y="6863"/>
                                    </a:lnTo>
                                    <a:cubicBezTo>
                                      <a:pt x="876" y="6923"/>
                                      <a:pt x="876" y="6983"/>
                                      <a:pt x="856" y="7042"/>
                                    </a:cubicBezTo>
                                    <a:cubicBezTo>
                                      <a:pt x="816" y="7241"/>
                                      <a:pt x="716" y="7420"/>
                                      <a:pt x="557" y="7540"/>
                                    </a:cubicBezTo>
                                    <a:cubicBezTo>
                                      <a:pt x="517" y="7520"/>
                                      <a:pt x="458" y="7440"/>
                                      <a:pt x="398" y="7341"/>
                                    </a:cubicBezTo>
                                    <a:cubicBezTo>
                                      <a:pt x="358" y="7241"/>
                                      <a:pt x="319" y="7142"/>
                                      <a:pt x="319" y="7023"/>
                                    </a:cubicBezTo>
                                    <a:cubicBezTo>
                                      <a:pt x="299" y="6903"/>
                                      <a:pt x="299" y="6764"/>
                                      <a:pt x="338" y="6645"/>
                                    </a:cubicBezTo>
                                    <a:close/>
                                    <a:moveTo>
                                      <a:pt x="9032" y="6645"/>
                                    </a:moveTo>
                                    <a:cubicBezTo>
                                      <a:pt x="9051" y="6784"/>
                                      <a:pt x="9051" y="6903"/>
                                      <a:pt x="9051" y="7023"/>
                                    </a:cubicBezTo>
                                    <a:cubicBezTo>
                                      <a:pt x="9032" y="7142"/>
                                      <a:pt x="8992" y="7241"/>
                                      <a:pt x="8952" y="7341"/>
                                    </a:cubicBezTo>
                                    <a:cubicBezTo>
                                      <a:pt x="8892" y="7460"/>
                                      <a:pt x="8833" y="7520"/>
                                      <a:pt x="8793" y="7560"/>
                                    </a:cubicBezTo>
                                    <a:cubicBezTo>
                                      <a:pt x="8634" y="7420"/>
                                      <a:pt x="8554" y="7221"/>
                                      <a:pt x="8514" y="7062"/>
                                    </a:cubicBezTo>
                                    <a:cubicBezTo>
                                      <a:pt x="8514" y="7003"/>
                                      <a:pt x="8494" y="6943"/>
                                      <a:pt x="8494" y="6863"/>
                                    </a:cubicBezTo>
                                    <a:lnTo>
                                      <a:pt x="8494" y="6863"/>
                                    </a:lnTo>
                                    <a:cubicBezTo>
                                      <a:pt x="8614" y="6963"/>
                                      <a:pt x="8713" y="7082"/>
                                      <a:pt x="8713" y="7082"/>
                                    </a:cubicBezTo>
                                    <a:cubicBezTo>
                                      <a:pt x="8713" y="7102"/>
                                      <a:pt x="8733" y="7122"/>
                                      <a:pt x="8773" y="7122"/>
                                    </a:cubicBezTo>
                                    <a:cubicBezTo>
                                      <a:pt x="8793" y="7102"/>
                                      <a:pt x="8813" y="7102"/>
                                      <a:pt x="8813" y="7062"/>
                                    </a:cubicBezTo>
                                    <a:cubicBezTo>
                                      <a:pt x="8853" y="6863"/>
                                      <a:pt x="8952" y="6724"/>
                                      <a:pt x="9012" y="6645"/>
                                    </a:cubicBezTo>
                                    <a:close/>
                                    <a:moveTo>
                                      <a:pt x="239" y="7341"/>
                                    </a:moveTo>
                                    <a:cubicBezTo>
                                      <a:pt x="299" y="7420"/>
                                      <a:pt x="418" y="7540"/>
                                      <a:pt x="458" y="7759"/>
                                    </a:cubicBezTo>
                                    <a:cubicBezTo>
                                      <a:pt x="458" y="7778"/>
                                      <a:pt x="498" y="7798"/>
                                      <a:pt x="517" y="7798"/>
                                    </a:cubicBezTo>
                                    <a:cubicBezTo>
                                      <a:pt x="537" y="7798"/>
                                      <a:pt x="557" y="7778"/>
                                      <a:pt x="577" y="7759"/>
                                    </a:cubicBezTo>
                                    <a:cubicBezTo>
                                      <a:pt x="577" y="7759"/>
                                      <a:pt x="637" y="7619"/>
                                      <a:pt x="756" y="7520"/>
                                    </a:cubicBezTo>
                                    <a:cubicBezTo>
                                      <a:pt x="756" y="7599"/>
                                      <a:pt x="756" y="7659"/>
                                      <a:pt x="756" y="7739"/>
                                    </a:cubicBezTo>
                                    <a:cubicBezTo>
                                      <a:pt x="716" y="7938"/>
                                      <a:pt x="637" y="8117"/>
                                      <a:pt x="498" y="8236"/>
                                    </a:cubicBezTo>
                                    <a:cubicBezTo>
                                      <a:pt x="478" y="8216"/>
                                      <a:pt x="398" y="8137"/>
                                      <a:pt x="338" y="8037"/>
                                    </a:cubicBezTo>
                                    <a:cubicBezTo>
                                      <a:pt x="279" y="7938"/>
                                      <a:pt x="239" y="7838"/>
                                      <a:pt x="239" y="7719"/>
                                    </a:cubicBezTo>
                                    <a:cubicBezTo>
                                      <a:pt x="199" y="7599"/>
                                      <a:pt x="199" y="7460"/>
                                      <a:pt x="219" y="7341"/>
                                    </a:cubicBezTo>
                                    <a:close/>
                                    <a:moveTo>
                                      <a:pt x="9131" y="7341"/>
                                    </a:moveTo>
                                    <a:cubicBezTo>
                                      <a:pt x="9151" y="7480"/>
                                      <a:pt x="9151" y="7599"/>
                                      <a:pt x="9131" y="7719"/>
                                    </a:cubicBezTo>
                                    <a:cubicBezTo>
                                      <a:pt x="9131" y="7838"/>
                                      <a:pt x="9091" y="7938"/>
                                      <a:pt x="9032" y="8037"/>
                                    </a:cubicBezTo>
                                    <a:cubicBezTo>
                                      <a:pt x="8972" y="8137"/>
                                      <a:pt x="8892" y="8216"/>
                                      <a:pt x="8872" y="8236"/>
                                    </a:cubicBezTo>
                                    <a:cubicBezTo>
                                      <a:pt x="8673" y="8077"/>
                                      <a:pt x="8614" y="7739"/>
                                      <a:pt x="8594" y="7540"/>
                                    </a:cubicBezTo>
                                    <a:lnTo>
                                      <a:pt x="8614" y="7540"/>
                                    </a:lnTo>
                                    <a:cubicBezTo>
                                      <a:pt x="8713" y="7639"/>
                                      <a:pt x="8793" y="7759"/>
                                      <a:pt x="8793" y="7759"/>
                                    </a:cubicBezTo>
                                    <a:cubicBezTo>
                                      <a:pt x="8813" y="7778"/>
                                      <a:pt x="8833" y="7798"/>
                                      <a:pt x="8853" y="7798"/>
                                    </a:cubicBezTo>
                                    <a:cubicBezTo>
                                      <a:pt x="8892" y="7798"/>
                                      <a:pt x="8912" y="7778"/>
                                      <a:pt x="8912" y="7759"/>
                                    </a:cubicBezTo>
                                    <a:cubicBezTo>
                                      <a:pt x="8952" y="7540"/>
                                      <a:pt x="9051" y="7400"/>
                                      <a:pt x="9131" y="7341"/>
                                    </a:cubicBezTo>
                                    <a:close/>
                                    <a:moveTo>
                                      <a:pt x="9211" y="8057"/>
                                    </a:moveTo>
                                    <a:cubicBezTo>
                                      <a:pt x="9211" y="8196"/>
                                      <a:pt x="9211" y="8316"/>
                                      <a:pt x="9171" y="8435"/>
                                    </a:cubicBezTo>
                                    <a:cubicBezTo>
                                      <a:pt x="9151" y="8554"/>
                                      <a:pt x="9111" y="8654"/>
                                      <a:pt x="9051" y="8733"/>
                                    </a:cubicBezTo>
                                    <a:cubicBezTo>
                                      <a:pt x="8972" y="8833"/>
                                      <a:pt x="8892" y="8892"/>
                                      <a:pt x="8853" y="8912"/>
                                    </a:cubicBezTo>
                                    <a:cubicBezTo>
                                      <a:pt x="8654" y="8694"/>
                                      <a:pt x="8634" y="8375"/>
                                      <a:pt x="8654" y="8196"/>
                                    </a:cubicBezTo>
                                    <a:lnTo>
                                      <a:pt x="8654" y="8196"/>
                                    </a:lnTo>
                                    <a:cubicBezTo>
                                      <a:pt x="8753" y="8316"/>
                                      <a:pt x="8833" y="8455"/>
                                      <a:pt x="8833" y="8455"/>
                                    </a:cubicBezTo>
                                    <a:cubicBezTo>
                                      <a:pt x="8833" y="8475"/>
                                      <a:pt x="8853" y="8475"/>
                                      <a:pt x="8892" y="8475"/>
                                    </a:cubicBezTo>
                                    <a:cubicBezTo>
                                      <a:pt x="8912" y="8475"/>
                                      <a:pt x="8932" y="8475"/>
                                      <a:pt x="8932" y="8435"/>
                                    </a:cubicBezTo>
                                    <a:cubicBezTo>
                                      <a:pt x="9012" y="8256"/>
                                      <a:pt x="9131" y="8117"/>
                                      <a:pt x="9211" y="8057"/>
                                    </a:cubicBezTo>
                                    <a:close/>
                                    <a:moveTo>
                                      <a:pt x="179" y="8057"/>
                                    </a:moveTo>
                                    <a:lnTo>
                                      <a:pt x="219" y="8117"/>
                                    </a:lnTo>
                                    <a:cubicBezTo>
                                      <a:pt x="279" y="8176"/>
                                      <a:pt x="378" y="8296"/>
                                      <a:pt x="438" y="8475"/>
                                    </a:cubicBezTo>
                                    <a:cubicBezTo>
                                      <a:pt x="438" y="8495"/>
                                      <a:pt x="458" y="8514"/>
                                      <a:pt x="498" y="8514"/>
                                    </a:cubicBezTo>
                                    <a:cubicBezTo>
                                      <a:pt x="517" y="8514"/>
                                      <a:pt x="537" y="8495"/>
                                      <a:pt x="537" y="8455"/>
                                    </a:cubicBezTo>
                                    <a:cubicBezTo>
                                      <a:pt x="537" y="8455"/>
                                      <a:pt x="577" y="8316"/>
                                      <a:pt x="697" y="8196"/>
                                    </a:cubicBezTo>
                                    <a:cubicBezTo>
                                      <a:pt x="716" y="8276"/>
                                      <a:pt x="736" y="8415"/>
                                      <a:pt x="697" y="8534"/>
                                    </a:cubicBezTo>
                                    <a:cubicBezTo>
                                      <a:pt x="677" y="8713"/>
                                      <a:pt x="597" y="8833"/>
                                      <a:pt x="498" y="8952"/>
                                    </a:cubicBezTo>
                                    <a:cubicBezTo>
                                      <a:pt x="378" y="8873"/>
                                      <a:pt x="140" y="8634"/>
                                      <a:pt x="159" y="8057"/>
                                    </a:cubicBezTo>
                                    <a:close/>
                                    <a:moveTo>
                                      <a:pt x="140" y="8773"/>
                                    </a:moveTo>
                                    <a:lnTo>
                                      <a:pt x="140" y="8773"/>
                                    </a:lnTo>
                                    <a:cubicBezTo>
                                      <a:pt x="159" y="8793"/>
                                      <a:pt x="179" y="8793"/>
                                      <a:pt x="199" y="8813"/>
                                    </a:cubicBezTo>
                                    <a:cubicBezTo>
                                      <a:pt x="259" y="8873"/>
                                      <a:pt x="358" y="8992"/>
                                      <a:pt x="438" y="9151"/>
                                    </a:cubicBezTo>
                                    <a:cubicBezTo>
                                      <a:pt x="458" y="9171"/>
                                      <a:pt x="478" y="9191"/>
                                      <a:pt x="498" y="9191"/>
                                    </a:cubicBezTo>
                                    <a:cubicBezTo>
                                      <a:pt x="517" y="9191"/>
                                      <a:pt x="537" y="9171"/>
                                      <a:pt x="557" y="9151"/>
                                    </a:cubicBezTo>
                                    <a:cubicBezTo>
                                      <a:pt x="557" y="9151"/>
                                      <a:pt x="617" y="8992"/>
                                      <a:pt x="716" y="8873"/>
                                    </a:cubicBezTo>
                                    <a:lnTo>
                                      <a:pt x="716" y="8873"/>
                                    </a:lnTo>
                                    <a:cubicBezTo>
                                      <a:pt x="756" y="9012"/>
                                      <a:pt x="776" y="9310"/>
                                      <a:pt x="557" y="9609"/>
                                    </a:cubicBezTo>
                                    <a:cubicBezTo>
                                      <a:pt x="438" y="9549"/>
                                      <a:pt x="159" y="9330"/>
                                      <a:pt x="140" y="8773"/>
                                    </a:cubicBezTo>
                                    <a:close/>
                                    <a:moveTo>
                                      <a:pt x="9230" y="8773"/>
                                    </a:moveTo>
                                    <a:lnTo>
                                      <a:pt x="9230" y="8773"/>
                                    </a:lnTo>
                                    <a:cubicBezTo>
                                      <a:pt x="9211" y="8912"/>
                                      <a:pt x="9191" y="9032"/>
                                      <a:pt x="9151" y="9151"/>
                                    </a:cubicBezTo>
                                    <a:cubicBezTo>
                                      <a:pt x="9111" y="9250"/>
                                      <a:pt x="9051" y="9350"/>
                                      <a:pt x="8992" y="9430"/>
                                    </a:cubicBezTo>
                                    <a:cubicBezTo>
                                      <a:pt x="8912" y="9529"/>
                                      <a:pt x="8813" y="9589"/>
                                      <a:pt x="8793" y="9609"/>
                                    </a:cubicBezTo>
                                    <a:cubicBezTo>
                                      <a:pt x="8773" y="9609"/>
                                      <a:pt x="8773" y="9609"/>
                                      <a:pt x="8773" y="9589"/>
                                    </a:cubicBezTo>
                                    <a:cubicBezTo>
                                      <a:pt x="8673" y="9449"/>
                                      <a:pt x="8614" y="9270"/>
                                      <a:pt x="8614" y="9052"/>
                                    </a:cubicBezTo>
                                    <a:cubicBezTo>
                                      <a:pt x="8614" y="8992"/>
                                      <a:pt x="8634" y="8912"/>
                                      <a:pt x="8654" y="8853"/>
                                    </a:cubicBezTo>
                                    <a:cubicBezTo>
                                      <a:pt x="8753" y="8972"/>
                                      <a:pt x="8813" y="9131"/>
                                      <a:pt x="8813" y="9131"/>
                                    </a:cubicBezTo>
                                    <a:cubicBezTo>
                                      <a:pt x="8813" y="9151"/>
                                      <a:pt x="8833" y="9171"/>
                                      <a:pt x="8853" y="9171"/>
                                    </a:cubicBezTo>
                                    <a:cubicBezTo>
                                      <a:pt x="8892" y="9171"/>
                                      <a:pt x="8912" y="9151"/>
                                      <a:pt x="8912" y="9131"/>
                                    </a:cubicBezTo>
                                    <a:cubicBezTo>
                                      <a:pt x="9012" y="8952"/>
                                      <a:pt x="9131" y="8833"/>
                                      <a:pt x="9230" y="8773"/>
                                    </a:cubicBezTo>
                                    <a:close/>
                                    <a:moveTo>
                                      <a:pt x="4675" y="3322"/>
                                    </a:moveTo>
                                    <a:cubicBezTo>
                                      <a:pt x="5192" y="3322"/>
                                      <a:pt x="5690" y="3462"/>
                                      <a:pt x="6167" y="3720"/>
                                    </a:cubicBezTo>
                                    <a:cubicBezTo>
                                      <a:pt x="6625" y="3979"/>
                                      <a:pt x="7042" y="4337"/>
                                      <a:pt x="7380" y="4795"/>
                                    </a:cubicBezTo>
                                    <a:cubicBezTo>
                                      <a:pt x="7739" y="5272"/>
                                      <a:pt x="8017" y="5809"/>
                                      <a:pt x="8216" y="6426"/>
                                    </a:cubicBezTo>
                                    <a:cubicBezTo>
                                      <a:pt x="8415" y="7042"/>
                                      <a:pt x="8514" y="7719"/>
                                      <a:pt x="8514" y="8395"/>
                                    </a:cubicBezTo>
                                    <a:cubicBezTo>
                                      <a:pt x="8514" y="8932"/>
                                      <a:pt x="8455" y="9449"/>
                                      <a:pt x="8335" y="9947"/>
                                    </a:cubicBezTo>
                                    <a:cubicBezTo>
                                      <a:pt x="7321" y="9887"/>
                                      <a:pt x="6127" y="9509"/>
                                      <a:pt x="6087" y="9489"/>
                                    </a:cubicBezTo>
                                    <a:cubicBezTo>
                                      <a:pt x="6008" y="9469"/>
                                      <a:pt x="5928" y="9449"/>
                                      <a:pt x="5869" y="9410"/>
                                    </a:cubicBezTo>
                                    <a:cubicBezTo>
                                      <a:pt x="5610" y="9330"/>
                                      <a:pt x="5431" y="9270"/>
                                      <a:pt x="5212" y="9270"/>
                                    </a:cubicBezTo>
                                    <a:lnTo>
                                      <a:pt x="5172" y="9270"/>
                                    </a:lnTo>
                                    <a:cubicBezTo>
                                      <a:pt x="5053" y="9211"/>
                                      <a:pt x="4954" y="9171"/>
                                      <a:pt x="4794" y="9151"/>
                                    </a:cubicBezTo>
                                    <a:lnTo>
                                      <a:pt x="4794" y="8395"/>
                                    </a:lnTo>
                                    <a:lnTo>
                                      <a:pt x="4814" y="8395"/>
                                    </a:lnTo>
                                    <a:lnTo>
                                      <a:pt x="4814" y="7221"/>
                                    </a:lnTo>
                                    <a:lnTo>
                                      <a:pt x="5630" y="7221"/>
                                    </a:lnTo>
                                    <a:cubicBezTo>
                                      <a:pt x="5769" y="7202"/>
                                      <a:pt x="5888" y="7142"/>
                                      <a:pt x="5948" y="7062"/>
                                    </a:cubicBezTo>
                                    <a:cubicBezTo>
                                      <a:pt x="5988" y="7023"/>
                                      <a:pt x="6028" y="6983"/>
                                      <a:pt x="6048" y="6903"/>
                                    </a:cubicBezTo>
                                    <a:cubicBezTo>
                                      <a:pt x="6068" y="6843"/>
                                      <a:pt x="6068" y="6764"/>
                                      <a:pt x="6048" y="6684"/>
                                    </a:cubicBezTo>
                                    <a:lnTo>
                                      <a:pt x="6048" y="6664"/>
                                    </a:lnTo>
                                    <a:cubicBezTo>
                                      <a:pt x="5988" y="6207"/>
                                      <a:pt x="5888" y="5630"/>
                                      <a:pt x="5530" y="4914"/>
                                    </a:cubicBezTo>
                                    <a:cubicBezTo>
                                      <a:pt x="5251" y="4374"/>
                                      <a:pt x="4746" y="4357"/>
                                      <a:pt x="4633" y="4357"/>
                                    </a:cubicBezTo>
                                    <a:cubicBezTo>
                                      <a:pt x="4625" y="4357"/>
                                      <a:pt x="4619" y="4357"/>
                                      <a:pt x="4615" y="4357"/>
                                    </a:cubicBezTo>
                                    <a:cubicBezTo>
                                      <a:pt x="4556" y="4357"/>
                                      <a:pt x="4138" y="4377"/>
                                      <a:pt x="3859" y="4715"/>
                                    </a:cubicBezTo>
                                    <a:cubicBezTo>
                                      <a:pt x="3820" y="4755"/>
                                      <a:pt x="3641" y="4934"/>
                                      <a:pt x="3621" y="5113"/>
                                    </a:cubicBezTo>
                                    <a:cubicBezTo>
                                      <a:pt x="3601" y="5252"/>
                                      <a:pt x="3641" y="5391"/>
                                      <a:pt x="3760" y="5451"/>
                                    </a:cubicBezTo>
                                    <a:cubicBezTo>
                                      <a:pt x="3780" y="5471"/>
                                      <a:pt x="3800" y="5471"/>
                                      <a:pt x="3820" y="5471"/>
                                    </a:cubicBezTo>
                                    <a:cubicBezTo>
                                      <a:pt x="3641" y="5710"/>
                                      <a:pt x="3422" y="6068"/>
                                      <a:pt x="3322" y="6605"/>
                                    </a:cubicBezTo>
                                    <a:cubicBezTo>
                                      <a:pt x="3302" y="6704"/>
                                      <a:pt x="3283" y="6784"/>
                                      <a:pt x="3302" y="6863"/>
                                    </a:cubicBezTo>
                                    <a:cubicBezTo>
                                      <a:pt x="3302" y="6863"/>
                                      <a:pt x="3302" y="6883"/>
                                      <a:pt x="3302" y="6883"/>
                                    </a:cubicBezTo>
                                    <a:cubicBezTo>
                                      <a:pt x="3322" y="6963"/>
                                      <a:pt x="3342" y="7023"/>
                                      <a:pt x="3382" y="7082"/>
                                    </a:cubicBezTo>
                                    <a:cubicBezTo>
                                      <a:pt x="3442" y="7142"/>
                                      <a:pt x="3541" y="7221"/>
                                      <a:pt x="3720" y="7221"/>
                                    </a:cubicBezTo>
                                    <a:lnTo>
                                      <a:pt x="4556" y="7221"/>
                                    </a:lnTo>
                                    <a:lnTo>
                                      <a:pt x="4556" y="8395"/>
                                    </a:lnTo>
                                    <a:lnTo>
                                      <a:pt x="4556" y="9111"/>
                                    </a:lnTo>
                                    <a:cubicBezTo>
                                      <a:pt x="4337" y="9111"/>
                                      <a:pt x="4178" y="9191"/>
                                      <a:pt x="3959" y="9350"/>
                                    </a:cubicBezTo>
                                    <a:cubicBezTo>
                                      <a:pt x="3680" y="9529"/>
                                      <a:pt x="2686" y="9728"/>
                                      <a:pt x="1035" y="9927"/>
                                    </a:cubicBezTo>
                                    <a:cubicBezTo>
                                      <a:pt x="915" y="9430"/>
                                      <a:pt x="856" y="8912"/>
                                      <a:pt x="856" y="8395"/>
                                    </a:cubicBezTo>
                                    <a:cubicBezTo>
                                      <a:pt x="856" y="7719"/>
                                      <a:pt x="955" y="7042"/>
                                      <a:pt x="1154" y="6426"/>
                                    </a:cubicBezTo>
                                    <a:cubicBezTo>
                                      <a:pt x="1353" y="5809"/>
                                      <a:pt x="1631" y="5272"/>
                                      <a:pt x="1990" y="4795"/>
                                    </a:cubicBezTo>
                                    <a:cubicBezTo>
                                      <a:pt x="2328" y="4337"/>
                                      <a:pt x="2745" y="3979"/>
                                      <a:pt x="3203" y="3720"/>
                                    </a:cubicBezTo>
                                    <a:cubicBezTo>
                                      <a:pt x="3661" y="3462"/>
                                      <a:pt x="4178" y="3322"/>
                                      <a:pt x="4675" y="3322"/>
                                    </a:cubicBezTo>
                                    <a:close/>
                                    <a:moveTo>
                                      <a:pt x="776" y="9489"/>
                                    </a:moveTo>
                                    <a:cubicBezTo>
                                      <a:pt x="776" y="9489"/>
                                      <a:pt x="776" y="9489"/>
                                      <a:pt x="776" y="9509"/>
                                    </a:cubicBezTo>
                                    <a:cubicBezTo>
                                      <a:pt x="796" y="9569"/>
                                      <a:pt x="816" y="9628"/>
                                      <a:pt x="836" y="9688"/>
                                    </a:cubicBezTo>
                                    <a:cubicBezTo>
                                      <a:pt x="876" y="9887"/>
                                      <a:pt x="856" y="10086"/>
                                      <a:pt x="736" y="10265"/>
                                    </a:cubicBezTo>
                                    <a:cubicBezTo>
                                      <a:pt x="697" y="10265"/>
                                      <a:pt x="597" y="10225"/>
                                      <a:pt x="517" y="10146"/>
                                    </a:cubicBezTo>
                                    <a:cubicBezTo>
                                      <a:pt x="438" y="10066"/>
                                      <a:pt x="358" y="9987"/>
                                      <a:pt x="299" y="9867"/>
                                    </a:cubicBezTo>
                                    <a:cubicBezTo>
                                      <a:pt x="239" y="9768"/>
                                      <a:pt x="199" y="9648"/>
                                      <a:pt x="179" y="9509"/>
                                    </a:cubicBezTo>
                                    <a:lnTo>
                                      <a:pt x="179" y="9509"/>
                                    </a:lnTo>
                                    <a:cubicBezTo>
                                      <a:pt x="279" y="9569"/>
                                      <a:pt x="418" y="9648"/>
                                      <a:pt x="537" y="9827"/>
                                    </a:cubicBezTo>
                                    <a:cubicBezTo>
                                      <a:pt x="551" y="9841"/>
                                      <a:pt x="565" y="9856"/>
                                      <a:pt x="580" y="9856"/>
                                    </a:cubicBezTo>
                                    <a:cubicBezTo>
                                      <a:pt x="585" y="9856"/>
                                      <a:pt x="591" y="9853"/>
                                      <a:pt x="597" y="9847"/>
                                    </a:cubicBezTo>
                                    <a:cubicBezTo>
                                      <a:pt x="617" y="9847"/>
                                      <a:pt x="637" y="9827"/>
                                      <a:pt x="637" y="9807"/>
                                    </a:cubicBezTo>
                                    <a:cubicBezTo>
                                      <a:pt x="657" y="9807"/>
                                      <a:pt x="677" y="9648"/>
                                      <a:pt x="756" y="9509"/>
                                    </a:cubicBezTo>
                                    <a:cubicBezTo>
                                      <a:pt x="756" y="9489"/>
                                      <a:pt x="776" y="9489"/>
                                      <a:pt x="776" y="9489"/>
                                    </a:cubicBezTo>
                                    <a:close/>
                                    <a:moveTo>
                                      <a:pt x="9151" y="9469"/>
                                    </a:moveTo>
                                    <a:cubicBezTo>
                                      <a:pt x="9171" y="9469"/>
                                      <a:pt x="9171" y="9489"/>
                                      <a:pt x="9171" y="9489"/>
                                    </a:cubicBezTo>
                                    <a:cubicBezTo>
                                      <a:pt x="9131" y="9628"/>
                                      <a:pt x="9091" y="9748"/>
                                      <a:pt x="9051" y="9847"/>
                                    </a:cubicBezTo>
                                    <a:cubicBezTo>
                                      <a:pt x="8992" y="9947"/>
                                      <a:pt x="8932" y="10046"/>
                                      <a:pt x="8853" y="10126"/>
                                    </a:cubicBezTo>
                                    <a:cubicBezTo>
                                      <a:pt x="8753" y="10205"/>
                                      <a:pt x="8673" y="10245"/>
                                      <a:pt x="8634" y="10265"/>
                                    </a:cubicBezTo>
                                    <a:cubicBezTo>
                                      <a:pt x="8534" y="10106"/>
                                      <a:pt x="8494" y="9907"/>
                                      <a:pt x="8534" y="9688"/>
                                    </a:cubicBezTo>
                                    <a:cubicBezTo>
                                      <a:pt x="8534" y="9609"/>
                                      <a:pt x="8554" y="9549"/>
                                      <a:pt x="8574" y="9489"/>
                                    </a:cubicBezTo>
                                    <a:cubicBezTo>
                                      <a:pt x="8654" y="9628"/>
                                      <a:pt x="8693" y="9788"/>
                                      <a:pt x="8693" y="9788"/>
                                    </a:cubicBezTo>
                                    <a:cubicBezTo>
                                      <a:pt x="8713" y="9827"/>
                                      <a:pt x="8733" y="9827"/>
                                      <a:pt x="8753" y="9847"/>
                                    </a:cubicBezTo>
                                    <a:cubicBezTo>
                                      <a:pt x="8773" y="9847"/>
                                      <a:pt x="8793" y="9827"/>
                                      <a:pt x="8813" y="9807"/>
                                    </a:cubicBezTo>
                                    <a:cubicBezTo>
                                      <a:pt x="8912" y="9628"/>
                                      <a:pt x="9051" y="9529"/>
                                      <a:pt x="9151" y="9469"/>
                                    </a:cubicBezTo>
                                    <a:close/>
                                    <a:moveTo>
                                      <a:pt x="3561" y="10603"/>
                                    </a:moveTo>
                                    <a:cubicBezTo>
                                      <a:pt x="3561" y="10623"/>
                                      <a:pt x="3541" y="10643"/>
                                      <a:pt x="3521" y="10643"/>
                                    </a:cubicBezTo>
                                    <a:cubicBezTo>
                                      <a:pt x="3462" y="10703"/>
                                      <a:pt x="3402" y="10782"/>
                                      <a:pt x="3382" y="10862"/>
                                    </a:cubicBezTo>
                                    <a:lnTo>
                                      <a:pt x="3342" y="10862"/>
                                    </a:lnTo>
                                    <a:cubicBezTo>
                                      <a:pt x="3263" y="10842"/>
                                      <a:pt x="3223" y="10822"/>
                                      <a:pt x="3223" y="10822"/>
                                    </a:cubicBezTo>
                                    <a:cubicBezTo>
                                      <a:pt x="3223" y="10802"/>
                                      <a:pt x="3203" y="10782"/>
                                      <a:pt x="3243" y="10723"/>
                                    </a:cubicBezTo>
                                    <a:cubicBezTo>
                                      <a:pt x="3302" y="10663"/>
                                      <a:pt x="3422" y="10603"/>
                                      <a:pt x="3501" y="10603"/>
                                    </a:cubicBezTo>
                                    <a:close/>
                                    <a:moveTo>
                                      <a:pt x="8435" y="10146"/>
                                    </a:moveTo>
                                    <a:cubicBezTo>
                                      <a:pt x="8514" y="10285"/>
                                      <a:pt x="8534" y="10444"/>
                                      <a:pt x="8534" y="10444"/>
                                    </a:cubicBezTo>
                                    <a:cubicBezTo>
                                      <a:pt x="8534" y="10484"/>
                                      <a:pt x="8554" y="10504"/>
                                      <a:pt x="8574" y="10504"/>
                                    </a:cubicBezTo>
                                    <a:cubicBezTo>
                                      <a:pt x="8594" y="10504"/>
                                      <a:pt x="8614" y="10504"/>
                                      <a:pt x="8634" y="10484"/>
                                    </a:cubicBezTo>
                                    <a:cubicBezTo>
                                      <a:pt x="8773" y="10325"/>
                                      <a:pt x="8912" y="10245"/>
                                      <a:pt x="9012" y="10185"/>
                                    </a:cubicBezTo>
                                    <a:lnTo>
                                      <a:pt x="9032" y="10185"/>
                                    </a:lnTo>
                                    <a:cubicBezTo>
                                      <a:pt x="9032" y="10185"/>
                                      <a:pt x="9032" y="10205"/>
                                      <a:pt x="9032" y="10205"/>
                                    </a:cubicBezTo>
                                    <a:cubicBezTo>
                                      <a:pt x="8972" y="10325"/>
                                      <a:pt x="8932" y="10444"/>
                                      <a:pt x="8853" y="10544"/>
                                    </a:cubicBezTo>
                                    <a:cubicBezTo>
                                      <a:pt x="8793" y="10643"/>
                                      <a:pt x="8713" y="10723"/>
                                      <a:pt x="8634" y="10782"/>
                                    </a:cubicBezTo>
                                    <a:cubicBezTo>
                                      <a:pt x="8534" y="10862"/>
                                      <a:pt x="8435" y="10902"/>
                                      <a:pt x="8395" y="10902"/>
                                    </a:cubicBezTo>
                                    <a:cubicBezTo>
                                      <a:pt x="8315" y="10703"/>
                                      <a:pt x="8335" y="10484"/>
                                      <a:pt x="8375" y="10345"/>
                                    </a:cubicBezTo>
                                    <a:cubicBezTo>
                                      <a:pt x="8375" y="10265"/>
                                      <a:pt x="8415" y="10205"/>
                                      <a:pt x="8435" y="10146"/>
                                    </a:cubicBezTo>
                                    <a:close/>
                                    <a:moveTo>
                                      <a:pt x="935" y="10166"/>
                                    </a:moveTo>
                                    <a:cubicBezTo>
                                      <a:pt x="995" y="10305"/>
                                      <a:pt x="1094" y="10603"/>
                                      <a:pt x="955" y="10921"/>
                                    </a:cubicBezTo>
                                    <a:cubicBezTo>
                                      <a:pt x="816" y="10882"/>
                                      <a:pt x="498" y="10742"/>
                                      <a:pt x="338" y="10205"/>
                                    </a:cubicBezTo>
                                    <a:cubicBezTo>
                                      <a:pt x="358" y="10205"/>
                                      <a:pt x="378" y="10205"/>
                                      <a:pt x="398" y="10225"/>
                                    </a:cubicBezTo>
                                    <a:cubicBezTo>
                                      <a:pt x="498" y="10265"/>
                                      <a:pt x="617" y="10345"/>
                                      <a:pt x="716" y="10504"/>
                                    </a:cubicBezTo>
                                    <a:cubicBezTo>
                                      <a:pt x="736" y="10524"/>
                                      <a:pt x="756" y="10524"/>
                                      <a:pt x="796" y="10524"/>
                                    </a:cubicBezTo>
                                    <a:cubicBezTo>
                                      <a:pt x="816" y="10504"/>
                                      <a:pt x="836" y="10484"/>
                                      <a:pt x="836" y="10464"/>
                                    </a:cubicBezTo>
                                    <a:cubicBezTo>
                                      <a:pt x="836" y="10464"/>
                                      <a:pt x="856" y="10305"/>
                                      <a:pt x="915" y="10166"/>
                                    </a:cubicBezTo>
                                    <a:close/>
                                    <a:moveTo>
                                      <a:pt x="3879" y="10663"/>
                                    </a:moveTo>
                                    <a:cubicBezTo>
                                      <a:pt x="3899" y="10663"/>
                                      <a:pt x="3919" y="10663"/>
                                      <a:pt x="3939" y="10683"/>
                                    </a:cubicBezTo>
                                    <a:cubicBezTo>
                                      <a:pt x="3979" y="10703"/>
                                      <a:pt x="3999" y="10723"/>
                                      <a:pt x="3999" y="10723"/>
                                    </a:cubicBezTo>
                                    <a:cubicBezTo>
                                      <a:pt x="3999" y="10742"/>
                                      <a:pt x="3999" y="10742"/>
                                      <a:pt x="3999" y="10742"/>
                                    </a:cubicBezTo>
                                    <a:cubicBezTo>
                                      <a:pt x="3979" y="10762"/>
                                      <a:pt x="3959" y="10782"/>
                                      <a:pt x="3939" y="10782"/>
                                    </a:cubicBezTo>
                                    <a:cubicBezTo>
                                      <a:pt x="3820" y="10882"/>
                                      <a:pt x="3740" y="10981"/>
                                      <a:pt x="3720" y="11061"/>
                                    </a:cubicBezTo>
                                    <a:lnTo>
                                      <a:pt x="3661" y="11061"/>
                                    </a:lnTo>
                                    <a:cubicBezTo>
                                      <a:pt x="3561" y="11021"/>
                                      <a:pt x="3561" y="10981"/>
                                      <a:pt x="3561" y="10961"/>
                                    </a:cubicBezTo>
                                    <a:cubicBezTo>
                                      <a:pt x="3561" y="10902"/>
                                      <a:pt x="3581" y="10862"/>
                                      <a:pt x="3661" y="10782"/>
                                    </a:cubicBezTo>
                                    <a:cubicBezTo>
                                      <a:pt x="3740" y="10703"/>
                                      <a:pt x="3820" y="10663"/>
                                      <a:pt x="3879" y="10663"/>
                                    </a:cubicBezTo>
                                    <a:close/>
                                    <a:moveTo>
                                      <a:pt x="4277" y="10842"/>
                                    </a:moveTo>
                                    <a:cubicBezTo>
                                      <a:pt x="4317" y="10842"/>
                                      <a:pt x="4337" y="10842"/>
                                      <a:pt x="4357" y="10882"/>
                                    </a:cubicBezTo>
                                    <a:cubicBezTo>
                                      <a:pt x="4377" y="10882"/>
                                      <a:pt x="4397" y="10902"/>
                                      <a:pt x="4397" y="10921"/>
                                    </a:cubicBezTo>
                                    <a:cubicBezTo>
                                      <a:pt x="4397" y="10941"/>
                                      <a:pt x="4357" y="10981"/>
                                      <a:pt x="4337" y="11001"/>
                                    </a:cubicBezTo>
                                    <a:cubicBezTo>
                                      <a:pt x="4237" y="11081"/>
                                      <a:pt x="4158" y="11160"/>
                                      <a:pt x="4118" y="11240"/>
                                    </a:cubicBezTo>
                                    <a:cubicBezTo>
                                      <a:pt x="4098" y="11240"/>
                                      <a:pt x="4063" y="11245"/>
                                      <a:pt x="4026" y="11245"/>
                                    </a:cubicBezTo>
                                    <a:cubicBezTo>
                                      <a:pt x="3989" y="11245"/>
                                      <a:pt x="3949" y="11240"/>
                                      <a:pt x="3919" y="11220"/>
                                    </a:cubicBezTo>
                                    <a:cubicBezTo>
                                      <a:pt x="3919" y="11220"/>
                                      <a:pt x="3899" y="11200"/>
                                      <a:pt x="3899" y="11160"/>
                                    </a:cubicBezTo>
                                    <a:cubicBezTo>
                                      <a:pt x="3879" y="11081"/>
                                      <a:pt x="3999" y="11001"/>
                                      <a:pt x="4058" y="10941"/>
                                    </a:cubicBezTo>
                                    <a:cubicBezTo>
                                      <a:pt x="4158" y="10882"/>
                                      <a:pt x="4237" y="10842"/>
                                      <a:pt x="4277" y="10842"/>
                                    </a:cubicBezTo>
                                    <a:close/>
                                    <a:moveTo>
                                      <a:pt x="4521" y="9307"/>
                                    </a:moveTo>
                                    <a:cubicBezTo>
                                      <a:pt x="4539" y="9307"/>
                                      <a:pt x="4557" y="9308"/>
                                      <a:pt x="4576" y="9310"/>
                                    </a:cubicBezTo>
                                    <a:cubicBezTo>
                                      <a:pt x="4635" y="9310"/>
                                      <a:pt x="4675" y="9310"/>
                                      <a:pt x="4695" y="9330"/>
                                    </a:cubicBezTo>
                                    <a:cubicBezTo>
                                      <a:pt x="4675" y="9330"/>
                                      <a:pt x="4635" y="9350"/>
                                      <a:pt x="4595" y="9370"/>
                                    </a:cubicBezTo>
                                    <a:cubicBezTo>
                                      <a:pt x="4516" y="9430"/>
                                      <a:pt x="4476" y="9469"/>
                                      <a:pt x="4436" y="9509"/>
                                    </a:cubicBezTo>
                                    <a:cubicBezTo>
                                      <a:pt x="4397" y="9549"/>
                                      <a:pt x="4357" y="9569"/>
                                      <a:pt x="4297" y="9609"/>
                                    </a:cubicBezTo>
                                    <a:cubicBezTo>
                                      <a:pt x="4257" y="9628"/>
                                      <a:pt x="4218" y="9648"/>
                                      <a:pt x="4158" y="9668"/>
                                    </a:cubicBezTo>
                                    <a:cubicBezTo>
                                      <a:pt x="4058" y="9728"/>
                                      <a:pt x="3959" y="9788"/>
                                      <a:pt x="3939" y="9847"/>
                                    </a:cubicBezTo>
                                    <a:cubicBezTo>
                                      <a:pt x="3899" y="9947"/>
                                      <a:pt x="3919" y="10006"/>
                                      <a:pt x="3979" y="10106"/>
                                    </a:cubicBezTo>
                                    <a:cubicBezTo>
                                      <a:pt x="4038" y="10195"/>
                                      <a:pt x="4132" y="10207"/>
                                      <a:pt x="4225" y="10207"/>
                                    </a:cubicBezTo>
                                    <a:cubicBezTo>
                                      <a:pt x="4256" y="10207"/>
                                      <a:pt x="4287" y="10205"/>
                                      <a:pt x="4317" y="10205"/>
                                    </a:cubicBezTo>
                                    <a:cubicBezTo>
                                      <a:pt x="4456" y="10205"/>
                                      <a:pt x="4595" y="10146"/>
                                      <a:pt x="4715" y="10086"/>
                                    </a:cubicBezTo>
                                    <a:cubicBezTo>
                                      <a:pt x="4755" y="10066"/>
                                      <a:pt x="4794" y="10046"/>
                                      <a:pt x="4834" y="10006"/>
                                    </a:cubicBezTo>
                                    <a:cubicBezTo>
                                      <a:pt x="4874" y="9987"/>
                                      <a:pt x="4914" y="9947"/>
                                      <a:pt x="4954" y="9947"/>
                                    </a:cubicBezTo>
                                    <a:cubicBezTo>
                                      <a:pt x="4990" y="9939"/>
                                      <a:pt x="5029" y="9935"/>
                                      <a:pt x="5071" y="9935"/>
                                    </a:cubicBezTo>
                                    <a:cubicBezTo>
                                      <a:pt x="5143" y="9935"/>
                                      <a:pt x="5223" y="9949"/>
                                      <a:pt x="5312" y="9987"/>
                                    </a:cubicBezTo>
                                    <a:cubicBezTo>
                                      <a:pt x="5431" y="10026"/>
                                      <a:pt x="5530" y="10106"/>
                                      <a:pt x="5650" y="10166"/>
                                    </a:cubicBezTo>
                                    <a:cubicBezTo>
                                      <a:pt x="5908" y="10345"/>
                                      <a:pt x="6107" y="10563"/>
                                      <a:pt x="6147" y="10643"/>
                                    </a:cubicBezTo>
                                    <a:cubicBezTo>
                                      <a:pt x="6147" y="10663"/>
                                      <a:pt x="6147" y="10703"/>
                                      <a:pt x="6107" y="10723"/>
                                    </a:cubicBezTo>
                                    <a:cubicBezTo>
                                      <a:pt x="6087" y="10762"/>
                                      <a:pt x="6048" y="10782"/>
                                      <a:pt x="5988" y="10782"/>
                                    </a:cubicBezTo>
                                    <a:cubicBezTo>
                                      <a:pt x="5908" y="10663"/>
                                      <a:pt x="5690" y="10404"/>
                                      <a:pt x="5411" y="10265"/>
                                    </a:cubicBezTo>
                                    <a:lnTo>
                                      <a:pt x="5332" y="10265"/>
                                    </a:lnTo>
                                    <a:cubicBezTo>
                                      <a:pt x="5312" y="10265"/>
                                      <a:pt x="5292" y="10285"/>
                                      <a:pt x="5272" y="10305"/>
                                    </a:cubicBezTo>
                                    <a:cubicBezTo>
                                      <a:pt x="5272" y="10345"/>
                                      <a:pt x="5272" y="10364"/>
                                      <a:pt x="5272" y="10384"/>
                                    </a:cubicBezTo>
                                    <a:cubicBezTo>
                                      <a:pt x="5292" y="10404"/>
                                      <a:pt x="5312" y="10424"/>
                                      <a:pt x="5332" y="10444"/>
                                    </a:cubicBezTo>
                                    <a:cubicBezTo>
                                      <a:pt x="5550" y="10563"/>
                                      <a:pt x="5749" y="10782"/>
                                      <a:pt x="5829" y="10882"/>
                                    </a:cubicBezTo>
                                    <a:cubicBezTo>
                                      <a:pt x="5809" y="10902"/>
                                      <a:pt x="5809" y="10921"/>
                                      <a:pt x="5789" y="10941"/>
                                    </a:cubicBezTo>
                                    <a:cubicBezTo>
                                      <a:pt x="5749" y="10981"/>
                                      <a:pt x="5709" y="11001"/>
                                      <a:pt x="5630" y="11001"/>
                                    </a:cubicBezTo>
                                    <a:cubicBezTo>
                                      <a:pt x="5610" y="10941"/>
                                      <a:pt x="5570" y="10882"/>
                                      <a:pt x="5491" y="10802"/>
                                    </a:cubicBezTo>
                                    <a:cubicBezTo>
                                      <a:pt x="5411" y="10703"/>
                                      <a:pt x="5252" y="10583"/>
                                      <a:pt x="5232" y="10583"/>
                                    </a:cubicBezTo>
                                    <a:cubicBezTo>
                                      <a:pt x="5212" y="10563"/>
                                      <a:pt x="5192" y="10563"/>
                                      <a:pt x="5172" y="10563"/>
                                    </a:cubicBezTo>
                                    <a:cubicBezTo>
                                      <a:pt x="5133" y="10563"/>
                                      <a:pt x="5113" y="10583"/>
                                      <a:pt x="5093" y="10603"/>
                                    </a:cubicBezTo>
                                    <a:cubicBezTo>
                                      <a:pt x="5093" y="10623"/>
                                      <a:pt x="5073" y="10663"/>
                                      <a:pt x="5073" y="10683"/>
                                    </a:cubicBezTo>
                                    <a:cubicBezTo>
                                      <a:pt x="5093" y="10703"/>
                                      <a:pt x="5093" y="10723"/>
                                      <a:pt x="5113" y="10742"/>
                                    </a:cubicBezTo>
                                    <a:cubicBezTo>
                                      <a:pt x="5172" y="10782"/>
                                      <a:pt x="5292" y="10862"/>
                                      <a:pt x="5351" y="10941"/>
                                    </a:cubicBezTo>
                                    <a:cubicBezTo>
                                      <a:pt x="5411" y="11021"/>
                                      <a:pt x="5431" y="11061"/>
                                      <a:pt x="5451" y="11081"/>
                                    </a:cubicBezTo>
                                    <a:cubicBezTo>
                                      <a:pt x="5431" y="11101"/>
                                      <a:pt x="5431" y="11120"/>
                                      <a:pt x="5411" y="11140"/>
                                    </a:cubicBezTo>
                                    <a:cubicBezTo>
                                      <a:pt x="5382" y="11169"/>
                                      <a:pt x="5353" y="11188"/>
                                      <a:pt x="5316" y="11188"/>
                                    </a:cubicBezTo>
                                    <a:cubicBezTo>
                                      <a:pt x="5302" y="11188"/>
                                      <a:pt x="5288" y="11185"/>
                                      <a:pt x="5272" y="11180"/>
                                    </a:cubicBezTo>
                                    <a:cubicBezTo>
                                      <a:pt x="5252" y="11140"/>
                                      <a:pt x="5192" y="11021"/>
                                      <a:pt x="5093" y="10921"/>
                                    </a:cubicBezTo>
                                    <a:cubicBezTo>
                                      <a:pt x="5068" y="10897"/>
                                      <a:pt x="5036" y="10880"/>
                                      <a:pt x="5006" y="10880"/>
                                    </a:cubicBezTo>
                                    <a:cubicBezTo>
                                      <a:pt x="4987" y="10880"/>
                                      <a:pt x="4969" y="10886"/>
                                      <a:pt x="4954" y="10902"/>
                                    </a:cubicBezTo>
                                    <a:cubicBezTo>
                                      <a:pt x="4934" y="10921"/>
                                      <a:pt x="4914" y="10941"/>
                                      <a:pt x="4914" y="10981"/>
                                    </a:cubicBezTo>
                                    <a:cubicBezTo>
                                      <a:pt x="4914" y="11001"/>
                                      <a:pt x="4934" y="11021"/>
                                      <a:pt x="4954" y="11041"/>
                                    </a:cubicBezTo>
                                    <a:cubicBezTo>
                                      <a:pt x="5013" y="11120"/>
                                      <a:pt x="5053" y="11200"/>
                                      <a:pt x="5073" y="11240"/>
                                    </a:cubicBezTo>
                                    <a:cubicBezTo>
                                      <a:pt x="5073" y="11260"/>
                                      <a:pt x="5053" y="11260"/>
                                      <a:pt x="5033" y="11260"/>
                                    </a:cubicBezTo>
                                    <a:cubicBezTo>
                                      <a:pt x="4991" y="11274"/>
                                      <a:pt x="4959" y="11288"/>
                                      <a:pt x="4922" y="11288"/>
                                    </a:cubicBezTo>
                                    <a:cubicBezTo>
                                      <a:pt x="4907" y="11288"/>
                                      <a:pt x="4891" y="11285"/>
                                      <a:pt x="4874" y="11280"/>
                                    </a:cubicBezTo>
                                    <a:cubicBezTo>
                                      <a:pt x="4894" y="11240"/>
                                      <a:pt x="4914" y="11200"/>
                                      <a:pt x="4914" y="11160"/>
                                    </a:cubicBezTo>
                                    <a:cubicBezTo>
                                      <a:pt x="4914" y="11120"/>
                                      <a:pt x="4914" y="11041"/>
                                      <a:pt x="4834" y="10941"/>
                                    </a:cubicBezTo>
                                    <a:cubicBezTo>
                                      <a:pt x="4802" y="10909"/>
                                      <a:pt x="4729" y="10876"/>
                                      <a:pt x="4650" y="10876"/>
                                    </a:cubicBezTo>
                                    <a:cubicBezTo>
                                      <a:pt x="4632" y="10876"/>
                                      <a:pt x="4614" y="10878"/>
                                      <a:pt x="4595" y="10882"/>
                                    </a:cubicBezTo>
                                    <a:cubicBezTo>
                                      <a:pt x="4576" y="10822"/>
                                      <a:pt x="4556" y="10762"/>
                                      <a:pt x="4496" y="10723"/>
                                    </a:cubicBezTo>
                                    <a:cubicBezTo>
                                      <a:pt x="4430" y="10670"/>
                                      <a:pt x="4363" y="10643"/>
                                      <a:pt x="4291" y="10643"/>
                                    </a:cubicBezTo>
                                    <a:cubicBezTo>
                                      <a:pt x="4255" y="10643"/>
                                      <a:pt x="4218" y="10650"/>
                                      <a:pt x="4178" y="10663"/>
                                    </a:cubicBezTo>
                                    <a:cubicBezTo>
                                      <a:pt x="4158" y="10603"/>
                                      <a:pt x="4118" y="10544"/>
                                      <a:pt x="4038" y="10504"/>
                                    </a:cubicBezTo>
                                    <a:cubicBezTo>
                                      <a:pt x="3992" y="10480"/>
                                      <a:pt x="3938" y="10471"/>
                                      <a:pt x="3882" y="10471"/>
                                    </a:cubicBezTo>
                                    <a:cubicBezTo>
                                      <a:pt x="3842" y="10471"/>
                                      <a:pt x="3801" y="10476"/>
                                      <a:pt x="3760" y="10484"/>
                                    </a:cubicBezTo>
                                    <a:cubicBezTo>
                                      <a:pt x="3680" y="10424"/>
                                      <a:pt x="3581" y="10404"/>
                                      <a:pt x="3561" y="10404"/>
                                    </a:cubicBezTo>
                                    <a:cubicBezTo>
                                      <a:pt x="3543" y="10402"/>
                                      <a:pt x="3525" y="10401"/>
                                      <a:pt x="3506" y="10401"/>
                                    </a:cubicBezTo>
                                    <a:cubicBezTo>
                                      <a:pt x="3378" y="10401"/>
                                      <a:pt x="3230" y="10459"/>
                                      <a:pt x="3143" y="10563"/>
                                    </a:cubicBezTo>
                                    <a:cubicBezTo>
                                      <a:pt x="2566" y="10862"/>
                                      <a:pt x="1850" y="11180"/>
                                      <a:pt x="1552" y="11319"/>
                                    </a:cubicBezTo>
                                    <a:cubicBezTo>
                                      <a:pt x="1393" y="11021"/>
                                      <a:pt x="1273" y="10703"/>
                                      <a:pt x="1154" y="10384"/>
                                    </a:cubicBezTo>
                                    <a:cubicBezTo>
                                      <a:pt x="1134" y="10285"/>
                                      <a:pt x="1114" y="10205"/>
                                      <a:pt x="1074" y="10106"/>
                                    </a:cubicBezTo>
                                    <a:cubicBezTo>
                                      <a:pt x="1910" y="10006"/>
                                      <a:pt x="2586" y="9907"/>
                                      <a:pt x="3064" y="9807"/>
                                    </a:cubicBezTo>
                                    <a:cubicBezTo>
                                      <a:pt x="3581" y="9708"/>
                                      <a:pt x="3899" y="9609"/>
                                      <a:pt x="4078" y="9489"/>
                                    </a:cubicBezTo>
                                    <a:cubicBezTo>
                                      <a:pt x="4239" y="9382"/>
                                      <a:pt x="4367" y="9307"/>
                                      <a:pt x="4521" y="9307"/>
                                    </a:cubicBezTo>
                                    <a:close/>
                                    <a:moveTo>
                                      <a:pt x="5295" y="9465"/>
                                    </a:moveTo>
                                    <a:cubicBezTo>
                                      <a:pt x="5434" y="9465"/>
                                      <a:pt x="5582" y="9520"/>
                                      <a:pt x="5789" y="9589"/>
                                    </a:cubicBezTo>
                                    <a:cubicBezTo>
                                      <a:pt x="5869" y="9628"/>
                                      <a:pt x="5948" y="9648"/>
                                      <a:pt x="6028" y="9688"/>
                                    </a:cubicBezTo>
                                    <a:cubicBezTo>
                                      <a:pt x="6048" y="9688"/>
                                      <a:pt x="6366" y="9788"/>
                                      <a:pt x="6804" y="9887"/>
                                    </a:cubicBezTo>
                                    <a:cubicBezTo>
                                      <a:pt x="7182" y="9987"/>
                                      <a:pt x="7739" y="10086"/>
                                      <a:pt x="8276" y="10126"/>
                                    </a:cubicBezTo>
                                    <a:cubicBezTo>
                                      <a:pt x="8236" y="10205"/>
                                      <a:pt x="8216" y="10305"/>
                                      <a:pt x="8196" y="10384"/>
                                    </a:cubicBezTo>
                                    <a:cubicBezTo>
                                      <a:pt x="8077" y="10723"/>
                                      <a:pt x="7957" y="11041"/>
                                      <a:pt x="7778" y="11339"/>
                                    </a:cubicBezTo>
                                    <a:cubicBezTo>
                                      <a:pt x="7520" y="11240"/>
                                      <a:pt x="6883" y="10961"/>
                                      <a:pt x="6465" y="10663"/>
                                    </a:cubicBezTo>
                                    <a:cubicBezTo>
                                      <a:pt x="6386" y="10603"/>
                                      <a:pt x="6326" y="10524"/>
                                      <a:pt x="6306" y="10504"/>
                                    </a:cubicBezTo>
                                    <a:lnTo>
                                      <a:pt x="6306" y="10484"/>
                                    </a:lnTo>
                                    <a:lnTo>
                                      <a:pt x="6286" y="10484"/>
                                    </a:lnTo>
                                    <a:cubicBezTo>
                                      <a:pt x="6187" y="10364"/>
                                      <a:pt x="6008" y="10166"/>
                                      <a:pt x="5769" y="10006"/>
                                    </a:cubicBezTo>
                                    <a:cubicBezTo>
                                      <a:pt x="5600" y="9905"/>
                                      <a:pt x="5329" y="9731"/>
                                      <a:pt x="5056" y="9731"/>
                                    </a:cubicBezTo>
                                    <a:cubicBezTo>
                                      <a:pt x="5008" y="9731"/>
                                      <a:pt x="4961" y="9736"/>
                                      <a:pt x="4914" y="9748"/>
                                    </a:cubicBezTo>
                                    <a:cubicBezTo>
                                      <a:pt x="4854" y="9768"/>
                                      <a:pt x="4794" y="9807"/>
                                      <a:pt x="4715" y="9847"/>
                                    </a:cubicBezTo>
                                    <a:cubicBezTo>
                                      <a:pt x="4695" y="9867"/>
                                      <a:pt x="4655" y="9887"/>
                                      <a:pt x="4615" y="9907"/>
                                    </a:cubicBezTo>
                                    <a:cubicBezTo>
                                      <a:pt x="4516" y="9967"/>
                                      <a:pt x="4397" y="10006"/>
                                      <a:pt x="4297" y="10006"/>
                                    </a:cubicBezTo>
                                    <a:cubicBezTo>
                                      <a:pt x="4218" y="10006"/>
                                      <a:pt x="4158" y="10006"/>
                                      <a:pt x="4138" y="9987"/>
                                    </a:cubicBezTo>
                                    <a:cubicBezTo>
                                      <a:pt x="4098" y="9947"/>
                                      <a:pt x="4118" y="9947"/>
                                      <a:pt x="4118" y="9927"/>
                                    </a:cubicBezTo>
                                    <a:cubicBezTo>
                                      <a:pt x="4138" y="9907"/>
                                      <a:pt x="4218" y="9867"/>
                                      <a:pt x="4257" y="9847"/>
                                    </a:cubicBezTo>
                                    <a:cubicBezTo>
                                      <a:pt x="4317" y="9827"/>
                                      <a:pt x="4357" y="9807"/>
                                      <a:pt x="4416" y="9768"/>
                                    </a:cubicBezTo>
                                    <a:cubicBezTo>
                                      <a:pt x="4476" y="9728"/>
                                      <a:pt x="4516" y="9688"/>
                                      <a:pt x="4556" y="9668"/>
                                    </a:cubicBezTo>
                                    <a:cubicBezTo>
                                      <a:pt x="4595" y="9628"/>
                                      <a:pt x="4635" y="9589"/>
                                      <a:pt x="4715" y="9549"/>
                                    </a:cubicBezTo>
                                    <a:cubicBezTo>
                                      <a:pt x="4814" y="9469"/>
                                      <a:pt x="4914" y="9469"/>
                                      <a:pt x="5073" y="9469"/>
                                    </a:cubicBezTo>
                                    <a:lnTo>
                                      <a:pt x="5232" y="9469"/>
                                    </a:lnTo>
                                    <a:cubicBezTo>
                                      <a:pt x="5253" y="9467"/>
                                      <a:pt x="5274" y="9465"/>
                                      <a:pt x="5295" y="9465"/>
                                    </a:cubicBezTo>
                                    <a:close/>
                                    <a:moveTo>
                                      <a:pt x="4653" y="11081"/>
                                    </a:moveTo>
                                    <a:cubicBezTo>
                                      <a:pt x="4680" y="11081"/>
                                      <a:pt x="4695" y="11091"/>
                                      <a:pt x="4695" y="11101"/>
                                    </a:cubicBezTo>
                                    <a:cubicBezTo>
                                      <a:pt x="4715" y="11120"/>
                                      <a:pt x="4715" y="11140"/>
                                      <a:pt x="4715" y="11140"/>
                                    </a:cubicBezTo>
                                    <a:cubicBezTo>
                                      <a:pt x="4715" y="11180"/>
                                      <a:pt x="4655" y="11240"/>
                                      <a:pt x="4635" y="11260"/>
                                    </a:cubicBezTo>
                                    <a:cubicBezTo>
                                      <a:pt x="4595" y="11280"/>
                                      <a:pt x="4456" y="11359"/>
                                      <a:pt x="4357" y="11359"/>
                                    </a:cubicBezTo>
                                    <a:cubicBezTo>
                                      <a:pt x="4357" y="11339"/>
                                      <a:pt x="4337" y="11339"/>
                                      <a:pt x="4297" y="11319"/>
                                    </a:cubicBezTo>
                                    <a:cubicBezTo>
                                      <a:pt x="4357" y="11220"/>
                                      <a:pt x="4436" y="11160"/>
                                      <a:pt x="4536" y="11120"/>
                                    </a:cubicBezTo>
                                    <a:cubicBezTo>
                                      <a:pt x="4586" y="11091"/>
                                      <a:pt x="4625" y="11081"/>
                                      <a:pt x="4653" y="11081"/>
                                    </a:cubicBezTo>
                                    <a:close/>
                                    <a:moveTo>
                                      <a:pt x="8236" y="10782"/>
                                    </a:moveTo>
                                    <a:cubicBezTo>
                                      <a:pt x="8276" y="10921"/>
                                      <a:pt x="8296" y="11081"/>
                                      <a:pt x="8296" y="11081"/>
                                    </a:cubicBezTo>
                                    <a:cubicBezTo>
                                      <a:pt x="8296" y="11120"/>
                                      <a:pt x="8296" y="11140"/>
                                      <a:pt x="8335" y="11140"/>
                                    </a:cubicBezTo>
                                    <a:cubicBezTo>
                                      <a:pt x="8355" y="11140"/>
                                      <a:pt x="8375" y="11140"/>
                                      <a:pt x="8395" y="11120"/>
                                    </a:cubicBezTo>
                                    <a:cubicBezTo>
                                      <a:pt x="8514" y="10981"/>
                                      <a:pt x="8654" y="10921"/>
                                      <a:pt x="8733" y="10882"/>
                                    </a:cubicBezTo>
                                    <a:cubicBezTo>
                                      <a:pt x="8753" y="10882"/>
                                      <a:pt x="8793" y="10882"/>
                                      <a:pt x="8813" y="10862"/>
                                    </a:cubicBezTo>
                                    <a:cubicBezTo>
                                      <a:pt x="8813" y="10862"/>
                                      <a:pt x="8813" y="10862"/>
                                      <a:pt x="8813" y="10882"/>
                                    </a:cubicBezTo>
                                    <a:cubicBezTo>
                                      <a:pt x="8753" y="11001"/>
                                      <a:pt x="8693" y="11120"/>
                                      <a:pt x="8614" y="11220"/>
                                    </a:cubicBezTo>
                                    <a:cubicBezTo>
                                      <a:pt x="8534" y="11299"/>
                                      <a:pt x="8455" y="11379"/>
                                      <a:pt x="8355" y="11439"/>
                                    </a:cubicBezTo>
                                    <a:cubicBezTo>
                                      <a:pt x="8256" y="11498"/>
                                      <a:pt x="8156" y="11518"/>
                                      <a:pt x="8116" y="11518"/>
                                    </a:cubicBezTo>
                                    <a:cubicBezTo>
                                      <a:pt x="8057" y="11339"/>
                                      <a:pt x="8077" y="11160"/>
                                      <a:pt x="8136" y="10961"/>
                                    </a:cubicBezTo>
                                    <a:cubicBezTo>
                                      <a:pt x="8156" y="10902"/>
                                      <a:pt x="8196" y="10842"/>
                                      <a:pt x="8216" y="10782"/>
                                    </a:cubicBezTo>
                                    <a:close/>
                                    <a:moveTo>
                                      <a:pt x="1154" y="10782"/>
                                    </a:moveTo>
                                    <a:cubicBezTo>
                                      <a:pt x="1174" y="10842"/>
                                      <a:pt x="1214" y="10902"/>
                                      <a:pt x="1234" y="10961"/>
                                    </a:cubicBezTo>
                                    <a:cubicBezTo>
                                      <a:pt x="1313" y="11160"/>
                                      <a:pt x="1313" y="11359"/>
                                      <a:pt x="1254" y="11538"/>
                                    </a:cubicBezTo>
                                    <a:cubicBezTo>
                                      <a:pt x="1214" y="11518"/>
                                      <a:pt x="1114" y="11498"/>
                                      <a:pt x="1015" y="11439"/>
                                    </a:cubicBezTo>
                                    <a:cubicBezTo>
                                      <a:pt x="915" y="11379"/>
                                      <a:pt x="836" y="11319"/>
                                      <a:pt x="756" y="11220"/>
                                    </a:cubicBezTo>
                                    <a:cubicBezTo>
                                      <a:pt x="677" y="11120"/>
                                      <a:pt x="617" y="11021"/>
                                      <a:pt x="557" y="10902"/>
                                    </a:cubicBezTo>
                                    <a:lnTo>
                                      <a:pt x="557" y="10882"/>
                                    </a:lnTo>
                                    <a:lnTo>
                                      <a:pt x="577" y="10882"/>
                                    </a:lnTo>
                                    <a:cubicBezTo>
                                      <a:pt x="597" y="10902"/>
                                      <a:pt x="617" y="10902"/>
                                      <a:pt x="637" y="10902"/>
                                    </a:cubicBezTo>
                                    <a:cubicBezTo>
                                      <a:pt x="716" y="10941"/>
                                      <a:pt x="856" y="11001"/>
                                      <a:pt x="975" y="11140"/>
                                    </a:cubicBezTo>
                                    <a:cubicBezTo>
                                      <a:pt x="985" y="11150"/>
                                      <a:pt x="995" y="11155"/>
                                      <a:pt x="1007" y="11155"/>
                                    </a:cubicBezTo>
                                    <a:cubicBezTo>
                                      <a:pt x="1020" y="11155"/>
                                      <a:pt x="1035" y="11150"/>
                                      <a:pt x="1055" y="11140"/>
                                    </a:cubicBezTo>
                                    <a:cubicBezTo>
                                      <a:pt x="1074" y="11140"/>
                                      <a:pt x="1074" y="11120"/>
                                      <a:pt x="1074" y="11101"/>
                                    </a:cubicBezTo>
                                    <a:cubicBezTo>
                                      <a:pt x="1074" y="11101"/>
                                      <a:pt x="1094" y="10941"/>
                                      <a:pt x="1134" y="10782"/>
                                    </a:cubicBezTo>
                                    <a:close/>
                                    <a:moveTo>
                                      <a:pt x="1413" y="11379"/>
                                    </a:moveTo>
                                    <a:cubicBezTo>
                                      <a:pt x="1452" y="11439"/>
                                      <a:pt x="1492" y="11498"/>
                                      <a:pt x="1512" y="11558"/>
                                    </a:cubicBezTo>
                                    <a:cubicBezTo>
                                      <a:pt x="1592" y="11677"/>
                                      <a:pt x="1651" y="11896"/>
                                      <a:pt x="1612" y="12095"/>
                                    </a:cubicBezTo>
                                    <a:cubicBezTo>
                                      <a:pt x="1572" y="12095"/>
                                      <a:pt x="1472" y="12075"/>
                                      <a:pt x="1373" y="12035"/>
                                    </a:cubicBezTo>
                                    <a:cubicBezTo>
                                      <a:pt x="1273" y="11996"/>
                                      <a:pt x="1174" y="11936"/>
                                      <a:pt x="1094" y="11837"/>
                                    </a:cubicBezTo>
                                    <a:cubicBezTo>
                                      <a:pt x="1015" y="11757"/>
                                      <a:pt x="935" y="11658"/>
                                      <a:pt x="856" y="11538"/>
                                    </a:cubicBezTo>
                                    <a:lnTo>
                                      <a:pt x="856" y="11538"/>
                                    </a:lnTo>
                                    <a:cubicBezTo>
                                      <a:pt x="975" y="11558"/>
                                      <a:pt x="1134" y="11598"/>
                                      <a:pt x="1293" y="11737"/>
                                    </a:cubicBezTo>
                                    <a:cubicBezTo>
                                      <a:pt x="1303" y="11747"/>
                                      <a:pt x="1318" y="11752"/>
                                      <a:pt x="1333" y="11752"/>
                                    </a:cubicBezTo>
                                    <a:cubicBezTo>
                                      <a:pt x="1348" y="11752"/>
                                      <a:pt x="1363" y="11747"/>
                                      <a:pt x="1373" y="11737"/>
                                    </a:cubicBezTo>
                                    <a:cubicBezTo>
                                      <a:pt x="1393" y="11737"/>
                                      <a:pt x="1393" y="11717"/>
                                      <a:pt x="1393" y="11677"/>
                                    </a:cubicBezTo>
                                    <a:cubicBezTo>
                                      <a:pt x="1393" y="11677"/>
                                      <a:pt x="1373" y="11538"/>
                                      <a:pt x="1413" y="11379"/>
                                    </a:cubicBezTo>
                                    <a:close/>
                                    <a:moveTo>
                                      <a:pt x="7957" y="11379"/>
                                    </a:moveTo>
                                    <a:cubicBezTo>
                                      <a:pt x="7997" y="11518"/>
                                      <a:pt x="7977" y="11677"/>
                                      <a:pt x="7977" y="11677"/>
                                    </a:cubicBezTo>
                                    <a:cubicBezTo>
                                      <a:pt x="7977" y="11717"/>
                                      <a:pt x="7977" y="11737"/>
                                      <a:pt x="7997" y="11737"/>
                                    </a:cubicBezTo>
                                    <a:cubicBezTo>
                                      <a:pt x="8007" y="11747"/>
                                      <a:pt x="8022" y="11752"/>
                                      <a:pt x="8037" y="11752"/>
                                    </a:cubicBezTo>
                                    <a:cubicBezTo>
                                      <a:pt x="8052" y="11752"/>
                                      <a:pt x="8067" y="11747"/>
                                      <a:pt x="8077" y="11737"/>
                                    </a:cubicBezTo>
                                    <a:cubicBezTo>
                                      <a:pt x="8236" y="11598"/>
                                      <a:pt x="8395" y="11558"/>
                                      <a:pt x="8514" y="11538"/>
                                    </a:cubicBezTo>
                                    <a:lnTo>
                                      <a:pt x="8514" y="11538"/>
                                    </a:lnTo>
                                    <a:cubicBezTo>
                                      <a:pt x="8455" y="11658"/>
                                      <a:pt x="8375" y="11757"/>
                                      <a:pt x="8276" y="11856"/>
                                    </a:cubicBezTo>
                                    <a:cubicBezTo>
                                      <a:pt x="8196" y="11936"/>
                                      <a:pt x="8097" y="11996"/>
                                      <a:pt x="7997" y="12035"/>
                                    </a:cubicBezTo>
                                    <a:cubicBezTo>
                                      <a:pt x="7878" y="12095"/>
                                      <a:pt x="7798" y="12095"/>
                                      <a:pt x="7758" y="12095"/>
                                    </a:cubicBezTo>
                                    <a:lnTo>
                                      <a:pt x="7739" y="12095"/>
                                    </a:lnTo>
                                    <a:cubicBezTo>
                                      <a:pt x="7719" y="11936"/>
                                      <a:pt x="7758" y="11737"/>
                                      <a:pt x="7838" y="11558"/>
                                    </a:cubicBezTo>
                                    <a:cubicBezTo>
                                      <a:pt x="7878" y="11498"/>
                                      <a:pt x="7918" y="11439"/>
                                      <a:pt x="7957" y="11379"/>
                                    </a:cubicBezTo>
                                    <a:close/>
                                    <a:moveTo>
                                      <a:pt x="1771" y="11936"/>
                                    </a:moveTo>
                                    <a:cubicBezTo>
                                      <a:pt x="1870" y="12075"/>
                                      <a:pt x="2069" y="12354"/>
                                      <a:pt x="2049" y="12632"/>
                                    </a:cubicBezTo>
                                    <a:lnTo>
                                      <a:pt x="2009" y="12632"/>
                                    </a:lnTo>
                                    <a:cubicBezTo>
                                      <a:pt x="1970" y="12632"/>
                                      <a:pt x="1890" y="12632"/>
                                      <a:pt x="1791" y="12612"/>
                                    </a:cubicBezTo>
                                    <a:cubicBezTo>
                                      <a:pt x="1691" y="12573"/>
                                      <a:pt x="1592" y="12513"/>
                                      <a:pt x="1492" y="12433"/>
                                    </a:cubicBezTo>
                                    <a:cubicBezTo>
                                      <a:pt x="1393" y="12374"/>
                                      <a:pt x="1313" y="12274"/>
                                      <a:pt x="1234" y="12175"/>
                                    </a:cubicBezTo>
                                    <a:lnTo>
                                      <a:pt x="1234" y="12155"/>
                                    </a:lnTo>
                                    <a:cubicBezTo>
                                      <a:pt x="1333" y="12155"/>
                                      <a:pt x="1512" y="12195"/>
                                      <a:pt x="1691" y="12314"/>
                                    </a:cubicBezTo>
                                    <a:lnTo>
                                      <a:pt x="1751" y="12314"/>
                                    </a:lnTo>
                                    <a:cubicBezTo>
                                      <a:pt x="1771" y="12294"/>
                                      <a:pt x="1791" y="12274"/>
                                      <a:pt x="1771" y="12234"/>
                                    </a:cubicBezTo>
                                    <a:cubicBezTo>
                                      <a:pt x="1771" y="12234"/>
                                      <a:pt x="1731" y="12095"/>
                                      <a:pt x="1751" y="11936"/>
                                    </a:cubicBezTo>
                                    <a:close/>
                                    <a:moveTo>
                                      <a:pt x="7619" y="11936"/>
                                    </a:moveTo>
                                    <a:cubicBezTo>
                                      <a:pt x="7639" y="12095"/>
                                      <a:pt x="7599" y="12234"/>
                                      <a:pt x="7599" y="12234"/>
                                    </a:cubicBezTo>
                                    <a:cubicBezTo>
                                      <a:pt x="7599" y="12274"/>
                                      <a:pt x="7599" y="12294"/>
                                      <a:pt x="7619" y="12294"/>
                                    </a:cubicBezTo>
                                    <a:cubicBezTo>
                                      <a:pt x="7629" y="12304"/>
                                      <a:pt x="7644" y="12309"/>
                                      <a:pt x="7659" y="12309"/>
                                    </a:cubicBezTo>
                                    <a:cubicBezTo>
                                      <a:pt x="7674" y="12309"/>
                                      <a:pt x="7689" y="12304"/>
                                      <a:pt x="7699" y="12294"/>
                                    </a:cubicBezTo>
                                    <a:cubicBezTo>
                                      <a:pt x="7878" y="12195"/>
                                      <a:pt x="8037" y="12155"/>
                                      <a:pt x="8136" y="12155"/>
                                    </a:cubicBezTo>
                                    <a:lnTo>
                                      <a:pt x="8156" y="12155"/>
                                    </a:lnTo>
                                    <a:cubicBezTo>
                                      <a:pt x="8057" y="12274"/>
                                      <a:pt x="7977" y="12374"/>
                                      <a:pt x="7878" y="12433"/>
                                    </a:cubicBezTo>
                                    <a:cubicBezTo>
                                      <a:pt x="7798" y="12513"/>
                                      <a:pt x="7699" y="12573"/>
                                      <a:pt x="7599" y="12592"/>
                                    </a:cubicBezTo>
                                    <a:cubicBezTo>
                                      <a:pt x="7500" y="12632"/>
                                      <a:pt x="7420" y="12632"/>
                                      <a:pt x="7361" y="12632"/>
                                    </a:cubicBezTo>
                                    <a:lnTo>
                                      <a:pt x="7321" y="12632"/>
                                    </a:lnTo>
                                    <a:cubicBezTo>
                                      <a:pt x="7321" y="12453"/>
                                      <a:pt x="7361" y="12274"/>
                                      <a:pt x="7480" y="12095"/>
                                    </a:cubicBezTo>
                                    <a:cubicBezTo>
                                      <a:pt x="7520" y="12035"/>
                                      <a:pt x="7559" y="11976"/>
                                      <a:pt x="7619" y="11936"/>
                                    </a:cubicBezTo>
                                    <a:close/>
                                    <a:moveTo>
                                      <a:pt x="2149" y="12433"/>
                                    </a:moveTo>
                                    <a:cubicBezTo>
                                      <a:pt x="2288" y="12533"/>
                                      <a:pt x="2527" y="12791"/>
                                      <a:pt x="2507" y="13110"/>
                                    </a:cubicBezTo>
                                    <a:lnTo>
                                      <a:pt x="2407" y="13110"/>
                                    </a:lnTo>
                                    <a:cubicBezTo>
                                      <a:pt x="2367" y="13110"/>
                                      <a:pt x="2328" y="13110"/>
                                      <a:pt x="2268" y="13090"/>
                                    </a:cubicBezTo>
                                    <a:cubicBezTo>
                                      <a:pt x="2069" y="13070"/>
                                      <a:pt x="1870" y="12951"/>
                                      <a:pt x="1671" y="12752"/>
                                    </a:cubicBezTo>
                                    <a:cubicBezTo>
                                      <a:pt x="1704" y="12745"/>
                                      <a:pt x="1746" y="12741"/>
                                      <a:pt x="1795" y="12741"/>
                                    </a:cubicBezTo>
                                    <a:cubicBezTo>
                                      <a:pt x="1892" y="12741"/>
                                      <a:pt x="2016" y="12758"/>
                                      <a:pt x="2149" y="12811"/>
                                    </a:cubicBezTo>
                                    <a:cubicBezTo>
                                      <a:pt x="2169" y="12811"/>
                                      <a:pt x="2188" y="12811"/>
                                      <a:pt x="2208" y="12791"/>
                                    </a:cubicBezTo>
                                    <a:cubicBezTo>
                                      <a:pt x="2228" y="12791"/>
                                      <a:pt x="2228" y="12752"/>
                                      <a:pt x="2228" y="12732"/>
                                    </a:cubicBezTo>
                                    <a:cubicBezTo>
                                      <a:pt x="2228" y="12732"/>
                                      <a:pt x="2169" y="12592"/>
                                      <a:pt x="2149" y="12433"/>
                                    </a:cubicBezTo>
                                    <a:close/>
                                    <a:moveTo>
                                      <a:pt x="7221" y="12433"/>
                                    </a:moveTo>
                                    <a:lnTo>
                                      <a:pt x="7221" y="12433"/>
                                    </a:lnTo>
                                    <a:cubicBezTo>
                                      <a:pt x="7201" y="12592"/>
                                      <a:pt x="7142" y="12732"/>
                                      <a:pt x="7142" y="12732"/>
                                    </a:cubicBezTo>
                                    <a:cubicBezTo>
                                      <a:pt x="7122" y="12752"/>
                                      <a:pt x="7142" y="12772"/>
                                      <a:pt x="7162" y="12791"/>
                                    </a:cubicBezTo>
                                    <a:cubicBezTo>
                                      <a:pt x="7162" y="12811"/>
                                      <a:pt x="7201" y="12811"/>
                                      <a:pt x="7221" y="12811"/>
                                    </a:cubicBezTo>
                                    <a:cubicBezTo>
                                      <a:pt x="7354" y="12758"/>
                                      <a:pt x="7469" y="12741"/>
                                      <a:pt x="7566" y="12741"/>
                                    </a:cubicBezTo>
                                    <a:cubicBezTo>
                                      <a:pt x="7615" y="12741"/>
                                      <a:pt x="7659" y="12745"/>
                                      <a:pt x="7699" y="12752"/>
                                    </a:cubicBezTo>
                                    <a:cubicBezTo>
                                      <a:pt x="7440" y="12990"/>
                                      <a:pt x="7221" y="13070"/>
                                      <a:pt x="7102" y="13110"/>
                                    </a:cubicBezTo>
                                    <a:lnTo>
                                      <a:pt x="6863" y="13110"/>
                                    </a:lnTo>
                                    <a:cubicBezTo>
                                      <a:pt x="6843" y="12931"/>
                                      <a:pt x="6923" y="12752"/>
                                      <a:pt x="7062" y="12573"/>
                                    </a:cubicBezTo>
                                    <a:cubicBezTo>
                                      <a:pt x="7102" y="12533"/>
                                      <a:pt x="7162" y="12473"/>
                                      <a:pt x="7221" y="12433"/>
                                    </a:cubicBezTo>
                                    <a:close/>
                                    <a:moveTo>
                                      <a:pt x="4160" y="13918"/>
                                    </a:moveTo>
                                    <a:lnTo>
                                      <a:pt x="4160" y="13918"/>
                                    </a:lnTo>
                                    <a:cubicBezTo>
                                      <a:pt x="4166" y="13921"/>
                                      <a:pt x="4172" y="13923"/>
                                      <a:pt x="4178" y="13925"/>
                                    </a:cubicBezTo>
                                    <a:cubicBezTo>
                                      <a:pt x="4172" y="13923"/>
                                      <a:pt x="4166" y="13920"/>
                                      <a:pt x="4160" y="13918"/>
                                    </a:cubicBezTo>
                                    <a:close/>
                                    <a:moveTo>
                                      <a:pt x="4675" y="0"/>
                                    </a:moveTo>
                                    <a:cubicBezTo>
                                      <a:pt x="4635" y="0"/>
                                      <a:pt x="4595" y="40"/>
                                      <a:pt x="4576" y="100"/>
                                    </a:cubicBezTo>
                                    <a:lnTo>
                                      <a:pt x="4496" y="657"/>
                                    </a:lnTo>
                                    <a:cubicBezTo>
                                      <a:pt x="4496" y="577"/>
                                      <a:pt x="4456" y="518"/>
                                      <a:pt x="4436" y="438"/>
                                    </a:cubicBezTo>
                                    <a:cubicBezTo>
                                      <a:pt x="4377" y="219"/>
                                      <a:pt x="4257" y="100"/>
                                      <a:pt x="4257" y="100"/>
                                    </a:cubicBezTo>
                                    <a:cubicBezTo>
                                      <a:pt x="4245" y="75"/>
                                      <a:pt x="4218" y="58"/>
                                      <a:pt x="4189" y="58"/>
                                    </a:cubicBezTo>
                                    <a:cubicBezTo>
                                      <a:pt x="4171" y="58"/>
                                      <a:pt x="4153" y="65"/>
                                      <a:pt x="4138" y="80"/>
                                    </a:cubicBezTo>
                                    <a:cubicBezTo>
                                      <a:pt x="4098" y="100"/>
                                      <a:pt x="4078" y="140"/>
                                      <a:pt x="4098" y="199"/>
                                    </a:cubicBezTo>
                                    <a:cubicBezTo>
                                      <a:pt x="4178" y="418"/>
                                      <a:pt x="4158" y="518"/>
                                      <a:pt x="4138" y="657"/>
                                    </a:cubicBezTo>
                                    <a:cubicBezTo>
                                      <a:pt x="4138" y="677"/>
                                      <a:pt x="4138" y="697"/>
                                      <a:pt x="4138" y="736"/>
                                    </a:cubicBezTo>
                                    <a:lnTo>
                                      <a:pt x="3840" y="239"/>
                                    </a:lnTo>
                                    <a:cubicBezTo>
                                      <a:pt x="3825" y="210"/>
                                      <a:pt x="3789" y="192"/>
                                      <a:pt x="3755" y="192"/>
                                    </a:cubicBezTo>
                                    <a:cubicBezTo>
                                      <a:pt x="3743" y="192"/>
                                      <a:pt x="3731" y="194"/>
                                      <a:pt x="3720" y="199"/>
                                    </a:cubicBezTo>
                                    <a:cubicBezTo>
                                      <a:pt x="3680" y="219"/>
                                      <a:pt x="3641" y="279"/>
                                      <a:pt x="3661" y="319"/>
                                    </a:cubicBezTo>
                                    <a:lnTo>
                                      <a:pt x="3800" y="856"/>
                                    </a:lnTo>
                                    <a:cubicBezTo>
                                      <a:pt x="3760" y="816"/>
                                      <a:pt x="3720" y="756"/>
                                      <a:pt x="3661" y="697"/>
                                    </a:cubicBezTo>
                                    <a:cubicBezTo>
                                      <a:pt x="3501" y="518"/>
                                      <a:pt x="3362" y="458"/>
                                      <a:pt x="3362" y="438"/>
                                    </a:cubicBezTo>
                                    <a:cubicBezTo>
                                      <a:pt x="3351" y="433"/>
                                      <a:pt x="3339" y="430"/>
                                      <a:pt x="3327" y="430"/>
                                    </a:cubicBezTo>
                                    <a:cubicBezTo>
                                      <a:pt x="3293" y="430"/>
                                      <a:pt x="3257" y="449"/>
                                      <a:pt x="3243" y="478"/>
                                    </a:cubicBezTo>
                                    <a:cubicBezTo>
                                      <a:pt x="3203" y="518"/>
                                      <a:pt x="3203" y="557"/>
                                      <a:pt x="3243" y="597"/>
                                    </a:cubicBezTo>
                                    <a:cubicBezTo>
                                      <a:pt x="3402" y="776"/>
                                      <a:pt x="3422" y="876"/>
                                      <a:pt x="3462" y="1015"/>
                                    </a:cubicBezTo>
                                    <a:cubicBezTo>
                                      <a:pt x="3481" y="1035"/>
                                      <a:pt x="3481" y="1055"/>
                                      <a:pt x="3481" y="1075"/>
                                    </a:cubicBezTo>
                                    <a:lnTo>
                                      <a:pt x="3024" y="736"/>
                                    </a:lnTo>
                                    <a:cubicBezTo>
                                      <a:pt x="3007" y="728"/>
                                      <a:pt x="2991" y="723"/>
                                      <a:pt x="2975" y="723"/>
                                    </a:cubicBezTo>
                                    <a:cubicBezTo>
                                      <a:pt x="2951" y="723"/>
                                      <a:pt x="2928" y="733"/>
                                      <a:pt x="2905" y="756"/>
                                    </a:cubicBezTo>
                                    <a:cubicBezTo>
                                      <a:pt x="2865" y="796"/>
                                      <a:pt x="2865" y="836"/>
                                      <a:pt x="2885" y="876"/>
                                    </a:cubicBezTo>
                                    <a:lnTo>
                                      <a:pt x="3223" y="1333"/>
                                    </a:lnTo>
                                    <a:cubicBezTo>
                                      <a:pt x="3183" y="1313"/>
                                      <a:pt x="3104" y="1274"/>
                                      <a:pt x="3024" y="1234"/>
                                    </a:cubicBezTo>
                                    <a:cubicBezTo>
                                      <a:pt x="2825" y="1134"/>
                                      <a:pt x="2666" y="1114"/>
                                      <a:pt x="2666" y="1114"/>
                                    </a:cubicBezTo>
                                    <a:cubicBezTo>
                                      <a:pt x="2606" y="1114"/>
                                      <a:pt x="2566" y="1154"/>
                                      <a:pt x="2547" y="1194"/>
                                    </a:cubicBezTo>
                                    <a:cubicBezTo>
                                      <a:pt x="2547" y="1234"/>
                                      <a:pt x="2566" y="1293"/>
                                      <a:pt x="2606" y="1313"/>
                                    </a:cubicBezTo>
                                    <a:cubicBezTo>
                                      <a:pt x="2825" y="1413"/>
                                      <a:pt x="2885" y="1492"/>
                                      <a:pt x="2984" y="1592"/>
                                    </a:cubicBezTo>
                                    <a:cubicBezTo>
                                      <a:pt x="2984" y="1612"/>
                                      <a:pt x="3004" y="1632"/>
                                      <a:pt x="3024" y="1651"/>
                                    </a:cubicBezTo>
                                    <a:lnTo>
                                      <a:pt x="2467" y="1512"/>
                                    </a:lnTo>
                                    <a:cubicBezTo>
                                      <a:pt x="2460" y="1509"/>
                                      <a:pt x="2452" y="1507"/>
                                      <a:pt x="2443" y="1507"/>
                                    </a:cubicBezTo>
                                    <a:cubicBezTo>
                                      <a:pt x="2407" y="1507"/>
                                      <a:pt x="2364" y="1539"/>
                                      <a:pt x="2348" y="1572"/>
                                    </a:cubicBezTo>
                                    <a:cubicBezTo>
                                      <a:pt x="2328" y="1612"/>
                                      <a:pt x="2348" y="1671"/>
                                      <a:pt x="2387" y="1691"/>
                                    </a:cubicBezTo>
                                    <a:lnTo>
                                      <a:pt x="2885" y="1990"/>
                                    </a:lnTo>
                                    <a:cubicBezTo>
                                      <a:pt x="2825" y="1970"/>
                                      <a:pt x="2745" y="1970"/>
                                      <a:pt x="2666" y="1970"/>
                                    </a:cubicBezTo>
                                    <a:cubicBezTo>
                                      <a:pt x="2618" y="1966"/>
                                      <a:pt x="2574" y="1964"/>
                                      <a:pt x="2535" y="1964"/>
                                    </a:cubicBezTo>
                                    <a:cubicBezTo>
                                      <a:pt x="2376" y="1964"/>
                                      <a:pt x="2284" y="1990"/>
                                      <a:pt x="2268" y="1990"/>
                                    </a:cubicBezTo>
                                    <a:cubicBezTo>
                                      <a:pt x="2228" y="2010"/>
                                      <a:pt x="2208" y="2049"/>
                                      <a:pt x="2208" y="2109"/>
                                    </a:cubicBezTo>
                                    <a:cubicBezTo>
                                      <a:pt x="2208" y="2149"/>
                                      <a:pt x="2248" y="2189"/>
                                      <a:pt x="2308" y="2189"/>
                                    </a:cubicBezTo>
                                    <a:cubicBezTo>
                                      <a:pt x="2547" y="2208"/>
                                      <a:pt x="2626" y="2248"/>
                                      <a:pt x="2745" y="2308"/>
                                    </a:cubicBezTo>
                                    <a:cubicBezTo>
                                      <a:pt x="2765" y="2328"/>
                                      <a:pt x="2785" y="2348"/>
                                      <a:pt x="2805" y="2348"/>
                                    </a:cubicBezTo>
                                    <a:lnTo>
                                      <a:pt x="2248" y="2427"/>
                                    </a:lnTo>
                                    <a:cubicBezTo>
                                      <a:pt x="2208" y="2447"/>
                                      <a:pt x="2169" y="2487"/>
                                      <a:pt x="2169" y="2527"/>
                                    </a:cubicBezTo>
                                    <a:cubicBezTo>
                                      <a:pt x="2169" y="2586"/>
                                      <a:pt x="2208" y="2626"/>
                                      <a:pt x="2248" y="2626"/>
                                    </a:cubicBezTo>
                                    <a:lnTo>
                                      <a:pt x="2825" y="2706"/>
                                    </a:lnTo>
                                    <a:cubicBezTo>
                                      <a:pt x="2745" y="2726"/>
                                      <a:pt x="2686" y="2746"/>
                                      <a:pt x="2586" y="2785"/>
                                    </a:cubicBezTo>
                                    <a:cubicBezTo>
                                      <a:pt x="2387" y="2845"/>
                                      <a:pt x="2268" y="2964"/>
                                      <a:pt x="2248" y="2964"/>
                                    </a:cubicBezTo>
                                    <a:cubicBezTo>
                                      <a:pt x="2228" y="2984"/>
                                      <a:pt x="2208" y="3044"/>
                                      <a:pt x="2228" y="3084"/>
                                    </a:cubicBezTo>
                                    <a:cubicBezTo>
                                      <a:pt x="2257" y="3113"/>
                                      <a:pt x="2286" y="3131"/>
                                      <a:pt x="2316" y="3131"/>
                                    </a:cubicBezTo>
                                    <a:cubicBezTo>
                                      <a:pt x="2326" y="3131"/>
                                      <a:pt x="2337" y="3129"/>
                                      <a:pt x="2348" y="3124"/>
                                    </a:cubicBezTo>
                                    <a:cubicBezTo>
                                      <a:pt x="2487" y="3084"/>
                                      <a:pt x="2586" y="3064"/>
                                      <a:pt x="2646" y="3064"/>
                                    </a:cubicBezTo>
                                    <a:cubicBezTo>
                                      <a:pt x="2527" y="3163"/>
                                      <a:pt x="2447" y="3263"/>
                                      <a:pt x="2407" y="3303"/>
                                    </a:cubicBezTo>
                                    <a:cubicBezTo>
                                      <a:pt x="2387" y="3342"/>
                                      <a:pt x="2367" y="3362"/>
                                      <a:pt x="2348" y="3402"/>
                                    </a:cubicBezTo>
                                    <a:cubicBezTo>
                                      <a:pt x="2328" y="3382"/>
                                      <a:pt x="2308" y="3362"/>
                                      <a:pt x="2308" y="3362"/>
                                    </a:cubicBezTo>
                                    <a:cubicBezTo>
                                      <a:pt x="2268" y="3362"/>
                                      <a:pt x="2248" y="3362"/>
                                      <a:pt x="2228" y="3382"/>
                                    </a:cubicBezTo>
                                    <a:cubicBezTo>
                                      <a:pt x="2069" y="3501"/>
                                      <a:pt x="1930" y="3641"/>
                                      <a:pt x="1850" y="3780"/>
                                    </a:cubicBezTo>
                                    <a:cubicBezTo>
                                      <a:pt x="1810" y="3820"/>
                                      <a:pt x="1791" y="3860"/>
                                      <a:pt x="1771" y="3899"/>
                                    </a:cubicBezTo>
                                    <a:cubicBezTo>
                                      <a:pt x="1771" y="3879"/>
                                      <a:pt x="1751" y="3879"/>
                                      <a:pt x="1731" y="3860"/>
                                    </a:cubicBezTo>
                                    <a:cubicBezTo>
                                      <a:pt x="1691" y="3860"/>
                                      <a:pt x="1671" y="3879"/>
                                      <a:pt x="1651" y="3899"/>
                                    </a:cubicBezTo>
                                    <a:cubicBezTo>
                                      <a:pt x="1512" y="4039"/>
                                      <a:pt x="1413" y="4198"/>
                                      <a:pt x="1333" y="4337"/>
                                    </a:cubicBezTo>
                                    <a:cubicBezTo>
                                      <a:pt x="1333" y="4377"/>
                                      <a:pt x="1313" y="4417"/>
                                      <a:pt x="1293" y="4476"/>
                                    </a:cubicBezTo>
                                    <a:cubicBezTo>
                                      <a:pt x="1273" y="4456"/>
                                      <a:pt x="1254" y="4456"/>
                                      <a:pt x="1234" y="4436"/>
                                    </a:cubicBezTo>
                                    <a:cubicBezTo>
                                      <a:pt x="1214" y="4436"/>
                                      <a:pt x="1194" y="4456"/>
                                      <a:pt x="1174" y="4476"/>
                                    </a:cubicBezTo>
                                    <a:cubicBezTo>
                                      <a:pt x="1055" y="4635"/>
                                      <a:pt x="975" y="4795"/>
                                      <a:pt x="915" y="4954"/>
                                    </a:cubicBezTo>
                                    <a:cubicBezTo>
                                      <a:pt x="915" y="5013"/>
                                      <a:pt x="895" y="5053"/>
                                      <a:pt x="895" y="5093"/>
                                    </a:cubicBezTo>
                                    <a:cubicBezTo>
                                      <a:pt x="876" y="5073"/>
                                      <a:pt x="856" y="5053"/>
                                      <a:pt x="836" y="5053"/>
                                    </a:cubicBezTo>
                                    <a:cubicBezTo>
                                      <a:pt x="796" y="5073"/>
                                      <a:pt x="776" y="5073"/>
                                      <a:pt x="756" y="5113"/>
                                    </a:cubicBezTo>
                                    <a:cubicBezTo>
                                      <a:pt x="677" y="5272"/>
                                      <a:pt x="617" y="5451"/>
                                      <a:pt x="597" y="5630"/>
                                    </a:cubicBezTo>
                                    <a:cubicBezTo>
                                      <a:pt x="577" y="5670"/>
                                      <a:pt x="577" y="5710"/>
                                      <a:pt x="577" y="5749"/>
                                    </a:cubicBezTo>
                                    <a:cubicBezTo>
                                      <a:pt x="557" y="5729"/>
                                      <a:pt x="537" y="5729"/>
                                      <a:pt x="517" y="5729"/>
                                    </a:cubicBezTo>
                                    <a:cubicBezTo>
                                      <a:pt x="478" y="5729"/>
                                      <a:pt x="458" y="5749"/>
                                      <a:pt x="458" y="5789"/>
                                    </a:cubicBezTo>
                                    <a:cubicBezTo>
                                      <a:pt x="378" y="5968"/>
                                      <a:pt x="338" y="6147"/>
                                      <a:pt x="338" y="6306"/>
                                    </a:cubicBezTo>
                                    <a:cubicBezTo>
                                      <a:pt x="338" y="6346"/>
                                      <a:pt x="338" y="6406"/>
                                      <a:pt x="338" y="6446"/>
                                    </a:cubicBezTo>
                                    <a:cubicBezTo>
                                      <a:pt x="319" y="6426"/>
                                      <a:pt x="299" y="6426"/>
                                      <a:pt x="279" y="6426"/>
                                    </a:cubicBezTo>
                                    <a:cubicBezTo>
                                      <a:pt x="259" y="6446"/>
                                      <a:pt x="239" y="6466"/>
                                      <a:pt x="239" y="6485"/>
                                    </a:cubicBezTo>
                                    <a:cubicBezTo>
                                      <a:pt x="179" y="6684"/>
                                      <a:pt x="179" y="6863"/>
                                      <a:pt x="179" y="7042"/>
                                    </a:cubicBezTo>
                                    <a:cubicBezTo>
                                      <a:pt x="199" y="7062"/>
                                      <a:pt x="199" y="7102"/>
                                      <a:pt x="199" y="7122"/>
                                    </a:cubicBezTo>
                                    <a:lnTo>
                                      <a:pt x="159" y="7122"/>
                                    </a:lnTo>
                                    <a:cubicBezTo>
                                      <a:pt x="140" y="7142"/>
                                      <a:pt x="120" y="7162"/>
                                      <a:pt x="120" y="7182"/>
                                    </a:cubicBezTo>
                                    <a:cubicBezTo>
                                      <a:pt x="80" y="7381"/>
                                      <a:pt x="80" y="7580"/>
                                      <a:pt x="100" y="7739"/>
                                    </a:cubicBezTo>
                                    <a:cubicBezTo>
                                      <a:pt x="120" y="7778"/>
                                      <a:pt x="120" y="7818"/>
                                      <a:pt x="140" y="7858"/>
                                    </a:cubicBezTo>
                                    <a:cubicBezTo>
                                      <a:pt x="120" y="7858"/>
                                      <a:pt x="100" y="7858"/>
                                      <a:pt x="100" y="7878"/>
                                    </a:cubicBezTo>
                                    <a:cubicBezTo>
                                      <a:pt x="80" y="7878"/>
                                      <a:pt x="60" y="7898"/>
                                      <a:pt x="60" y="7938"/>
                                    </a:cubicBezTo>
                                    <a:cubicBezTo>
                                      <a:pt x="20" y="8137"/>
                                      <a:pt x="40" y="8316"/>
                                      <a:pt x="80" y="8475"/>
                                    </a:cubicBezTo>
                                    <a:cubicBezTo>
                                      <a:pt x="80" y="8514"/>
                                      <a:pt x="80" y="8554"/>
                                      <a:pt x="100" y="8574"/>
                                    </a:cubicBezTo>
                                    <a:cubicBezTo>
                                      <a:pt x="80" y="8574"/>
                                      <a:pt x="60" y="8594"/>
                                      <a:pt x="40" y="8594"/>
                                    </a:cubicBezTo>
                                    <a:cubicBezTo>
                                      <a:pt x="20" y="8614"/>
                                      <a:pt x="0" y="8634"/>
                                      <a:pt x="0" y="8654"/>
                                    </a:cubicBezTo>
                                    <a:cubicBezTo>
                                      <a:pt x="0" y="8853"/>
                                      <a:pt x="40" y="9052"/>
                                      <a:pt x="80" y="9211"/>
                                    </a:cubicBezTo>
                                    <a:cubicBezTo>
                                      <a:pt x="100" y="9250"/>
                                      <a:pt x="120" y="9290"/>
                                      <a:pt x="140" y="9330"/>
                                    </a:cubicBezTo>
                                    <a:lnTo>
                                      <a:pt x="120" y="9330"/>
                                    </a:lnTo>
                                    <a:cubicBezTo>
                                      <a:pt x="100" y="9330"/>
                                      <a:pt x="80" y="9330"/>
                                      <a:pt x="60" y="9350"/>
                                    </a:cubicBezTo>
                                    <a:cubicBezTo>
                                      <a:pt x="40" y="9370"/>
                                      <a:pt x="20" y="9390"/>
                                      <a:pt x="20" y="9430"/>
                                    </a:cubicBezTo>
                                    <a:cubicBezTo>
                                      <a:pt x="60" y="9628"/>
                                      <a:pt x="120" y="9788"/>
                                      <a:pt x="199" y="9947"/>
                                    </a:cubicBezTo>
                                    <a:cubicBezTo>
                                      <a:pt x="219" y="9967"/>
                                      <a:pt x="239" y="10006"/>
                                      <a:pt x="239" y="10026"/>
                                    </a:cubicBezTo>
                                    <a:cubicBezTo>
                                      <a:pt x="239" y="10026"/>
                                      <a:pt x="219" y="10026"/>
                                      <a:pt x="219" y="10046"/>
                                    </a:cubicBezTo>
                                    <a:cubicBezTo>
                                      <a:pt x="199" y="10066"/>
                                      <a:pt x="179" y="10086"/>
                                      <a:pt x="199" y="10126"/>
                                    </a:cubicBezTo>
                                    <a:cubicBezTo>
                                      <a:pt x="239" y="10305"/>
                                      <a:pt x="299" y="10484"/>
                                      <a:pt x="398" y="10623"/>
                                    </a:cubicBezTo>
                                    <a:cubicBezTo>
                                      <a:pt x="418" y="10663"/>
                                      <a:pt x="438" y="10683"/>
                                      <a:pt x="458" y="10723"/>
                                    </a:cubicBezTo>
                                    <a:cubicBezTo>
                                      <a:pt x="438" y="10723"/>
                                      <a:pt x="418" y="10742"/>
                                      <a:pt x="418" y="10762"/>
                                    </a:cubicBezTo>
                                    <a:cubicBezTo>
                                      <a:pt x="398" y="10782"/>
                                      <a:pt x="398" y="10802"/>
                                      <a:pt x="398" y="10822"/>
                                    </a:cubicBezTo>
                                    <a:cubicBezTo>
                                      <a:pt x="478" y="11021"/>
                                      <a:pt x="557" y="11180"/>
                                      <a:pt x="657" y="11319"/>
                                    </a:cubicBezTo>
                                    <a:cubicBezTo>
                                      <a:pt x="697" y="11339"/>
                                      <a:pt x="716" y="11359"/>
                                      <a:pt x="736" y="11399"/>
                                    </a:cubicBezTo>
                                    <a:cubicBezTo>
                                      <a:pt x="716" y="11399"/>
                                      <a:pt x="697" y="11419"/>
                                      <a:pt x="697" y="11439"/>
                                    </a:cubicBezTo>
                                    <a:cubicBezTo>
                                      <a:pt x="677" y="11459"/>
                                      <a:pt x="677" y="11478"/>
                                      <a:pt x="697" y="11498"/>
                                    </a:cubicBezTo>
                                    <a:cubicBezTo>
                                      <a:pt x="776" y="11677"/>
                                      <a:pt x="895" y="11837"/>
                                      <a:pt x="1015" y="11956"/>
                                    </a:cubicBezTo>
                                    <a:cubicBezTo>
                                      <a:pt x="1035" y="11976"/>
                                      <a:pt x="1055" y="11996"/>
                                      <a:pt x="1094" y="12016"/>
                                    </a:cubicBezTo>
                                    <a:cubicBezTo>
                                      <a:pt x="1074" y="12035"/>
                                      <a:pt x="1055" y="12035"/>
                                      <a:pt x="1055" y="12055"/>
                                    </a:cubicBezTo>
                                    <a:cubicBezTo>
                                      <a:pt x="1035" y="12095"/>
                                      <a:pt x="1035" y="12115"/>
                                      <a:pt x="1055" y="12135"/>
                                    </a:cubicBezTo>
                                    <a:cubicBezTo>
                                      <a:pt x="1154" y="12314"/>
                                      <a:pt x="1293" y="12453"/>
                                      <a:pt x="1413" y="12553"/>
                                    </a:cubicBezTo>
                                    <a:cubicBezTo>
                                      <a:pt x="1452" y="12573"/>
                                      <a:pt x="1492" y="12612"/>
                                      <a:pt x="1552" y="12632"/>
                                    </a:cubicBezTo>
                                    <a:lnTo>
                                      <a:pt x="1532" y="12632"/>
                                    </a:lnTo>
                                    <a:cubicBezTo>
                                      <a:pt x="1492" y="12652"/>
                                      <a:pt x="1472" y="12672"/>
                                      <a:pt x="1472" y="12692"/>
                                    </a:cubicBezTo>
                                    <a:cubicBezTo>
                                      <a:pt x="1472" y="12712"/>
                                      <a:pt x="1472" y="12752"/>
                                      <a:pt x="1492" y="12772"/>
                                    </a:cubicBezTo>
                                    <a:cubicBezTo>
                                      <a:pt x="1631" y="12911"/>
                                      <a:pt x="1771" y="13030"/>
                                      <a:pt x="1910" y="13110"/>
                                    </a:cubicBezTo>
                                    <a:cubicBezTo>
                                      <a:pt x="2029" y="13169"/>
                                      <a:pt x="2149" y="13209"/>
                                      <a:pt x="2268" y="13229"/>
                                    </a:cubicBezTo>
                                    <a:cubicBezTo>
                                      <a:pt x="2318" y="13239"/>
                                      <a:pt x="2367" y="13244"/>
                                      <a:pt x="2415" y="13244"/>
                                    </a:cubicBezTo>
                                    <a:cubicBezTo>
                                      <a:pt x="2462" y="13244"/>
                                      <a:pt x="2507" y="13239"/>
                                      <a:pt x="2547" y="13229"/>
                                    </a:cubicBezTo>
                                    <a:lnTo>
                                      <a:pt x="2566" y="13229"/>
                                    </a:lnTo>
                                    <a:cubicBezTo>
                                      <a:pt x="2805" y="13408"/>
                                      <a:pt x="3084" y="13547"/>
                                      <a:pt x="3342" y="13667"/>
                                    </a:cubicBezTo>
                                    <a:cubicBezTo>
                                      <a:pt x="3561" y="13766"/>
                                      <a:pt x="3800" y="13846"/>
                                      <a:pt x="4038" y="13886"/>
                                    </a:cubicBezTo>
                                    <a:cubicBezTo>
                                      <a:pt x="4073" y="13903"/>
                                      <a:pt x="4122" y="13905"/>
                                      <a:pt x="4160" y="13918"/>
                                    </a:cubicBezTo>
                                    <a:lnTo>
                                      <a:pt x="4160" y="13918"/>
                                    </a:lnTo>
                                    <a:cubicBezTo>
                                      <a:pt x="4067" y="13878"/>
                                      <a:pt x="3974" y="13821"/>
                                      <a:pt x="3899" y="13746"/>
                                    </a:cubicBezTo>
                                    <a:cubicBezTo>
                                      <a:pt x="3899" y="13726"/>
                                      <a:pt x="3879" y="13706"/>
                                      <a:pt x="3879" y="13706"/>
                                    </a:cubicBezTo>
                                    <a:cubicBezTo>
                                      <a:pt x="3720" y="13647"/>
                                      <a:pt x="3561" y="13607"/>
                                      <a:pt x="3402" y="13527"/>
                                    </a:cubicBezTo>
                                    <a:cubicBezTo>
                                      <a:pt x="3143" y="13428"/>
                                      <a:pt x="2885" y="13289"/>
                                      <a:pt x="2666" y="13110"/>
                                    </a:cubicBezTo>
                                    <a:cubicBezTo>
                                      <a:pt x="2666" y="13030"/>
                                      <a:pt x="2646" y="12951"/>
                                      <a:pt x="2626" y="12871"/>
                                    </a:cubicBezTo>
                                    <a:lnTo>
                                      <a:pt x="2626" y="12871"/>
                                    </a:lnTo>
                                    <a:cubicBezTo>
                                      <a:pt x="2805" y="13010"/>
                                      <a:pt x="2964" y="13110"/>
                                      <a:pt x="3123" y="13209"/>
                                    </a:cubicBezTo>
                                    <a:cubicBezTo>
                                      <a:pt x="3342" y="13329"/>
                                      <a:pt x="3581" y="13428"/>
                                      <a:pt x="3820" y="13508"/>
                                    </a:cubicBezTo>
                                    <a:cubicBezTo>
                                      <a:pt x="3820" y="13488"/>
                                      <a:pt x="3820" y="13468"/>
                                      <a:pt x="3820" y="13468"/>
                                    </a:cubicBezTo>
                                    <a:cubicBezTo>
                                      <a:pt x="3840" y="13428"/>
                                      <a:pt x="3840" y="13388"/>
                                      <a:pt x="3859" y="13348"/>
                                    </a:cubicBezTo>
                                    <a:cubicBezTo>
                                      <a:pt x="3641" y="13289"/>
                                      <a:pt x="3422" y="13189"/>
                                      <a:pt x="3203" y="13070"/>
                                    </a:cubicBezTo>
                                    <a:cubicBezTo>
                                      <a:pt x="2745" y="12811"/>
                                      <a:pt x="2348" y="12453"/>
                                      <a:pt x="1990" y="11996"/>
                                    </a:cubicBezTo>
                                    <a:cubicBezTo>
                                      <a:pt x="1870" y="11837"/>
                                      <a:pt x="1751" y="11658"/>
                                      <a:pt x="1651" y="11478"/>
                                    </a:cubicBezTo>
                                    <a:cubicBezTo>
                                      <a:pt x="1930" y="11359"/>
                                      <a:pt x="2527" y="11081"/>
                                      <a:pt x="3044" y="10822"/>
                                    </a:cubicBezTo>
                                    <a:cubicBezTo>
                                      <a:pt x="3064" y="10842"/>
                                      <a:pt x="3064" y="10862"/>
                                      <a:pt x="3064" y="10882"/>
                                    </a:cubicBezTo>
                                    <a:cubicBezTo>
                                      <a:pt x="3123" y="10981"/>
                                      <a:pt x="3243" y="11021"/>
                                      <a:pt x="3322" y="11041"/>
                                    </a:cubicBezTo>
                                    <a:lnTo>
                                      <a:pt x="3402" y="11041"/>
                                    </a:lnTo>
                                    <a:cubicBezTo>
                                      <a:pt x="3442" y="11140"/>
                                      <a:pt x="3521" y="11200"/>
                                      <a:pt x="3621" y="11240"/>
                                    </a:cubicBezTo>
                                    <a:cubicBezTo>
                                      <a:pt x="3661" y="11240"/>
                                      <a:pt x="3700" y="11260"/>
                                      <a:pt x="3740" y="11260"/>
                                    </a:cubicBezTo>
                                    <a:cubicBezTo>
                                      <a:pt x="3760" y="11299"/>
                                      <a:pt x="3800" y="11339"/>
                                      <a:pt x="3840" y="11379"/>
                                    </a:cubicBezTo>
                                    <a:cubicBezTo>
                                      <a:pt x="3903" y="11417"/>
                                      <a:pt x="3982" y="11431"/>
                                      <a:pt x="4051" y="11431"/>
                                    </a:cubicBezTo>
                                    <a:cubicBezTo>
                                      <a:pt x="4092" y="11431"/>
                                      <a:pt x="4129" y="11426"/>
                                      <a:pt x="4158" y="11419"/>
                                    </a:cubicBezTo>
                                    <a:cubicBezTo>
                                      <a:pt x="4218" y="11478"/>
                                      <a:pt x="4277" y="11518"/>
                                      <a:pt x="4337" y="11538"/>
                                    </a:cubicBezTo>
                                    <a:lnTo>
                                      <a:pt x="4397" y="11538"/>
                                    </a:lnTo>
                                    <a:cubicBezTo>
                                      <a:pt x="4456" y="11538"/>
                                      <a:pt x="4516" y="11518"/>
                                      <a:pt x="4556" y="11498"/>
                                    </a:cubicBezTo>
                                    <a:lnTo>
                                      <a:pt x="4556" y="12453"/>
                                    </a:lnTo>
                                    <a:cubicBezTo>
                                      <a:pt x="4556" y="12513"/>
                                      <a:pt x="4615" y="12573"/>
                                      <a:pt x="4695" y="12573"/>
                                    </a:cubicBezTo>
                                    <a:cubicBezTo>
                                      <a:pt x="4755" y="12573"/>
                                      <a:pt x="4814" y="12513"/>
                                      <a:pt x="4814" y="12453"/>
                                    </a:cubicBezTo>
                                    <a:lnTo>
                                      <a:pt x="4814" y="11459"/>
                                    </a:lnTo>
                                    <a:cubicBezTo>
                                      <a:pt x="4849" y="11464"/>
                                      <a:pt x="4883" y="11467"/>
                                      <a:pt x="4914" y="11467"/>
                                    </a:cubicBezTo>
                                    <a:cubicBezTo>
                                      <a:pt x="4990" y="11467"/>
                                      <a:pt x="5056" y="11453"/>
                                      <a:pt x="5113" y="11439"/>
                                    </a:cubicBezTo>
                                    <a:cubicBezTo>
                                      <a:pt x="5172" y="11419"/>
                                      <a:pt x="5212" y="11379"/>
                                      <a:pt x="5232" y="11359"/>
                                    </a:cubicBezTo>
                                    <a:cubicBezTo>
                                      <a:pt x="5259" y="11364"/>
                                      <a:pt x="5286" y="11366"/>
                                      <a:pt x="5312" y="11366"/>
                                    </a:cubicBezTo>
                                    <a:cubicBezTo>
                                      <a:pt x="5403" y="11366"/>
                                      <a:pt x="5489" y="11337"/>
                                      <a:pt x="5550" y="11260"/>
                                    </a:cubicBezTo>
                                    <a:cubicBezTo>
                                      <a:pt x="5590" y="11240"/>
                                      <a:pt x="5610" y="11200"/>
                                      <a:pt x="5610" y="11180"/>
                                    </a:cubicBezTo>
                                    <a:cubicBezTo>
                                      <a:pt x="5789" y="11180"/>
                                      <a:pt x="5888" y="11120"/>
                                      <a:pt x="5948" y="11061"/>
                                    </a:cubicBezTo>
                                    <a:cubicBezTo>
                                      <a:pt x="5968" y="11021"/>
                                      <a:pt x="5988" y="10981"/>
                                      <a:pt x="6008" y="10961"/>
                                    </a:cubicBezTo>
                                    <a:cubicBezTo>
                                      <a:pt x="6107" y="10941"/>
                                      <a:pt x="6187" y="10921"/>
                                      <a:pt x="6247" y="10862"/>
                                    </a:cubicBezTo>
                                    <a:cubicBezTo>
                                      <a:pt x="6286" y="10822"/>
                                      <a:pt x="6306" y="10802"/>
                                      <a:pt x="6326" y="10762"/>
                                    </a:cubicBezTo>
                                    <a:cubicBezTo>
                                      <a:pt x="6744" y="11101"/>
                                      <a:pt x="7400" y="11379"/>
                                      <a:pt x="7719" y="11498"/>
                                    </a:cubicBezTo>
                                    <a:cubicBezTo>
                                      <a:pt x="7619" y="11677"/>
                                      <a:pt x="7500" y="11837"/>
                                      <a:pt x="7380" y="11996"/>
                                    </a:cubicBezTo>
                                    <a:cubicBezTo>
                                      <a:pt x="7042" y="12453"/>
                                      <a:pt x="6625" y="12811"/>
                                      <a:pt x="6167" y="13070"/>
                                    </a:cubicBezTo>
                                    <a:cubicBezTo>
                                      <a:pt x="5948" y="13189"/>
                                      <a:pt x="5729" y="13289"/>
                                      <a:pt x="5511" y="13348"/>
                                    </a:cubicBezTo>
                                    <a:cubicBezTo>
                                      <a:pt x="5530" y="13388"/>
                                      <a:pt x="5550" y="13408"/>
                                      <a:pt x="5550" y="13468"/>
                                    </a:cubicBezTo>
                                    <a:cubicBezTo>
                                      <a:pt x="5550" y="13468"/>
                                      <a:pt x="5550" y="13488"/>
                                      <a:pt x="5550" y="13508"/>
                                    </a:cubicBezTo>
                                    <a:cubicBezTo>
                                      <a:pt x="5789" y="13428"/>
                                      <a:pt x="6028" y="13329"/>
                                      <a:pt x="6247" y="13209"/>
                                    </a:cubicBezTo>
                                    <a:cubicBezTo>
                                      <a:pt x="6426" y="13110"/>
                                      <a:pt x="6605" y="12990"/>
                                      <a:pt x="6744" y="12851"/>
                                    </a:cubicBezTo>
                                    <a:lnTo>
                                      <a:pt x="6744" y="12851"/>
                                    </a:lnTo>
                                    <a:cubicBezTo>
                                      <a:pt x="6724" y="12951"/>
                                      <a:pt x="6724" y="13030"/>
                                      <a:pt x="6724" y="13110"/>
                                    </a:cubicBezTo>
                                    <a:cubicBezTo>
                                      <a:pt x="6644" y="13169"/>
                                      <a:pt x="6445" y="13309"/>
                                      <a:pt x="6167" y="13448"/>
                                    </a:cubicBezTo>
                                    <a:cubicBezTo>
                                      <a:pt x="5968" y="13547"/>
                                      <a:pt x="5749" y="13627"/>
                                      <a:pt x="5511" y="13687"/>
                                    </a:cubicBezTo>
                                    <a:cubicBezTo>
                                      <a:pt x="5511" y="13706"/>
                                      <a:pt x="5511" y="13706"/>
                                      <a:pt x="5491" y="13706"/>
                                    </a:cubicBezTo>
                                    <a:cubicBezTo>
                                      <a:pt x="5491" y="13706"/>
                                      <a:pt x="5471" y="13726"/>
                                      <a:pt x="5471" y="13746"/>
                                    </a:cubicBezTo>
                                    <a:cubicBezTo>
                                      <a:pt x="5391" y="13826"/>
                                      <a:pt x="5292" y="13886"/>
                                      <a:pt x="5192" y="13925"/>
                                    </a:cubicBezTo>
                                    <a:cubicBezTo>
                                      <a:pt x="5312" y="13905"/>
                                      <a:pt x="5431" y="13866"/>
                                      <a:pt x="5570" y="13846"/>
                                    </a:cubicBezTo>
                                    <a:cubicBezTo>
                                      <a:pt x="5789" y="13786"/>
                                      <a:pt x="6028" y="13687"/>
                                      <a:pt x="6247" y="13587"/>
                                    </a:cubicBezTo>
                                    <a:cubicBezTo>
                                      <a:pt x="6545" y="13428"/>
                                      <a:pt x="6744" y="13289"/>
                                      <a:pt x="6823" y="13229"/>
                                    </a:cubicBezTo>
                                    <a:cubicBezTo>
                                      <a:pt x="6823" y="13229"/>
                                      <a:pt x="6823" y="13229"/>
                                      <a:pt x="6823" y="13249"/>
                                    </a:cubicBezTo>
                                    <a:cubicBezTo>
                                      <a:pt x="6903" y="13249"/>
                                      <a:pt x="7002" y="13249"/>
                                      <a:pt x="7102" y="13229"/>
                                    </a:cubicBezTo>
                                    <a:cubicBezTo>
                                      <a:pt x="7221" y="13209"/>
                                      <a:pt x="7341" y="13169"/>
                                      <a:pt x="7460" y="13110"/>
                                    </a:cubicBezTo>
                                    <a:cubicBezTo>
                                      <a:pt x="7599" y="13030"/>
                                      <a:pt x="7739" y="12911"/>
                                      <a:pt x="7878" y="12772"/>
                                    </a:cubicBezTo>
                                    <a:cubicBezTo>
                                      <a:pt x="7898" y="12752"/>
                                      <a:pt x="7918" y="12712"/>
                                      <a:pt x="7898" y="12692"/>
                                    </a:cubicBezTo>
                                    <a:cubicBezTo>
                                      <a:pt x="7898" y="12672"/>
                                      <a:pt x="7878" y="12652"/>
                                      <a:pt x="7858" y="12632"/>
                                    </a:cubicBezTo>
                                    <a:lnTo>
                                      <a:pt x="7838" y="12632"/>
                                    </a:lnTo>
                                    <a:cubicBezTo>
                                      <a:pt x="7878" y="12612"/>
                                      <a:pt x="7918" y="12573"/>
                                      <a:pt x="7977" y="12553"/>
                                    </a:cubicBezTo>
                                    <a:cubicBezTo>
                                      <a:pt x="8097" y="12433"/>
                                      <a:pt x="8216" y="12314"/>
                                      <a:pt x="8335" y="12135"/>
                                    </a:cubicBezTo>
                                    <a:cubicBezTo>
                                      <a:pt x="8355" y="12115"/>
                                      <a:pt x="8355" y="12075"/>
                                      <a:pt x="8335" y="12055"/>
                                    </a:cubicBezTo>
                                    <a:cubicBezTo>
                                      <a:pt x="8335" y="12035"/>
                                      <a:pt x="8315" y="12035"/>
                                      <a:pt x="8296" y="12016"/>
                                    </a:cubicBezTo>
                                    <a:cubicBezTo>
                                      <a:pt x="8335" y="11996"/>
                                      <a:pt x="8355" y="11976"/>
                                      <a:pt x="8375" y="11956"/>
                                    </a:cubicBezTo>
                                    <a:cubicBezTo>
                                      <a:pt x="8494" y="11837"/>
                                      <a:pt x="8614" y="11677"/>
                                      <a:pt x="8693" y="11498"/>
                                    </a:cubicBezTo>
                                    <a:cubicBezTo>
                                      <a:pt x="8713" y="11478"/>
                                      <a:pt x="8713" y="11459"/>
                                      <a:pt x="8693" y="11439"/>
                                    </a:cubicBezTo>
                                    <a:cubicBezTo>
                                      <a:pt x="8673" y="11399"/>
                                      <a:pt x="8654" y="11399"/>
                                      <a:pt x="8634" y="11399"/>
                                    </a:cubicBezTo>
                                    <a:cubicBezTo>
                                      <a:pt x="8673" y="11359"/>
                                      <a:pt x="8693" y="11339"/>
                                      <a:pt x="8713" y="11299"/>
                                    </a:cubicBezTo>
                                    <a:cubicBezTo>
                                      <a:pt x="8833" y="11180"/>
                                      <a:pt x="8912" y="11021"/>
                                      <a:pt x="8972" y="10822"/>
                                    </a:cubicBezTo>
                                    <a:cubicBezTo>
                                      <a:pt x="8992" y="10802"/>
                                      <a:pt x="8992" y="10782"/>
                                      <a:pt x="8972" y="10742"/>
                                    </a:cubicBezTo>
                                    <a:cubicBezTo>
                                      <a:pt x="8952" y="10723"/>
                                      <a:pt x="8932" y="10723"/>
                                      <a:pt x="8912" y="10723"/>
                                    </a:cubicBezTo>
                                    <a:cubicBezTo>
                                      <a:pt x="8932" y="10683"/>
                                      <a:pt x="8952" y="10663"/>
                                      <a:pt x="8972" y="10623"/>
                                    </a:cubicBezTo>
                                    <a:cubicBezTo>
                                      <a:pt x="9071" y="10484"/>
                                      <a:pt x="9131" y="10325"/>
                                      <a:pt x="9191" y="10126"/>
                                    </a:cubicBezTo>
                                    <a:cubicBezTo>
                                      <a:pt x="9191" y="10086"/>
                                      <a:pt x="9191" y="10066"/>
                                      <a:pt x="9171" y="10046"/>
                                    </a:cubicBezTo>
                                    <a:cubicBezTo>
                                      <a:pt x="9151" y="10026"/>
                                      <a:pt x="9131" y="10026"/>
                                      <a:pt x="9111" y="10026"/>
                                    </a:cubicBezTo>
                                    <a:cubicBezTo>
                                      <a:pt x="9131" y="9987"/>
                                      <a:pt x="9151" y="9947"/>
                                      <a:pt x="9171" y="9907"/>
                                    </a:cubicBezTo>
                                    <a:cubicBezTo>
                                      <a:pt x="9250" y="9768"/>
                                      <a:pt x="9290" y="9589"/>
                                      <a:pt x="9310" y="9390"/>
                                    </a:cubicBezTo>
                                    <a:cubicBezTo>
                                      <a:pt x="9330" y="9370"/>
                                      <a:pt x="9310" y="9330"/>
                                      <a:pt x="9290" y="9330"/>
                                    </a:cubicBezTo>
                                    <a:cubicBezTo>
                                      <a:pt x="9270" y="9310"/>
                                      <a:pt x="9250" y="9290"/>
                                      <a:pt x="9230" y="9290"/>
                                    </a:cubicBezTo>
                                    <a:cubicBezTo>
                                      <a:pt x="9250" y="9270"/>
                                      <a:pt x="9270" y="9231"/>
                                      <a:pt x="9290" y="9191"/>
                                    </a:cubicBezTo>
                                    <a:cubicBezTo>
                                      <a:pt x="9330" y="9032"/>
                                      <a:pt x="9370" y="8853"/>
                                      <a:pt x="9370" y="8654"/>
                                    </a:cubicBezTo>
                                    <a:cubicBezTo>
                                      <a:pt x="9370" y="8634"/>
                                      <a:pt x="9350" y="8614"/>
                                      <a:pt x="9330" y="8594"/>
                                    </a:cubicBezTo>
                                    <a:cubicBezTo>
                                      <a:pt x="9310" y="8574"/>
                                      <a:pt x="9310" y="8574"/>
                                      <a:pt x="9290" y="8574"/>
                                    </a:cubicBezTo>
                                    <a:cubicBezTo>
                                      <a:pt x="9290" y="8534"/>
                                      <a:pt x="9310" y="8514"/>
                                      <a:pt x="9310" y="8475"/>
                                    </a:cubicBezTo>
                                    <a:cubicBezTo>
                                      <a:pt x="9350" y="8316"/>
                                      <a:pt x="9370" y="8137"/>
                                      <a:pt x="9350" y="7938"/>
                                    </a:cubicBezTo>
                                    <a:cubicBezTo>
                                      <a:pt x="9350" y="7898"/>
                                      <a:pt x="9330" y="7878"/>
                                      <a:pt x="9310" y="7858"/>
                                    </a:cubicBezTo>
                                    <a:lnTo>
                                      <a:pt x="9250" y="7858"/>
                                    </a:lnTo>
                                    <a:cubicBezTo>
                                      <a:pt x="9270" y="7818"/>
                                      <a:pt x="9270" y="7778"/>
                                      <a:pt x="9270" y="7739"/>
                                    </a:cubicBezTo>
                                    <a:cubicBezTo>
                                      <a:pt x="9310" y="7580"/>
                                      <a:pt x="9290" y="7400"/>
                                      <a:pt x="9250" y="7202"/>
                                    </a:cubicBezTo>
                                    <a:cubicBezTo>
                                      <a:pt x="9250" y="7162"/>
                                      <a:pt x="9230" y="7142"/>
                                      <a:pt x="9211" y="7142"/>
                                    </a:cubicBezTo>
                                    <a:cubicBezTo>
                                      <a:pt x="9191" y="7122"/>
                                      <a:pt x="9191" y="7122"/>
                                      <a:pt x="9171" y="7122"/>
                                    </a:cubicBezTo>
                                    <a:cubicBezTo>
                                      <a:pt x="9171" y="7102"/>
                                      <a:pt x="9171" y="7082"/>
                                      <a:pt x="9191" y="7042"/>
                                    </a:cubicBezTo>
                                    <a:cubicBezTo>
                                      <a:pt x="9191" y="6883"/>
                                      <a:pt x="9191" y="6684"/>
                                      <a:pt x="9131" y="6505"/>
                                    </a:cubicBezTo>
                                    <a:cubicBezTo>
                                      <a:pt x="9131" y="6466"/>
                                      <a:pt x="9111" y="6446"/>
                                      <a:pt x="9091" y="6446"/>
                                    </a:cubicBezTo>
                                    <a:cubicBezTo>
                                      <a:pt x="9085" y="6439"/>
                                      <a:pt x="9076" y="6437"/>
                                      <a:pt x="9066" y="6437"/>
                                    </a:cubicBezTo>
                                    <a:cubicBezTo>
                                      <a:pt x="9047" y="6437"/>
                                      <a:pt x="9025" y="6446"/>
                                      <a:pt x="9012" y="6446"/>
                                    </a:cubicBezTo>
                                    <a:cubicBezTo>
                                      <a:pt x="9012" y="6406"/>
                                      <a:pt x="9012" y="6366"/>
                                      <a:pt x="9012" y="6326"/>
                                    </a:cubicBezTo>
                                    <a:cubicBezTo>
                                      <a:pt x="9012" y="6147"/>
                                      <a:pt x="8972" y="5968"/>
                                      <a:pt x="8892" y="5789"/>
                                    </a:cubicBezTo>
                                    <a:cubicBezTo>
                                      <a:pt x="8892" y="5769"/>
                                      <a:pt x="8872" y="5749"/>
                                      <a:pt x="8853" y="5729"/>
                                    </a:cubicBezTo>
                                    <a:cubicBezTo>
                                      <a:pt x="8813" y="5729"/>
                                      <a:pt x="8793" y="5729"/>
                                      <a:pt x="8773" y="5749"/>
                                    </a:cubicBezTo>
                                    <a:cubicBezTo>
                                      <a:pt x="8773" y="5710"/>
                                      <a:pt x="8773" y="5670"/>
                                      <a:pt x="8773" y="5630"/>
                                    </a:cubicBezTo>
                                    <a:cubicBezTo>
                                      <a:pt x="8753" y="5471"/>
                                      <a:pt x="8693" y="5292"/>
                                      <a:pt x="8594" y="5113"/>
                                    </a:cubicBezTo>
                                    <a:cubicBezTo>
                                      <a:pt x="8594" y="5093"/>
                                      <a:pt x="8574" y="5073"/>
                                      <a:pt x="8534" y="5073"/>
                                    </a:cubicBezTo>
                                    <a:cubicBezTo>
                                      <a:pt x="8514" y="5073"/>
                                      <a:pt x="8494" y="5073"/>
                                      <a:pt x="8475" y="5093"/>
                                    </a:cubicBezTo>
                                    <a:cubicBezTo>
                                      <a:pt x="8475" y="5053"/>
                                      <a:pt x="8475" y="5013"/>
                                      <a:pt x="8455" y="4974"/>
                                    </a:cubicBezTo>
                                    <a:cubicBezTo>
                                      <a:pt x="8415" y="4814"/>
                                      <a:pt x="8335" y="4635"/>
                                      <a:pt x="8216" y="4476"/>
                                    </a:cubicBezTo>
                                    <a:cubicBezTo>
                                      <a:pt x="8216" y="4456"/>
                                      <a:pt x="8176" y="4436"/>
                                      <a:pt x="8156" y="4436"/>
                                    </a:cubicBezTo>
                                    <a:cubicBezTo>
                                      <a:pt x="8136" y="4436"/>
                                      <a:pt x="8116" y="4456"/>
                                      <a:pt x="8097" y="4476"/>
                                    </a:cubicBezTo>
                                    <a:cubicBezTo>
                                      <a:pt x="8077" y="4436"/>
                                      <a:pt x="8057" y="4397"/>
                                      <a:pt x="8037" y="4337"/>
                                    </a:cubicBezTo>
                                    <a:cubicBezTo>
                                      <a:pt x="7977" y="4198"/>
                                      <a:pt x="7878" y="4039"/>
                                      <a:pt x="7739" y="3899"/>
                                    </a:cubicBezTo>
                                    <a:cubicBezTo>
                                      <a:pt x="7719" y="3879"/>
                                      <a:pt x="7679" y="3860"/>
                                      <a:pt x="7659" y="3860"/>
                                    </a:cubicBezTo>
                                    <a:cubicBezTo>
                                      <a:pt x="7639" y="3879"/>
                                      <a:pt x="7619" y="3879"/>
                                      <a:pt x="7619" y="3899"/>
                                    </a:cubicBezTo>
                                    <a:cubicBezTo>
                                      <a:pt x="7599" y="3860"/>
                                      <a:pt x="7559" y="3820"/>
                                      <a:pt x="7540" y="3780"/>
                                    </a:cubicBezTo>
                                    <a:cubicBezTo>
                                      <a:pt x="7460" y="3641"/>
                                      <a:pt x="7321" y="3501"/>
                                      <a:pt x="7162" y="3382"/>
                                    </a:cubicBezTo>
                                    <a:cubicBezTo>
                                      <a:pt x="7142" y="3362"/>
                                      <a:pt x="7122" y="3362"/>
                                      <a:pt x="7102" y="3362"/>
                                    </a:cubicBezTo>
                                    <a:cubicBezTo>
                                      <a:pt x="7082" y="3382"/>
                                      <a:pt x="7062" y="3382"/>
                                      <a:pt x="7042" y="3402"/>
                                    </a:cubicBezTo>
                                    <a:cubicBezTo>
                                      <a:pt x="6943" y="3263"/>
                                      <a:pt x="6804" y="3163"/>
                                      <a:pt x="6625" y="3104"/>
                                    </a:cubicBezTo>
                                    <a:lnTo>
                                      <a:pt x="6724" y="3104"/>
                                    </a:lnTo>
                                    <a:cubicBezTo>
                                      <a:pt x="6755" y="3106"/>
                                      <a:pt x="6785" y="3108"/>
                                      <a:pt x="6813" y="3108"/>
                                    </a:cubicBezTo>
                                    <a:cubicBezTo>
                                      <a:pt x="6980" y="3108"/>
                                      <a:pt x="7085" y="3064"/>
                                      <a:pt x="7102" y="3064"/>
                                    </a:cubicBezTo>
                                    <a:cubicBezTo>
                                      <a:pt x="7142" y="3064"/>
                                      <a:pt x="7182" y="3004"/>
                                      <a:pt x="7162" y="2964"/>
                                    </a:cubicBezTo>
                                    <a:cubicBezTo>
                                      <a:pt x="7162" y="2905"/>
                                      <a:pt x="7122" y="2885"/>
                                      <a:pt x="7082" y="2865"/>
                                    </a:cubicBezTo>
                                    <a:cubicBezTo>
                                      <a:pt x="6823" y="2865"/>
                                      <a:pt x="6744" y="2805"/>
                                      <a:pt x="6625" y="2746"/>
                                    </a:cubicBezTo>
                                    <a:lnTo>
                                      <a:pt x="6565" y="2706"/>
                                    </a:lnTo>
                                    <a:lnTo>
                                      <a:pt x="7122" y="2626"/>
                                    </a:lnTo>
                                    <a:cubicBezTo>
                                      <a:pt x="7182" y="2626"/>
                                      <a:pt x="7221" y="2586"/>
                                      <a:pt x="7201" y="2527"/>
                                    </a:cubicBezTo>
                                    <a:cubicBezTo>
                                      <a:pt x="7201" y="2487"/>
                                      <a:pt x="7182" y="2427"/>
                                      <a:pt x="7122" y="2427"/>
                                    </a:cubicBezTo>
                                    <a:lnTo>
                                      <a:pt x="6565" y="2348"/>
                                    </a:lnTo>
                                    <a:cubicBezTo>
                                      <a:pt x="6625" y="2328"/>
                                      <a:pt x="6704" y="2308"/>
                                      <a:pt x="6784" y="2288"/>
                                    </a:cubicBezTo>
                                    <a:cubicBezTo>
                                      <a:pt x="6983" y="2208"/>
                                      <a:pt x="7122" y="2109"/>
                                      <a:pt x="7122" y="2109"/>
                                    </a:cubicBezTo>
                                    <a:cubicBezTo>
                                      <a:pt x="7162" y="2069"/>
                                      <a:pt x="7162" y="2010"/>
                                      <a:pt x="7142" y="1970"/>
                                    </a:cubicBezTo>
                                    <a:cubicBezTo>
                                      <a:pt x="7127" y="1941"/>
                                      <a:pt x="7091" y="1922"/>
                                      <a:pt x="7057" y="1922"/>
                                    </a:cubicBezTo>
                                    <a:cubicBezTo>
                                      <a:pt x="7045" y="1922"/>
                                      <a:pt x="7033" y="1925"/>
                                      <a:pt x="7022" y="1930"/>
                                    </a:cubicBezTo>
                                    <a:cubicBezTo>
                                      <a:pt x="6877" y="1983"/>
                                      <a:pt x="6775" y="2001"/>
                                      <a:pt x="6688" y="2001"/>
                                    </a:cubicBezTo>
                                    <a:cubicBezTo>
                                      <a:pt x="6644" y="2001"/>
                                      <a:pt x="6605" y="1996"/>
                                      <a:pt x="6565" y="1990"/>
                                    </a:cubicBezTo>
                                    <a:cubicBezTo>
                                      <a:pt x="6545" y="1990"/>
                                      <a:pt x="6505" y="1990"/>
                                      <a:pt x="6485" y="1970"/>
                                    </a:cubicBezTo>
                                    <a:lnTo>
                                      <a:pt x="6983" y="1691"/>
                                    </a:lnTo>
                                    <a:cubicBezTo>
                                      <a:pt x="7022" y="1651"/>
                                      <a:pt x="7042" y="1612"/>
                                      <a:pt x="7022" y="1552"/>
                                    </a:cubicBezTo>
                                    <a:cubicBezTo>
                                      <a:pt x="7002" y="1512"/>
                                      <a:pt x="6943" y="1492"/>
                                      <a:pt x="6903" y="1492"/>
                                    </a:cubicBezTo>
                                    <a:lnTo>
                                      <a:pt x="6346" y="1632"/>
                                    </a:lnTo>
                                    <a:cubicBezTo>
                                      <a:pt x="6406" y="1592"/>
                                      <a:pt x="6465" y="1552"/>
                                      <a:pt x="6525" y="1492"/>
                                    </a:cubicBezTo>
                                    <a:cubicBezTo>
                                      <a:pt x="6684" y="1353"/>
                                      <a:pt x="6764" y="1214"/>
                                      <a:pt x="6764" y="1194"/>
                                    </a:cubicBezTo>
                                    <a:cubicBezTo>
                                      <a:pt x="6784" y="1154"/>
                                      <a:pt x="6784" y="1094"/>
                                      <a:pt x="6744" y="1075"/>
                                    </a:cubicBezTo>
                                    <a:cubicBezTo>
                                      <a:pt x="6724" y="1055"/>
                                      <a:pt x="6699" y="1045"/>
                                      <a:pt x="6674" y="1045"/>
                                    </a:cubicBezTo>
                                    <a:cubicBezTo>
                                      <a:pt x="6649" y="1045"/>
                                      <a:pt x="6625" y="1055"/>
                                      <a:pt x="6605" y="1075"/>
                                    </a:cubicBezTo>
                                    <a:cubicBezTo>
                                      <a:pt x="6426" y="1234"/>
                                      <a:pt x="6346" y="1274"/>
                                      <a:pt x="6207" y="1313"/>
                                    </a:cubicBezTo>
                                    <a:cubicBezTo>
                                      <a:pt x="6187" y="1313"/>
                                      <a:pt x="6167" y="1313"/>
                                      <a:pt x="6147" y="1333"/>
                                    </a:cubicBezTo>
                                    <a:lnTo>
                                      <a:pt x="6485" y="876"/>
                                    </a:lnTo>
                                    <a:cubicBezTo>
                                      <a:pt x="6505" y="836"/>
                                      <a:pt x="6505" y="776"/>
                                      <a:pt x="6465" y="736"/>
                                    </a:cubicBezTo>
                                    <a:cubicBezTo>
                                      <a:pt x="6445" y="717"/>
                                      <a:pt x="6426" y="707"/>
                                      <a:pt x="6406" y="707"/>
                                    </a:cubicBezTo>
                                    <a:cubicBezTo>
                                      <a:pt x="6386" y="707"/>
                                      <a:pt x="6366" y="717"/>
                                      <a:pt x="6346" y="736"/>
                                    </a:cubicBezTo>
                                    <a:lnTo>
                                      <a:pt x="5888" y="1075"/>
                                    </a:lnTo>
                                    <a:cubicBezTo>
                                      <a:pt x="5908" y="1015"/>
                                      <a:pt x="5948" y="935"/>
                                      <a:pt x="5988" y="876"/>
                                    </a:cubicBezTo>
                                    <a:cubicBezTo>
                                      <a:pt x="6087" y="677"/>
                                      <a:pt x="6107" y="498"/>
                                      <a:pt x="6107" y="498"/>
                                    </a:cubicBezTo>
                                    <a:cubicBezTo>
                                      <a:pt x="6107" y="458"/>
                                      <a:pt x="6068" y="398"/>
                                      <a:pt x="6028" y="398"/>
                                    </a:cubicBezTo>
                                    <a:cubicBezTo>
                                      <a:pt x="6018" y="393"/>
                                      <a:pt x="6007" y="391"/>
                                      <a:pt x="5995" y="391"/>
                                    </a:cubicBezTo>
                                    <a:cubicBezTo>
                                      <a:pt x="5961" y="391"/>
                                      <a:pt x="5923" y="413"/>
                                      <a:pt x="5908" y="458"/>
                                    </a:cubicBezTo>
                                    <a:cubicBezTo>
                                      <a:pt x="5809" y="677"/>
                                      <a:pt x="5729" y="736"/>
                                      <a:pt x="5630" y="816"/>
                                    </a:cubicBezTo>
                                    <a:cubicBezTo>
                                      <a:pt x="5610" y="836"/>
                                      <a:pt x="5590" y="836"/>
                                      <a:pt x="5570" y="856"/>
                                    </a:cubicBezTo>
                                    <a:lnTo>
                                      <a:pt x="5709" y="319"/>
                                    </a:lnTo>
                                    <a:cubicBezTo>
                                      <a:pt x="5729" y="259"/>
                                      <a:pt x="5690" y="219"/>
                                      <a:pt x="5650" y="199"/>
                                    </a:cubicBezTo>
                                    <a:cubicBezTo>
                                      <a:pt x="5639" y="194"/>
                                      <a:pt x="5627" y="192"/>
                                      <a:pt x="5615" y="192"/>
                                    </a:cubicBezTo>
                                    <a:cubicBezTo>
                                      <a:pt x="5581" y="192"/>
                                      <a:pt x="5545" y="210"/>
                                      <a:pt x="5530" y="239"/>
                                    </a:cubicBezTo>
                                    <a:lnTo>
                                      <a:pt x="5232" y="736"/>
                                    </a:lnTo>
                                    <a:cubicBezTo>
                                      <a:pt x="5252" y="657"/>
                                      <a:pt x="5252" y="577"/>
                                      <a:pt x="5252" y="498"/>
                                    </a:cubicBezTo>
                                    <a:cubicBezTo>
                                      <a:pt x="5272" y="279"/>
                                      <a:pt x="5212" y="120"/>
                                      <a:pt x="5212" y="120"/>
                                    </a:cubicBezTo>
                                    <a:cubicBezTo>
                                      <a:pt x="5212" y="60"/>
                                      <a:pt x="5152" y="40"/>
                                      <a:pt x="5113" y="40"/>
                                    </a:cubicBezTo>
                                    <a:cubicBezTo>
                                      <a:pt x="5053" y="60"/>
                                      <a:pt x="5033" y="100"/>
                                      <a:pt x="5013" y="140"/>
                                    </a:cubicBezTo>
                                    <a:cubicBezTo>
                                      <a:pt x="5013" y="378"/>
                                      <a:pt x="4954" y="478"/>
                                      <a:pt x="4894" y="577"/>
                                    </a:cubicBezTo>
                                    <a:cubicBezTo>
                                      <a:pt x="4894" y="597"/>
                                      <a:pt x="4874" y="637"/>
                                      <a:pt x="4874" y="657"/>
                                    </a:cubicBezTo>
                                    <a:lnTo>
                                      <a:pt x="4775" y="100"/>
                                    </a:lnTo>
                                    <a:cubicBezTo>
                                      <a:pt x="4775" y="40"/>
                                      <a:pt x="4735" y="0"/>
                                      <a:pt x="4675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231F2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39" name="Shape 39"/>
                              <xdr:cNvSpPr/>
                            </xdr:nvSpPr>
                            <xdr:spPr>
                              <a:xfrm>
                                <a:off x="2401075" y="1002000"/>
                                <a:ext cx="106950" cy="6417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4278" h="2567" extrusionOk="0">
                                    <a:moveTo>
                                      <a:pt x="975" y="358"/>
                                    </a:moveTo>
                                    <a:cubicBezTo>
                                      <a:pt x="975" y="368"/>
                                      <a:pt x="980" y="373"/>
                                      <a:pt x="985" y="378"/>
                                    </a:cubicBezTo>
                                    <a:lnTo>
                                      <a:pt x="985" y="378"/>
                                    </a:lnTo>
                                    <a:cubicBezTo>
                                      <a:pt x="982" y="371"/>
                                      <a:pt x="979" y="365"/>
                                      <a:pt x="975" y="358"/>
                                    </a:cubicBezTo>
                                    <a:close/>
                                    <a:moveTo>
                                      <a:pt x="2129" y="0"/>
                                    </a:moveTo>
                                    <a:lnTo>
                                      <a:pt x="2030" y="696"/>
                                    </a:lnTo>
                                    <a:cubicBezTo>
                                      <a:pt x="2030" y="716"/>
                                      <a:pt x="2010" y="716"/>
                                      <a:pt x="2010" y="736"/>
                                    </a:cubicBezTo>
                                    <a:cubicBezTo>
                                      <a:pt x="1990" y="736"/>
                                      <a:pt x="1970" y="736"/>
                                      <a:pt x="1950" y="716"/>
                                    </a:cubicBezTo>
                                    <a:cubicBezTo>
                                      <a:pt x="1950" y="696"/>
                                      <a:pt x="1890" y="597"/>
                                      <a:pt x="1851" y="438"/>
                                    </a:cubicBezTo>
                                    <a:cubicBezTo>
                                      <a:pt x="1831" y="378"/>
                                      <a:pt x="1811" y="239"/>
                                      <a:pt x="1751" y="100"/>
                                    </a:cubicBezTo>
                                    <a:cubicBezTo>
                                      <a:pt x="1751" y="80"/>
                                      <a:pt x="1751" y="60"/>
                                      <a:pt x="1751" y="60"/>
                                    </a:cubicBezTo>
                                    <a:cubicBezTo>
                                      <a:pt x="1751" y="139"/>
                                      <a:pt x="1751" y="199"/>
                                      <a:pt x="1731" y="279"/>
                                    </a:cubicBezTo>
                                    <a:cubicBezTo>
                                      <a:pt x="1731" y="319"/>
                                      <a:pt x="1731" y="358"/>
                                      <a:pt x="1731" y="418"/>
                                    </a:cubicBezTo>
                                    <a:cubicBezTo>
                                      <a:pt x="1711" y="577"/>
                                      <a:pt x="1751" y="736"/>
                                      <a:pt x="1751" y="736"/>
                                    </a:cubicBezTo>
                                    <a:cubicBezTo>
                                      <a:pt x="1751" y="756"/>
                                      <a:pt x="1751" y="776"/>
                                      <a:pt x="1731" y="776"/>
                                    </a:cubicBezTo>
                                    <a:cubicBezTo>
                                      <a:pt x="1725" y="783"/>
                                      <a:pt x="1718" y="785"/>
                                      <a:pt x="1711" y="785"/>
                                    </a:cubicBezTo>
                                    <a:cubicBezTo>
                                      <a:pt x="1698" y="785"/>
                                      <a:pt x="1685" y="776"/>
                                      <a:pt x="1672" y="776"/>
                                    </a:cubicBezTo>
                                    <a:lnTo>
                                      <a:pt x="1313" y="159"/>
                                    </a:lnTo>
                                    <a:lnTo>
                                      <a:pt x="1492" y="836"/>
                                    </a:lnTo>
                                    <a:cubicBezTo>
                                      <a:pt x="1492" y="856"/>
                                      <a:pt x="1492" y="876"/>
                                      <a:pt x="1473" y="895"/>
                                    </a:cubicBezTo>
                                    <a:lnTo>
                                      <a:pt x="1433" y="895"/>
                                    </a:lnTo>
                                    <a:cubicBezTo>
                                      <a:pt x="1413" y="876"/>
                                      <a:pt x="1313" y="796"/>
                                      <a:pt x="1214" y="677"/>
                                    </a:cubicBezTo>
                                    <a:cubicBezTo>
                                      <a:pt x="1174" y="617"/>
                                      <a:pt x="1095" y="498"/>
                                      <a:pt x="995" y="398"/>
                                    </a:cubicBezTo>
                                    <a:cubicBezTo>
                                      <a:pt x="995" y="388"/>
                                      <a:pt x="990" y="383"/>
                                      <a:pt x="985" y="378"/>
                                    </a:cubicBezTo>
                                    <a:lnTo>
                                      <a:pt x="985" y="378"/>
                                    </a:lnTo>
                                    <a:cubicBezTo>
                                      <a:pt x="1018" y="448"/>
                                      <a:pt x="1037" y="504"/>
                                      <a:pt x="1055" y="577"/>
                                    </a:cubicBezTo>
                                    <a:cubicBezTo>
                                      <a:pt x="1055" y="617"/>
                                      <a:pt x="1075" y="657"/>
                                      <a:pt x="1095" y="696"/>
                                    </a:cubicBezTo>
                                    <a:cubicBezTo>
                                      <a:pt x="1154" y="856"/>
                                      <a:pt x="1234" y="975"/>
                                      <a:pt x="1254" y="995"/>
                                    </a:cubicBezTo>
                                    <a:cubicBezTo>
                                      <a:pt x="1254" y="995"/>
                                      <a:pt x="1254" y="1035"/>
                                      <a:pt x="1234" y="1035"/>
                                    </a:cubicBezTo>
                                    <a:cubicBezTo>
                                      <a:pt x="1234" y="1045"/>
                                      <a:pt x="1224" y="1050"/>
                                      <a:pt x="1214" y="1050"/>
                                    </a:cubicBezTo>
                                    <a:cubicBezTo>
                                      <a:pt x="1204" y="1050"/>
                                      <a:pt x="1194" y="1045"/>
                                      <a:pt x="1194" y="1035"/>
                                    </a:cubicBezTo>
                                    <a:lnTo>
                                      <a:pt x="617" y="617"/>
                                    </a:lnTo>
                                    <a:lnTo>
                                      <a:pt x="617" y="617"/>
                                    </a:lnTo>
                                    <a:lnTo>
                                      <a:pt x="1035" y="1194"/>
                                    </a:lnTo>
                                    <a:cubicBezTo>
                                      <a:pt x="1055" y="1194"/>
                                      <a:pt x="1055" y="1214"/>
                                      <a:pt x="1035" y="1234"/>
                                    </a:cubicBezTo>
                                    <a:cubicBezTo>
                                      <a:pt x="1035" y="1253"/>
                                      <a:pt x="1015" y="1253"/>
                                      <a:pt x="995" y="1253"/>
                                    </a:cubicBezTo>
                                    <a:cubicBezTo>
                                      <a:pt x="995" y="1253"/>
                                      <a:pt x="876" y="1214"/>
                                      <a:pt x="737" y="1134"/>
                                    </a:cubicBezTo>
                                    <a:cubicBezTo>
                                      <a:pt x="677" y="1094"/>
                                      <a:pt x="558" y="1035"/>
                                      <a:pt x="418" y="955"/>
                                    </a:cubicBezTo>
                                    <a:cubicBezTo>
                                      <a:pt x="398" y="955"/>
                                      <a:pt x="398" y="955"/>
                                      <a:pt x="379" y="935"/>
                                    </a:cubicBezTo>
                                    <a:lnTo>
                                      <a:pt x="379" y="935"/>
                                    </a:lnTo>
                                    <a:cubicBezTo>
                                      <a:pt x="438" y="995"/>
                                      <a:pt x="478" y="1055"/>
                                      <a:pt x="538" y="1114"/>
                                    </a:cubicBezTo>
                                    <a:cubicBezTo>
                                      <a:pt x="558" y="1134"/>
                                      <a:pt x="577" y="1174"/>
                                      <a:pt x="617" y="1214"/>
                                    </a:cubicBezTo>
                                    <a:cubicBezTo>
                                      <a:pt x="737" y="1333"/>
                                      <a:pt x="876" y="1413"/>
                                      <a:pt x="876" y="1413"/>
                                    </a:cubicBezTo>
                                    <a:cubicBezTo>
                                      <a:pt x="896" y="1433"/>
                                      <a:pt x="896" y="1452"/>
                                      <a:pt x="896" y="1472"/>
                                    </a:cubicBezTo>
                                    <a:cubicBezTo>
                                      <a:pt x="876" y="1492"/>
                                      <a:pt x="856" y="1492"/>
                                      <a:pt x="836" y="1492"/>
                                    </a:cubicBezTo>
                                    <a:lnTo>
                                      <a:pt x="160" y="1313"/>
                                    </a:lnTo>
                                    <a:lnTo>
                                      <a:pt x="160" y="1313"/>
                                    </a:lnTo>
                                    <a:lnTo>
                                      <a:pt x="756" y="1691"/>
                                    </a:lnTo>
                                    <a:cubicBezTo>
                                      <a:pt x="776" y="1691"/>
                                      <a:pt x="776" y="1711"/>
                                      <a:pt x="776" y="1731"/>
                                    </a:cubicBezTo>
                                    <a:cubicBezTo>
                                      <a:pt x="776" y="1751"/>
                                      <a:pt x="756" y="1751"/>
                                      <a:pt x="756" y="1751"/>
                                    </a:cubicBezTo>
                                    <a:cubicBezTo>
                                      <a:pt x="743" y="1751"/>
                                      <a:pt x="686" y="1760"/>
                                      <a:pt x="602" y="1760"/>
                                    </a:cubicBezTo>
                                    <a:cubicBezTo>
                                      <a:pt x="560" y="1760"/>
                                      <a:pt x="511" y="1757"/>
                                      <a:pt x="458" y="1751"/>
                                    </a:cubicBezTo>
                                    <a:cubicBezTo>
                                      <a:pt x="378" y="1731"/>
                                      <a:pt x="239" y="1711"/>
                                      <a:pt x="100" y="1711"/>
                                    </a:cubicBezTo>
                                    <a:lnTo>
                                      <a:pt x="60" y="1711"/>
                                    </a:lnTo>
                                    <a:cubicBezTo>
                                      <a:pt x="140" y="1731"/>
                                      <a:pt x="199" y="1771"/>
                                      <a:pt x="259" y="1791"/>
                                    </a:cubicBezTo>
                                    <a:cubicBezTo>
                                      <a:pt x="299" y="1810"/>
                                      <a:pt x="339" y="1850"/>
                                      <a:pt x="378" y="1870"/>
                                    </a:cubicBezTo>
                                    <a:cubicBezTo>
                                      <a:pt x="538" y="1930"/>
                                      <a:pt x="697" y="1950"/>
                                      <a:pt x="697" y="1950"/>
                                    </a:cubicBezTo>
                                    <a:cubicBezTo>
                                      <a:pt x="717" y="1950"/>
                                      <a:pt x="737" y="1970"/>
                                      <a:pt x="737" y="1990"/>
                                    </a:cubicBezTo>
                                    <a:cubicBezTo>
                                      <a:pt x="737" y="2009"/>
                                      <a:pt x="717" y="2029"/>
                                      <a:pt x="697" y="2029"/>
                                    </a:cubicBezTo>
                                    <a:lnTo>
                                      <a:pt x="1" y="2129"/>
                                    </a:lnTo>
                                    <a:lnTo>
                                      <a:pt x="697" y="2248"/>
                                    </a:lnTo>
                                    <a:cubicBezTo>
                                      <a:pt x="717" y="2248"/>
                                      <a:pt x="717" y="2248"/>
                                      <a:pt x="737" y="2268"/>
                                    </a:cubicBezTo>
                                    <a:cubicBezTo>
                                      <a:pt x="737" y="2288"/>
                                      <a:pt x="717" y="2308"/>
                                      <a:pt x="717" y="2308"/>
                                    </a:cubicBezTo>
                                    <a:cubicBezTo>
                                      <a:pt x="717" y="2308"/>
                                      <a:pt x="597" y="2387"/>
                                      <a:pt x="438" y="2427"/>
                                    </a:cubicBezTo>
                                    <a:cubicBezTo>
                                      <a:pt x="378" y="2427"/>
                                      <a:pt x="239" y="2467"/>
                                      <a:pt x="100" y="2527"/>
                                    </a:cubicBezTo>
                                    <a:lnTo>
                                      <a:pt x="60" y="2527"/>
                                    </a:lnTo>
                                    <a:cubicBezTo>
                                      <a:pt x="140" y="2527"/>
                                      <a:pt x="199" y="2527"/>
                                      <a:pt x="279" y="2547"/>
                                    </a:cubicBezTo>
                                    <a:lnTo>
                                      <a:pt x="538" y="2547"/>
                                    </a:lnTo>
                                    <a:cubicBezTo>
                                      <a:pt x="677" y="2447"/>
                                      <a:pt x="836" y="2367"/>
                                      <a:pt x="1035" y="2328"/>
                                    </a:cubicBezTo>
                                    <a:cubicBezTo>
                                      <a:pt x="1042" y="2321"/>
                                      <a:pt x="1050" y="2319"/>
                                      <a:pt x="1060" y="2319"/>
                                    </a:cubicBezTo>
                                    <a:cubicBezTo>
                                      <a:pt x="1079" y="2319"/>
                                      <a:pt x="1101" y="2328"/>
                                      <a:pt x="1115" y="2328"/>
                                    </a:cubicBezTo>
                                    <a:cubicBezTo>
                                      <a:pt x="1115" y="2348"/>
                                      <a:pt x="1134" y="2367"/>
                                      <a:pt x="1134" y="2387"/>
                                    </a:cubicBezTo>
                                    <a:cubicBezTo>
                                      <a:pt x="1174" y="2367"/>
                                      <a:pt x="1214" y="2348"/>
                                      <a:pt x="1254" y="2328"/>
                                    </a:cubicBezTo>
                                    <a:cubicBezTo>
                                      <a:pt x="1393" y="2268"/>
                                      <a:pt x="1572" y="2228"/>
                                      <a:pt x="1771" y="2208"/>
                                    </a:cubicBezTo>
                                    <a:cubicBezTo>
                                      <a:pt x="1811" y="2208"/>
                                      <a:pt x="1831" y="2208"/>
                                      <a:pt x="1851" y="2228"/>
                                    </a:cubicBezTo>
                                    <a:cubicBezTo>
                                      <a:pt x="1851" y="2248"/>
                                      <a:pt x="1870" y="2268"/>
                                      <a:pt x="1870" y="2288"/>
                                    </a:cubicBezTo>
                                    <a:cubicBezTo>
                                      <a:pt x="1910" y="2268"/>
                                      <a:pt x="1970" y="2248"/>
                                      <a:pt x="2049" y="2228"/>
                                    </a:cubicBezTo>
                                    <a:cubicBezTo>
                                      <a:pt x="2129" y="2208"/>
                                      <a:pt x="2214" y="2198"/>
                                      <a:pt x="2303" y="2198"/>
                                    </a:cubicBezTo>
                                    <a:cubicBezTo>
                                      <a:pt x="2393" y="2198"/>
                                      <a:pt x="2487" y="2208"/>
                                      <a:pt x="2587" y="2228"/>
                                    </a:cubicBezTo>
                                    <a:cubicBezTo>
                                      <a:pt x="2606" y="2228"/>
                                      <a:pt x="2626" y="2248"/>
                                      <a:pt x="2646" y="2268"/>
                                    </a:cubicBezTo>
                                    <a:lnTo>
                                      <a:pt x="2646" y="2288"/>
                                    </a:lnTo>
                                    <a:cubicBezTo>
                                      <a:pt x="2706" y="2288"/>
                                      <a:pt x="2766" y="2268"/>
                                      <a:pt x="2825" y="2268"/>
                                    </a:cubicBezTo>
                                    <a:cubicBezTo>
                                      <a:pt x="2984" y="2268"/>
                                      <a:pt x="3163" y="2308"/>
                                      <a:pt x="3362" y="2387"/>
                                    </a:cubicBezTo>
                                    <a:cubicBezTo>
                                      <a:pt x="3382" y="2387"/>
                                      <a:pt x="3402" y="2407"/>
                                      <a:pt x="3402" y="2427"/>
                                    </a:cubicBezTo>
                                    <a:cubicBezTo>
                                      <a:pt x="3541" y="2427"/>
                                      <a:pt x="3661" y="2467"/>
                                      <a:pt x="3800" y="2527"/>
                                    </a:cubicBezTo>
                                    <a:lnTo>
                                      <a:pt x="3820" y="2527"/>
                                    </a:lnTo>
                                    <a:cubicBezTo>
                                      <a:pt x="3880" y="2527"/>
                                      <a:pt x="4019" y="2547"/>
                                      <a:pt x="4178" y="2566"/>
                                    </a:cubicBezTo>
                                    <a:lnTo>
                                      <a:pt x="4218" y="2566"/>
                                    </a:lnTo>
                                    <a:cubicBezTo>
                                      <a:pt x="4138" y="2547"/>
                                      <a:pt x="4079" y="2507"/>
                                      <a:pt x="3999" y="2467"/>
                                    </a:cubicBezTo>
                                    <a:cubicBezTo>
                                      <a:pt x="3959" y="2447"/>
                                      <a:pt x="3939" y="2427"/>
                                      <a:pt x="3880" y="2407"/>
                                    </a:cubicBezTo>
                                    <a:cubicBezTo>
                                      <a:pt x="3740" y="2348"/>
                                      <a:pt x="3581" y="2328"/>
                                      <a:pt x="3581" y="2308"/>
                                    </a:cubicBezTo>
                                    <a:cubicBezTo>
                                      <a:pt x="3561" y="2308"/>
                                      <a:pt x="3541" y="2288"/>
                                      <a:pt x="3541" y="2268"/>
                                    </a:cubicBezTo>
                                    <a:cubicBezTo>
                                      <a:pt x="3541" y="2248"/>
                                      <a:pt x="3561" y="2248"/>
                                      <a:pt x="3581" y="2228"/>
                                    </a:cubicBezTo>
                                    <a:lnTo>
                                      <a:pt x="4277" y="2129"/>
                                    </a:lnTo>
                                    <a:lnTo>
                                      <a:pt x="3581" y="2029"/>
                                    </a:lnTo>
                                    <a:cubicBezTo>
                                      <a:pt x="3561" y="2029"/>
                                      <a:pt x="3541" y="2009"/>
                                      <a:pt x="3541" y="2009"/>
                                    </a:cubicBezTo>
                                    <a:cubicBezTo>
                                      <a:pt x="3541" y="1990"/>
                                      <a:pt x="3541" y="1970"/>
                                      <a:pt x="3561" y="1970"/>
                                    </a:cubicBezTo>
                                    <a:cubicBezTo>
                                      <a:pt x="3561" y="1950"/>
                                      <a:pt x="3661" y="1890"/>
                                      <a:pt x="3820" y="1850"/>
                                    </a:cubicBezTo>
                                    <a:cubicBezTo>
                                      <a:pt x="3899" y="1830"/>
                                      <a:pt x="4039" y="1810"/>
                                      <a:pt x="4178" y="1751"/>
                                    </a:cubicBezTo>
                                    <a:lnTo>
                                      <a:pt x="4218" y="1751"/>
                                    </a:lnTo>
                                    <a:cubicBezTo>
                                      <a:pt x="4138" y="1751"/>
                                      <a:pt x="4059" y="1751"/>
                                      <a:pt x="3999" y="1731"/>
                                    </a:cubicBezTo>
                                    <a:lnTo>
                                      <a:pt x="3860" y="1731"/>
                                    </a:lnTo>
                                    <a:cubicBezTo>
                                      <a:pt x="3824" y="1727"/>
                                      <a:pt x="3790" y="1725"/>
                                      <a:pt x="3758" y="1725"/>
                                    </a:cubicBezTo>
                                    <a:cubicBezTo>
                                      <a:pt x="3630" y="1725"/>
                                      <a:pt x="3537" y="1751"/>
                                      <a:pt x="3522" y="1751"/>
                                    </a:cubicBezTo>
                                    <a:cubicBezTo>
                                      <a:pt x="3516" y="1757"/>
                                      <a:pt x="3510" y="1759"/>
                                      <a:pt x="3505" y="1759"/>
                                    </a:cubicBezTo>
                                    <a:cubicBezTo>
                                      <a:pt x="3492" y="1759"/>
                                      <a:pt x="3482" y="1745"/>
                                      <a:pt x="3482" y="1731"/>
                                    </a:cubicBezTo>
                                    <a:cubicBezTo>
                                      <a:pt x="3482" y="1711"/>
                                      <a:pt x="3482" y="1691"/>
                                      <a:pt x="3502" y="1691"/>
                                    </a:cubicBezTo>
                                    <a:lnTo>
                                      <a:pt x="4118" y="1313"/>
                                    </a:lnTo>
                                    <a:lnTo>
                                      <a:pt x="3422" y="1492"/>
                                    </a:lnTo>
                                    <a:cubicBezTo>
                                      <a:pt x="3402" y="1492"/>
                                      <a:pt x="3382" y="1492"/>
                                      <a:pt x="3382" y="1472"/>
                                    </a:cubicBezTo>
                                    <a:cubicBezTo>
                                      <a:pt x="3362" y="1452"/>
                                      <a:pt x="3362" y="1433"/>
                                      <a:pt x="3382" y="1433"/>
                                    </a:cubicBezTo>
                                    <a:cubicBezTo>
                                      <a:pt x="3382" y="1413"/>
                                      <a:pt x="3462" y="1313"/>
                                      <a:pt x="3581" y="1214"/>
                                    </a:cubicBezTo>
                                    <a:cubicBezTo>
                                      <a:pt x="3641" y="1174"/>
                                      <a:pt x="3760" y="1094"/>
                                      <a:pt x="3880" y="995"/>
                                    </a:cubicBezTo>
                                    <a:cubicBezTo>
                                      <a:pt x="3880" y="995"/>
                                      <a:pt x="3899" y="975"/>
                                      <a:pt x="3899" y="975"/>
                                    </a:cubicBezTo>
                                    <a:lnTo>
                                      <a:pt x="3899" y="975"/>
                                    </a:lnTo>
                                    <a:cubicBezTo>
                                      <a:pt x="3820" y="1015"/>
                                      <a:pt x="3760" y="1035"/>
                                      <a:pt x="3701" y="1055"/>
                                    </a:cubicBezTo>
                                    <a:cubicBezTo>
                                      <a:pt x="3661" y="1055"/>
                                      <a:pt x="3601" y="1074"/>
                                      <a:pt x="3561" y="1094"/>
                                    </a:cubicBezTo>
                                    <a:cubicBezTo>
                                      <a:pt x="3402" y="1154"/>
                                      <a:pt x="3283" y="1253"/>
                                      <a:pt x="3283" y="1253"/>
                                    </a:cubicBezTo>
                                    <a:cubicBezTo>
                                      <a:pt x="3263" y="1253"/>
                                      <a:pt x="3243" y="1253"/>
                                      <a:pt x="3223" y="1234"/>
                                    </a:cubicBezTo>
                                    <a:cubicBezTo>
                                      <a:pt x="3203" y="1234"/>
                                      <a:pt x="3203" y="1194"/>
                                      <a:pt x="3223" y="1194"/>
                                    </a:cubicBezTo>
                                    <a:lnTo>
                                      <a:pt x="3641" y="617"/>
                                    </a:lnTo>
                                    <a:lnTo>
                                      <a:pt x="3084" y="1035"/>
                                    </a:lnTo>
                                    <a:cubicBezTo>
                                      <a:pt x="3074" y="1045"/>
                                      <a:pt x="3064" y="1050"/>
                                      <a:pt x="3054" y="1050"/>
                                    </a:cubicBezTo>
                                    <a:cubicBezTo>
                                      <a:pt x="3044" y="1050"/>
                                      <a:pt x="3034" y="1045"/>
                                      <a:pt x="3024" y="1035"/>
                                    </a:cubicBezTo>
                                    <a:cubicBezTo>
                                      <a:pt x="3024" y="1035"/>
                                      <a:pt x="3004" y="1015"/>
                                      <a:pt x="3004" y="995"/>
                                    </a:cubicBezTo>
                                    <a:cubicBezTo>
                                      <a:pt x="3004" y="995"/>
                                      <a:pt x="3044" y="876"/>
                                      <a:pt x="3124" y="736"/>
                                    </a:cubicBezTo>
                                    <a:cubicBezTo>
                                      <a:pt x="3163" y="677"/>
                                      <a:pt x="3243" y="557"/>
                                      <a:pt x="3303" y="418"/>
                                    </a:cubicBezTo>
                                    <a:cubicBezTo>
                                      <a:pt x="3303" y="398"/>
                                      <a:pt x="3323" y="398"/>
                                      <a:pt x="3323" y="378"/>
                                    </a:cubicBezTo>
                                    <a:lnTo>
                                      <a:pt x="3323" y="378"/>
                                    </a:lnTo>
                                    <a:cubicBezTo>
                                      <a:pt x="3263" y="438"/>
                                      <a:pt x="3203" y="478"/>
                                      <a:pt x="3163" y="537"/>
                                    </a:cubicBezTo>
                                    <a:cubicBezTo>
                                      <a:pt x="3124" y="557"/>
                                      <a:pt x="3084" y="577"/>
                                      <a:pt x="3044" y="617"/>
                                    </a:cubicBezTo>
                                    <a:cubicBezTo>
                                      <a:pt x="2925" y="736"/>
                                      <a:pt x="2865" y="856"/>
                                      <a:pt x="2845" y="876"/>
                                    </a:cubicBezTo>
                                    <a:cubicBezTo>
                                      <a:pt x="2845" y="895"/>
                                      <a:pt x="2825" y="895"/>
                                      <a:pt x="2805" y="895"/>
                                    </a:cubicBezTo>
                                    <a:cubicBezTo>
                                      <a:pt x="2786" y="876"/>
                                      <a:pt x="2766" y="856"/>
                                      <a:pt x="2766" y="836"/>
                                    </a:cubicBezTo>
                                    <a:lnTo>
                                      <a:pt x="2945" y="159"/>
                                    </a:lnTo>
                                    <a:lnTo>
                                      <a:pt x="2587" y="756"/>
                                    </a:lnTo>
                                    <a:cubicBezTo>
                                      <a:pt x="2587" y="770"/>
                                      <a:pt x="2577" y="784"/>
                                      <a:pt x="2564" y="784"/>
                                    </a:cubicBezTo>
                                    <a:cubicBezTo>
                                      <a:pt x="2558" y="784"/>
                                      <a:pt x="2553" y="782"/>
                                      <a:pt x="2547" y="776"/>
                                    </a:cubicBezTo>
                                    <a:cubicBezTo>
                                      <a:pt x="2527" y="776"/>
                                      <a:pt x="2507" y="776"/>
                                      <a:pt x="2507" y="756"/>
                                    </a:cubicBezTo>
                                    <a:cubicBezTo>
                                      <a:pt x="2507" y="756"/>
                                      <a:pt x="2487" y="617"/>
                                      <a:pt x="2507" y="458"/>
                                    </a:cubicBezTo>
                                    <a:cubicBezTo>
                                      <a:pt x="2527" y="378"/>
                                      <a:pt x="2547" y="239"/>
                                      <a:pt x="2567" y="100"/>
                                    </a:cubicBezTo>
                                    <a:cubicBezTo>
                                      <a:pt x="2567" y="80"/>
                                      <a:pt x="2567" y="80"/>
                                      <a:pt x="2567" y="60"/>
                                    </a:cubicBezTo>
                                    <a:cubicBezTo>
                                      <a:pt x="2527" y="139"/>
                                      <a:pt x="2507" y="199"/>
                                      <a:pt x="2467" y="259"/>
                                    </a:cubicBezTo>
                                    <a:cubicBezTo>
                                      <a:pt x="2447" y="299"/>
                                      <a:pt x="2427" y="338"/>
                                      <a:pt x="2408" y="378"/>
                                    </a:cubicBezTo>
                                    <a:cubicBezTo>
                                      <a:pt x="2328" y="537"/>
                                      <a:pt x="2308" y="696"/>
                                      <a:pt x="2308" y="696"/>
                                    </a:cubicBezTo>
                                    <a:cubicBezTo>
                                      <a:pt x="2308" y="716"/>
                                      <a:pt x="2288" y="736"/>
                                      <a:pt x="2268" y="736"/>
                                    </a:cubicBezTo>
                                    <a:cubicBezTo>
                                      <a:pt x="2248" y="736"/>
                                      <a:pt x="2229" y="716"/>
                                      <a:pt x="2229" y="696"/>
                                    </a:cubicBezTo>
                                    <a:lnTo>
                                      <a:pt x="2129" y="0"/>
                                    </a:lnTo>
                                    <a:close/>
                                  </a:path>
                                </a:pathLst>
                              </a:custGeom>
                              <a:solidFill>
                                <a:srgbClr val="FFC50A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40" name="Shape 40"/>
                              <xdr:cNvSpPr/>
                            </xdr:nvSpPr>
                            <xdr:spPr>
                              <a:xfrm>
                                <a:off x="2459250" y="1035375"/>
                                <a:ext cx="23400" cy="852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936" h="341" extrusionOk="0">
                                    <a:moveTo>
                                      <a:pt x="272" y="0"/>
                                    </a:moveTo>
                                    <a:cubicBezTo>
                                      <a:pt x="213" y="0"/>
                                      <a:pt x="147" y="5"/>
                                      <a:pt x="81" y="18"/>
                                    </a:cubicBezTo>
                                    <a:cubicBezTo>
                                      <a:pt x="21" y="38"/>
                                      <a:pt x="1" y="157"/>
                                      <a:pt x="1" y="157"/>
                                    </a:cubicBezTo>
                                    <a:cubicBezTo>
                                      <a:pt x="1" y="210"/>
                                      <a:pt x="27" y="219"/>
                                      <a:pt x="45" y="219"/>
                                    </a:cubicBezTo>
                                    <a:cubicBezTo>
                                      <a:pt x="54" y="219"/>
                                      <a:pt x="61" y="217"/>
                                      <a:pt x="61" y="217"/>
                                    </a:cubicBezTo>
                                    <a:cubicBezTo>
                                      <a:pt x="217" y="189"/>
                                      <a:pt x="341" y="179"/>
                                      <a:pt x="440" y="179"/>
                                    </a:cubicBezTo>
                                    <a:cubicBezTo>
                                      <a:pt x="769" y="179"/>
                                      <a:pt x="817" y="296"/>
                                      <a:pt x="817" y="296"/>
                                    </a:cubicBezTo>
                                    <a:cubicBezTo>
                                      <a:pt x="817" y="296"/>
                                      <a:pt x="831" y="340"/>
                                      <a:pt x="873" y="340"/>
                                    </a:cubicBezTo>
                                    <a:cubicBezTo>
                                      <a:pt x="880" y="340"/>
                                      <a:pt x="888" y="339"/>
                                      <a:pt x="896" y="336"/>
                                    </a:cubicBezTo>
                                    <a:cubicBezTo>
                                      <a:pt x="896" y="336"/>
                                      <a:pt x="936" y="336"/>
                                      <a:pt x="916" y="277"/>
                                    </a:cubicBezTo>
                                    <a:cubicBezTo>
                                      <a:pt x="916" y="277"/>
                                      <a:pt x="836" y="58"/>
                                      <a:pt x="478" y="18"/>
                                    </a:cubicBezTo>
                                    <a:cubicBezTo>
                                      <a:pt x="478" y="18"/>
                                      <a:pt x="390" y="0"/>
                                      <a:pt x="272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231F2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41" name="Shape 41"/>
                              <xdr:cNvSpPr/>
                            </xdr:nvSpPr>
                            <xdr:spPr>
                              <a:xfrm>
                                <a:off x="2428925" y="1043275"/>
                                <a:ext cx="20925" cy="897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837" h="359" extrusionOk="0">
                                    <a:moveTo>
                                      <a:pt x="418" y="0"/>
                                    </a:moveTo>
                                    <a:cubicBezTo>
                                      <a:pt x="100" y="0"/>
                                      <a:pt x="20" y="199"/>
                                      <a:pt x="20" y="199"/>
                                    </a:cubicBezTo>
                                    <a:cubicBezTo>
                                      <a:pt x="1" y="259"/>
                                      <a:pt x="60" y="279"/>
                                      <a:pt x="60" y="279"/>
                                    </a:cubicBezTo>
                                    <a:cubicBezTo>
                                      <a:pt x="120" y="279"/>
                                      <a:pt x="140" y="239"/>
                                      <a:pt x="140" y="239"/>
                                    </a:cubicBezTo>
                                    <a:cubicBezTo>
                                      <a:pt x="140" y="239"/>
                                      <a:pt x="160" y="179"/>
                                      <a:pt x="279" y="159"/>
                                    </a:cubicBezTo>
                                    <a:lnTo>
                                      <a:pt x="279" y="159"/>
                                    </a:lnTo>
                                    <a:cubicBezTo>
                                      <a:pt x="279" y="159"/>
                                      <a:pt x="259" y="179"/>
                                      <a:pt x="259" y="199"/>
                                    </a:cubicBezTo>
                                    <a:cubicBezTo>
                                      <a:pt x="259" y="299"/>
                                      <a:pt x="339" y="358"/>
                                      <a:pt x="418" y="358"/>
                                    </a:cubicBezTo>
                                    <a:cubicBezTo>
                                      <a:pt x="518" y="358"/>
                                      <a:pt x="577" y="299"/>
                                      <a:pt x="577" y="199"/>
                                    </a:cubicBezTo>
                                    <a:cubicBezTo>
                                      <a:pt x="577" y="179"/>
                                      <a:pt x="577" y="159"/>
                                      <a:pt x="577" y="140"/>
                                    </a:cubicBezTo>
                                    <a:cubicBezTo>
                                      <a:pt x="617" y="159"/>
                                      <a:pt x="657" y="199"/>
                                      <a:pt x="677" y="239"/>
                                    </a:cubicBezTo>
                                    <a:cubicBezTo>
                                      <a:pt x="697" y="279"/>
                                      <a:pt x="717" y="279"/>
                                      <a:pt x="776" y="279"/>
                                    </a:cubicBezTo>
                                    <a:cubicBezTo>
                                      <a:pt x="836" y="279"/>
                                      <a:pt x="836" y="239"/>
                                      <a:pt x="836" y="239"/>
                                    </a:cubicBezTo>
                                    <a:cubicBezTo>
                                      <a:pt x="796" y="80"/>
                                      <a:pt x="697" y="20"/>
                                      <a:pt x="697" y="20"/>
                                    </a:cubicBezTo>
                                    <a:cubicBezTo>
                                      <a:pt x="597" y="0"/>
                                      <a:pt x="418" y="0"/>
                                      <a:pt x="418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231F2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42" name="Shape 42"/>
                              <xdr:cNvSpPr/>
                            </xdr:nvSpPr>
                            <xdr:spPr>
                              <a:xfrm>
                                <a:off x="2458775" y="1043275"/>
                                <a:ext cx="21400" cy="897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856" h="359" extrusionOk="0">
                                    <a:moveTo>
                                      <a:pt x="438" y="0"/>
                                    </a:moveTo>
                                    <a:cubicBezTo>
                                      <a:pt x="438" y="0"/>
                                      <a:pt x="239" y="0"/>
                                      <a:pt x="159" y="20"/>
                                    </a:cubicBezTo>
                                    <a:cubicBezTo>
                                      <a:pt x="159" y="20"/>
                                      <a:pt x="60" y="80"/>
                                      <a:pt x="20" y="239"/>
                                    </a:cubicBezTo>
                                    <a:cubicBezTo>
                                      <a:pt x="20" y="239"/>
                                      <a:pt x="0" y="279"/>
                                      <a:pt x="60" y="279"/>
                                    </a:cubicBezTo>
                                    <a:cubicBezTo>
                                      <a:pt x="119" y="279"/>
                                      <a:pt x="139" y="279"/>
                                      <a:pt x="159" y="239"/>
                                    </a:cubicBezTo>
                                    <a:cubicBezTo>
                                      <a:pt x="179" y="199"/>
                                      <a:pt x="219" y="159"/>
                                      <a:pt x="279" y="140"/>
                                    </a:cubicBezTo>
                                    <a:lnTo>
                                      <a:pt x="279" y="140"/>
                                    </a:lnTo>
                                    <a:cubicBezTo>
                                      <a:pt x="259" y="159"/>
                                      <a:pt x="259" y="179"/>
                                      <a:pt x="259" y="199"/>
                                    </a:cubicBezTo>
                                    <a:cubicBezTo>
                                      <a:pt x="259" y="299"/>
                                      <a:pt x="318" y="358"/>
                                      <a:pt x="418" y="358"/>
                                    </a:cubicBezTo>
                                    <a:cubicBezTo>
                                      <a:pt x="497" y="358"/>
                                      <a:pt x="577" y="299"/>
                                      <a:pt x="577" y="199"/>
                                    </a:cubicBezTo>
                                    <a:cubicBezTo>
                                      <a:pt x="577" y="182"/>
                                      <a:pt x="577" y="165"/>
                                      <a:pt x="564" y="161"/>
                                    </a:cubicBezTo>
                                    <a:lnTo>
                                      <a:pt x="564" y="161"/>
                                    </a:lnTo>
                                    <a:cubicBezTo>
                                      <a:pt x="697" y="181"/>
                                      <a:pt x="716" y="239"/>
                                      <a:pt x="716" y="239"/>
                                    </a:cubicBezTo>
                                    <a:cubicBezTo>
                                      <a:pt x="716" y="239"/>
                                      <a:pt x="731" y="283"/>
                                      <a:pt x="773" y="283"/>
                                    </a:cubicBezTo>
                                    <a:cubicBezTo>
                                      <a:pt x="780" y="283"/>
                                      <a:pt x="787" y="282"/>
                                      <a:pt x="796" y="279"/>
                                    </a:cubicBezTo>
                                    <a:cubicBezTo>
                                      <a:pt x="796" y="279"/>
                                      <a:pt x="855" y="259"/>
                                      <a:pt x="816" y="199"/>
                                    </a:cubicBezTo>
                                    <a:cubicBezTo>
                                      <a:pt x="816" y="199"/>
                                      <a:pt x="736" y="0"/>
                                      <a:pt x="438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231F2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43" name="Shape 43"/>
                              <xdr:cNvSpPr/>
                            </xdr:nvSpPr>
                            <xdr:spPr>
                              <a:xfrm>
                                <a:off x="2425950" y="1035375"/>
                                <a:ext cx="23900" cy="852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956" h="341" extrusionOk="0">
                                    <a:moveTo>
                                      <a:pt x="669" y="0"/>
                                    </a:moveTo>
                                    <a:cubicBezTo>
                                      <a:pt x="557" y="0"/>
                                      <a:pt x="478" y="18"/>
                                      <a:pt x="478" y="18"/>
                                    </a:cubicBezTo>
                                    <a:cubicBezTo>
                                      <a:pt x="100" y="58"/>
                                      <a:pt x="20" y="277"/>
                                      <a:pt x="20" y="277"/>
                                    </a:cubicBezTo>
                                    <a:cubicBezTo>
                                      <a:pt x="0" y="336"/>
                                      <a:pt x="60" y="336"/>
                                      <a:pt x="60" y="336"/>
                                    </a:cubicBezTo>
                                    <a:cubicBezTo>
                                      <a:pt x="68" y="339"/>
                                      <a:pt x="76" y="340"/>
                                      <a:pt x="82" y="340"/>
                                    </a:cubicBezTo>
                                    <a:cubicBezTo>
                                      <a:pt x="120" y="340"/>
                                      <a:pt x="120" y="296"/>
                                      <a:pt x="120" y="296"/>
                                    </a:cubicBezTo>
                                    <a:cubicBezTo>
                                      <a:pt x="120" y="296"/>
                                      <a:pt x="167" y="179"/>
                                      <a:pt x="505" y="179"/>
                                    </a:cubicBezTo>
                                    <a:cubicBezTo>
                                      <a:pt x="607" y="179"/>
                                      <a:pt x="735" y="189"/>
                                      <a:pt x="895" y="217"/>
                                    </a:cubicBezTo>
                                    <a:cubicBezTo>
                                      <a:pt x="895" y="217"/>
                                      <a:pt x="955" y="217"/>
                                      <a:pt x="935" y="157"/>
                                    </a:cubicBezTo>
                                    <a:cubicBezTo>
                                      <a:pt x="935" y="157"/>
                                      <a:pt x="915" y="38"/>
                                      <a:pt x="856" y="18"/>
                                    </a:cubicBezTo>
                                    <a:cubicBezTo>
                                      <a:pt x="789" y="5"/>
                                      <a:pt x="725" y="0"/>
                                      <a:pt x="669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231F2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44" name="Shape 44"/>
                              <xdr:cNvSpPr/>
                            </xdr:nvSpPr>
                            <xdr:spPr>
                              <a:xfrm>
                                <a:off x="2508500" y="1302875"/>
                                <a:ext cx="21400" cy="1692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856" h="677" extrusionOk="0">
                                    <a:moveTo>
                                      <a:pt x="378" y="0"/>
                                    </a:moveTo>
                                    <a:lnTo>
                                      <a:pt x="378" y="0"/>
                                    </a:lnTo>
                                    <a:cubicBezTo>
                                      <a:pt x="319" y="40"/>
                                      <a:pt x="259" y="100"/>
                                      <a:pt x="219" y="140"/>
                                    </a:cubicBezTo>
                                    <a:cubicBezTo>
                                      <a:pt x="80" y="319"/>
                                      <a:pt x="0" y="478"/>
                                      <a:pt x="20" y="677"/>
                                    </a:cubicBezTo>
                                    <a:lnTo>
                                      <a:pt x="259" y="677"/>
                                    </a:lnTo>
                                    <a:cubicBezTo>
                                      <a:pt x="378" y="637"/>
                                      <a:pt x="597" y="557"/>
                                      <a:pt x="856" y="319"/>
                                    </a:cubicBezTo>
                                    <a:cubicBezTo>
                                      <a:pt x="816" y="312"/>
                                      <a:pt x="772" y="308"/>
                                      <a:pt x="723" y="308"/>
                                    </a:cubicBezTo>
                                    <a:cubicBezTo>
                                      <a:pt x="626" y="308"/>
                                      <a:pt x="511" y="325"/>
                                      <a:pt x="378" y="378"/>
                                    </a:cubicBezTo>
                                    <a:cubicBezTo>
                                      <a:pt x="358" y="378"/>
                                      <a:pt x="339" y="378"/>
                                      <a:pt x="319" y="358"/>
                                    </a:cubicBezTo>
                                    <a:cubicBezTo>
                                      <a:pt x="299" y="339"/>
                                      <a:pt x="279" y="319"/>
                                      <a:pt x="299" y="299"/>
                                    </a:cubicBezTo>
                                    <a:cubicBezTo>
                                      <a:pt x="299" y="299"/>
                                      <a:pt x="358" y="159"/>
                                      <a:pt x="378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58A947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45" name="Shape 45"/>
                              <xdr:cNvSpPr/>
                            </xdr:nvSpPr>
                            <xdr:spPr>
                              <a:xfrm>
                                <a:off x="2379200" y="1302875"/>
                                <a:ext cx="21400" cy="1692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856" h="677" extrusionOk="0">
                                    <a:moveTo>
                                      <a:pt x="478" y="0"/>
                                    </a:moveTo>
                                    <a:cubicBezTo>
                                      <a:pt x="498" y="159"/>
                                      <a:pt x="557" y="299"/>
                                      <a:pt x="557" y="299"/>
                                    </a:cubicBezTo>
                                    <a:cubicBezTo>
                                      <a:pt x="557" y="319"/>
                                      <a:pt x="557" y="358"/>
                                      <a:pt x="537" y="358"/>
                                    </a:cubicBezTo>
                                    <a:cubicBezTo>
                                      <a:pt x="523" y="372"/>
                                      <a:pt x="509" y="387"/>
                                      <a:pt x="495" y="387"/>
                                    </a:cubicBezTo>
                                    <a:cubicBezTo>
                                      <a:pt x="489" y="387"/>
                                      <a:pt x="484" y="384"/>
                                      <a:pt x="478" y="378"/>
                                    </a:cubicBezTo>
                                    <a:cubicBezTo>
                                      <a:pt x="345" y="325"/>
                                      <a:pt x="221" y="308"/>
                                      <a:pt x="124" y="308"/>
                                    </a:cubicBezTo>
                                    <a:cubicBezTo>
                                      <a:pt x="75" y="308"/>
                                      <a:pt x="33" y="312"/>
                                      <a:pt x="0" y="319"/>
                                    </a:cubicBezTo>
                                    <a:cubicBezTo>
                                      <a:pt x="199" y="518"/>
                                      <a:pt x="398" y="637"/>
                                      <a:pt x="597" y="677"/>
                                    </a:cubicBezTo>
                                    <a:lnTo>
                                      <a:pt x="836" y="677"/>
                                    </a:lnTo>
                                    <a:cubicBezTo>
                                      <a:pt x="856" y="358"/>
                                      <a:pt x="617" y="120"/>
                                      <a:pt x="478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58A947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46" name="Shape 46"/>
                              <xdr:cNvSpPr/>
                            </xdr:nvSpPr>
                            <xdr:spPr>
                              <a:xfrm>
                                <a:off x="2520425" y="1290450"/>
                                <a:ext cx="20925" cy="1742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837" h="697" extrusionOk="0">
                                    <a:moveTo>
                                      <a:pt x="279" y="0"/>
                                    </a:moveTo>
                                    <a:cubicBezTo>
                                      <a:pt x="239" y="60"/>
                                      <a:pt x="200" y="99"/>
                                      <a:pt x="160" y="159"/>
                                    </a:cubicBezTo>
                                    <a:cubicBezTo>
                                      <a:pt x="41" y="338"/>
                                      <a:pt x="1" y="517"/>
                                      <a:pt x="1" y="696"/>
                                    </a:cubicBezTo>
                                    <a:lnTo>
                                      <a:pt x="41" y="696"/>
                                    </a:lnTo>
                                    <a:cubicBezTo>
                                      <a:pt x="100" y="696"/>
                                      <a:pt x="180" y="696"/>
                                      <a:pt x="279" y="676"/>
                                    </a:cubicBezTo>
                                    <a:cubicBezTo>
                                      <a:pt x="379" y="637"/>
                                      <a:pt x="478" y="577"/>
                                      <a:pt x="558" y="497"/>
                                    </a:cubicBezTo>
                                    <a:cubicBezTo>
                                      <a:pt x="657" y="438"/>
                                      <a:pt x="757" y="338"/>
                                      <a:pt x="836" y="239"/>
                                    </a:cubicBezTo>
                                    <a:lnTo>
                                      <a:pt x="836" y="219"/>
                                    </a:lnTo>
                                    <a:lnTo>
                                      <a:pt x="816" y="219"/>
                                    </a:lnTo>
                                    <a:cubicBezTo>
                                      <a:pt x="717" y="219"/>
                                      <a:pt x="538" y="259"/>
                                      <a:pt x="359" y="378"/>
                                    </a:cubicBezTo>
                                    <a:lnTo>
                                      <a:pt x="299" y="378"/>
                                    </a:lnTo>
                                    <a:cubicBezTo>
                                      <a:pt x="279" y="358"/>
                                      <a:pt x="279" y="338"/>
                                      <a:pt x="279" y="318"/>
                                    </a:cubicBezTo>
                                    <a:cubicBezTo>
                                      <a:pt x="279" y="318"/>
                                      <a:pt x="319" y="159"/>
                                      <a:pt x="299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58A947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47" name="Shape 47"/>
                              <xdr:cNvSpPr/>
                            </xdr:nvSpPr>
                            <xdr:spPr>
                              <a:xfrm>
                                <a:off x="2530375" y="1276525"/>
                                <a:ext cx="19925" cy="1792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797" h="717" extrusionOk="0">
                                    <a:moveTo>
                                      <a:pt x="239" y="0"/>
                                    </a:moveTo>
                                    <a:cubicBezTo>
                                      <a:pt x="200" y="60"/>
                                      <a:pt x="160" y="119"/>
                                      <a:pt x="140" y="179"/>
                                    </a:cubicBezTo>
                                    <a:cubicBezTo>
                                      <a:pt x="40" y="358"/>
                                      <a:pt x="1" y="557"/>
                                      <a:pt x="40" y="716"/>
                                    </a:cubicBezTo>
                                    <a:cubicBezTo>
                                      <a:pt x="80" y="716"/>
                                      <a:pt x="180" y="716"/>
                                      <a:pt x="279" y="656"/>
                                    </a:cubicBezTo>
                                    <a:cubicBezTo>
                                      <a:pt x="379" y="617"/>
                                      <a:pt x="478" y="557"/>
                                      <a:pt x="558" y="477"/>
                                    </a:cubicBezTo>
                                    <a:cubicBezTo>
                                      <a:pt x="657" y="398"/>
                                      <a:pt x="737" y="279"/>
                                      <a:pt x="796" y="179"/>
                                    </a:cubicBezTo>
                                    <a:lnTo>
                                      <a:pt x="796" y="159"/>
                                    </a:lnTo>
                                    <a:cubicBezTo>
                                      <a:pt x="677" y="179"/>
                                      <a:pt x="518" y="239"/>
                                      <a:pt x="359" y="358"/>
                                    </a:cubicBezTo>
                                    <a:cubicBezTo>
                                      <a:pt x="349" y="368"/>
                                      <a:pt x="339" y="373"/>
                                      <a:pt x="329" y="373"/>
                                    </a:cubicBezTo>
                                    <a:cubicBezTo>
                                      <a:pt x="319" y="373"/>
                                      <a:pt x="309" y="368"/>
                                      <a:pt x="299" y="358"/>
                                    </a:cubicBezTo>
                                    <a:cubicBezTo>
                                      <a:pt x="279" y="358"/>
                                      <a:pt x="259" y="338"/>
                                      <a:pt x="259" y="318"/>
                                    </a:cubicBezTo>
                                    <a:cubicBezTo>
                                      <a:pt x="259" y="298"/>
                                      <a:pt x="279" y="159"/>
                                      <a:pt x="239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58A947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48" name="Shape 48"/>
                              <xdr:cNvSpPr/>
                            </xdr:nvSpPr>
                            <xdr:spPr>
                              <a:xfrm>
                                <a:off x="2538825" y="1261600"/>
                                <a:ext cx="18925" cy="1842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757" h="737" extrusionOk="0">
                                    <a:moveTo>
                                      <a:pt x="160" y="0"/>
                                    </a:moveTo>
                                    <a:cubicBezTo>
                                      <a:pt x="140" y="60"/>
                                      <a:pt x="100" y="120"/>
                                      <a:pt x="80" y="179"/>
                                    </a:cubicBezTo>
                                    <a:cubicBezTo>
                                      <a:pt x="21" y="378"/>
                                      <a:pt x="1" y="557"/>
                                      <a:pt x="60" y="736"/>
                                    </a:cubicBezTo>
                                    <a:cubicBezTo>
                                      <a:pt x="100" y="736"/>
                                      <a:pt x="200" y="716"/>
                                      <a:pt x="299" y="657"/>
                                    </a:cubicBezTo>
                                    <a:cubicBezTo>
                                      <a:pt x="399" y="597"/>
                                      <a:pt x="478" y="517"/>
                                      <a:pt x="558" y="438"/>
                                    </a:cubicBezTo>
                                    <a:cubicBezTo>
                                      <a:pt x="637" y="338"/>
                                      <a:pt x="697" y="219"/>
                                      <a:pt x="757" y="100"/>
                                    </a:cubicBezTo>
                                    <a:lnTo>
                                      <a:pt x="757" y="80"/>
                                    </a:lnTo>
                                    <a:cubicBezTo>
                                      <a:pt x="737" y="100"/>
                                      <a:pt x="697" y="100"/>
                                      <a:pt x="677" y="100"/>
                                    </a:cubicBezTo>
                                    <a:cubicBezTo>
                                      <a:pt x="598" y="139"/>
                                      <a:pt x="458" y="199"/>
                                      <a:pt x="339" y="338"/>
                                    </a:cubicBezTo>
                                    <a:cubicBezTo>
                                      <a:pt x="325" y="352"/>
                                      <a:pt x="311" y="367"/>
                                      <a:pt x="297" y="367"/>
                                    </a:cubicBezTo>
                                    <a:cubicBezTo>
                                      <a:pt x="291" y="367"/>
                                      <a:pt x="285" y="364"/>
                                      <a:pt x="279" y="358"/>
                                    </a:cubicBezTo>
                                    <a:cubicBezTo>
                                      <a:pt x="240" y="358"/>
                                      <a:pt x="240" y="338"/>
                                      <a:pt x="240" y="299"/>
                                    </a:cubicBezTo>
                                    <a:cubicBezTo>
                                      <a:pt x="240" y="299"/>
                                      <a:pt x="220" y="139"/>
                                      <a:pt x="180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58A947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49" name="Shape 49"/>
                              <xdr:cNvSpPr/>
                            </xdr:nvSpPr>
                            <xdr:spPr>
                              <a:xfrm>
                                <a:off x="2545300" y="1245675"/>
                                <a:ext cx="17925" cy="1892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717" h="757" extrusionOk="0">
                                    <a:moveTo>
                                      <a:pt x="120" y="1"/>
                                    </a:moveTo>
                                    <a:cubicBezTo>
                                      <a:pt x="100" y="60"/>
                                      <a:pt x="80" y="120"/>
                                      <a:pt x="60" y="200"/>
                                    </a:cubicBezTo>
                                    <a:cubicBezTo>
                                      <a:pt x="20" y="339"/>
                                      <a:pt x="0" y="558"/>
                                      <a:pt x="80" y="757"/>
                                    </a:cubicBezTo>
                                    <a:cubicBezTo>
                                      <a:pt x="120" y="757"/>
                                      <a:pt x="219" y="717"/>
                                      <a:pt x="319" y="637"/>
                                    </a:cubicBezTo>
                                    <a:cubicBezTo>
                                      <a:pt x="398" y="578"/>
                                      <a:pt x="478" y="498"/>
                                      <a:pt x="538" y="399"/>
                                    </a:cubicBezTo>
                                    <a:cubicBezTo>
                                      <a:pt x="617" y="299"/>
                                      <a:pt x="657" y="180"/>
                                      <a:pt x="717" y="60"/>
                                    </a:cubicBezTo>
                                    <a:lnTo>
                                      <a:pt x="717" y="40"/>
                                    </a:lnTo>
                                    <a:lnTo>
                                      <a:pt x="697" y="40"/>
                                    </a:lnTo>
                                    <a:cubicBezTo>
                                      <a:pt x="597" y="80"/>
                                      <a:pt x="458" y="180"/>
                                      <a:pt x="319" y="339"/>
                                    </a:cubicBezTo>
                                    <a:cubicBezTo>
                                      <a:pt x="299" y="359"/>
                                      <a:pt x="279" y="359"/>
                                      <a:pt x="259" y="359"/>
                                    </a:cubicBezTo>
                                    <a:cubicBezTo>
                                      <a:pt x="239" y="359"/>
                                      <a:pt x="219" y="339"/>
                                      <a:pt x="219" y="299"/>
                                    </a:cubicBezTo>
                                    <a:cubicBezTo>
                                      <a:pt x="219" y="299"/>
                                      <a:pt x="199" y="140"/>
                                      <a:pt x="120" y="1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58A947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50" name="Shape 50"/>
                              <xdr:cNvSpPr/>
                            </xdr:nvSpPr>
                            <xdr:spPr>
                              <a:xfrm>
                                <a:off x="2550275" y="1229275"/>
                                <a:ext cx="16425" cy="1942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657" h="777" extrusionOk="0">
                                    <a:moveTo>
                                      <a:pt x="60" y="0"/>
                                    </a:moveTo>
                                    <a:cubicBezTo>
                                      <a:pt x="40" y="60"/>
                                      <a:pt x="20" y="139"/>
                                      <a:pt x="20" y="199"/>
                                    </a:cubicBezTo>
                                    <a:cubicBezTo>
                                      <a:pt x="0" y="418"/>
                                      <a:pt x="20" y="617"/>
                                      <a:pt x="120" y="776"/>
                                    </a:cubicBezTo>
                                    <a:cubicBezTo>
                                      <a:pt x="159" y="756"/>
                                      <a:pt x="239" y="716"/>
                                      <a:pt x="339" y="637"/>
                                    </a:cubicBezTo>
                                    <a:cubicBezTo>
                                      <a:pt x="418" y="557"/>
                                      <a:pt x="478" y="478"/>
                                      <a:pt x="537" y="358"/>
                                    </a:cubicBezTo>
                                    <a:cubicBezTo>
                                      <a:pt x="577" y="259"/>
                                      <a:pt x="617" y="139"/>
                                      <a:pt x="657" y="0"/>
                                    </a:cubicBezTo>
                                    <a:lnTo>
                                      <a:pt x="637" y="0"/>
                                    </a:lnTo>
                                    <a:cubicBezTo>
                                      <a:pt x="537" y="40"/>
                                      <a:pt x="418" y="139"/>
                                      <a:pt x="299" y="318"/>
                                    </a:cubicBezTo>
                                    <a:cubicBezTo>
                                      <a:pt x="279" y="338"/>
                                      <a:pt x="259" y="358"/>
                                      <a:pt x="239" y="358"/>
                                    </a:cubicBezTo>
                                    <a:cubicBezTo>
                                      <a:pt x="219" y="358"/>
                                      <a:pt x="199" y="338"/>
                                      <a:pt x="199" y="318"/>
                                    </a:cubicBezTo>
                                    <a:cubicBezTo>
                                      <a:pt x="199" y="299"/>
                                      <a:pt x="140" y="139"/>
                                      <a:pt x="60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58A947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51" name="Shape 51"/>
                              <xdr:cNvSpPr/>
                            </xdr:nvSpPr>
                            <xdr:spPr>
                              <a:xfrm>
                                <a:off x="2552750" y="1210875"/>
                                <a:ext cx="15450" cy="209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618" h="836" extrusionOk="0">
                                    <a:moveTo>
                                      <a:pt x="598" y="0"/>
                                    </a:moveTo>
                                    <a:cubicBezTo>
                                      <a:pt x="518" y="80"/>
                                      <a:pt x="399" y="199"/>
                                      <a:pt x="299" y="378"/>
                                    </a:cubicBezTo>
                                    <a:cubicBezTo>
                                      <a:pt x="279" y="398"/>
                                      <a:pt x="259" y="418"/>
                                      <a:pt x="240" y="418"/>
                                    </a:cubicBezTo>
                                    <a:cubicBezTo>
                                      <a:pt x="220" y="418"/>
                                      <a:pt x="200" y="398"/>
                                      <a:pt x="200" y="378"/>
                                    </a:cubicBezTo>
                                    <a:cubicBezTo>
                                      <a:pt x="200" y="378"/>
                                      <a:pt x="140" y="219"/>
                                      <a:pt x="41" y="100"/>
                                    </a:cubicBezTo>
                                    <a:lnTo>
                                      <a:pt x="21" y="100"/>
                                    </a:lnTo>
                                    <a:cubicBezTo>
                                      <a:pt x="21" y="159"/>
                                      <a:pt x="1" y="239"/>
                                      <a:pt x="1" y="299"/>
                                    </a:cubicBezTo>
                                    <a:cubicBezTo>
                                      <a:pt x="1" y="497"/>
                                      <a:pt x="60" y="696"/>
                                      <a:pt x="160" y="836"/>
                                    </a:cubicBezTo>
                                    <a:lnTo>
                                      <a:pt x="180" y="836"/>
                                    </a:lnTo>
                                    <a:cubicBezTo>
                                      <a:pt x="200" y="816"/>
                                      <a:pt x="279" y="776"/>
                                      <a:pt x="379" y="677"/>
                                    </a:cubicBezTo>
                                    <a:cubicBezTo>
                                      <a:pt x="438" y="597"/>
                                      <a:pt x="498" y="497"/>
                                      <a:pt x="538" y="398"/>
                                    </a:cubicBezTo>
                                    <a:cubicBezTo>
                                      <a:pt x="578" y="279"/>
                                      <a:pt x="598" y="159"/>
                                      <a:pt x="617" y="20"/>
                                    </a:cubicBezTo>
                                    <a:cubicBezTo>
                                      <a:pt x="617" y="20"/>
                                      <a:pt x="617" y="20"/>
                                      <a:pt x="617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58A947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52" name="Shape 52"/>
                              <xdr:cNvSpPr/>
                            </xdr:nvSpPr>
                            <xdr:spPr>
                              <a:xfrm>
                                <a:off x="2553250" y="1193450"/>
                                <a:ext cx="14950" cy="2192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598" h="877" extrusionOk="0">
                                    <a:moveTo>
                                      <a:pt x="578" y="1"/>
                                    </a:moveTo>
                                    <a:lnTo>
                                      <a:pt x="578" y="1"/>
                                    </a:lnTo>
                                    <a:cubicBezTo>
                                      <a:pt x="498" y="81"/>
                                      <a:pt x="379" y="200"/>
                                      <a:pt x="299" y="399"/>
                                    </a:cubicBezTo>
                                    <a:cubicBezTo>
                                      <a:pt x="299" y="419"/>
                                      <a:pt x="279" y="439"/>
                                      <a:pt x="259" y="439"/>
                                    </a:cubicBezTo>
                                    <a:cubicBezTo>
                                      <a:pt x="239" y="439"/>
                                      <a:pt x="220" y="419"/>
                                      <a:pt x="200" y="399"/>
                                    </a:cubicBezTo>
                                    <a:cubicBezTo>
                                      <a:pt x="200" y="399"/>
                                      <a:pt x="120" y="260"/>
                                      <a:pt x="21" y="140"/>
                                    </a:cubicBezTo>
                                    <a:lnTo>
                                      <a:pt x="21" y="140"/>
                                    </a:lnTo>
                                    <a:cubicBezTo>
                                      <a:pt x="1" y="319"/>
                                      <a:pt x="21" y="638"/>
                                      <a:pt x="220" y="856"/>
                                    </a:cubicBezTo>
                                    <a:lnTo>
                                      <a:pt x="220" y="876"/>
                                    </a:lnTo>
                                    <a:cubicBezTo>
                                      <a:pt x="259" y="856"/>
                                      <a:pt x="339" y="797"/>
                                      <a:pt x="418" y="677"/>
                                    </a:cubicBezTo>
                                    <a:cubicBezTo>
                                      <a:pt x="478" y="598"/>
                                      <a:pt x="518" y="498"/>
                                      <a:pt x="538" y="379"/>
                                    </a:cubicBezTo>
                                    <a:cubicBezTo>
                                      <a:pt x="578" y="260"/>
                                      <a:pt x="597" y="140"/>
                                      <a:pt x="578" y="1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58A947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53" name="Shape 53"/>
                              <xdr:cNvSpPr/>
                            </xdr:nvSpPr>
                            <xdr:spPr>
                              <a:xfrm>
                                <a:off x="2552250" y="1175550"/>
                                <a:ext cx="13950" cy="224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558" h="896" extrusionOk="0">
                                    <a:moveTo>
                                      <a:pt x="538" y="1"/>
                                    </a:moveTo>
                                    <a:cubicBezTo>
                                      <a:pt x="458" y="60"/>
                                      <a:pt x="359" y="200"/>
                                      <a:pt x="299" y="419"/>
                                    </a:cubicBezTo>
                                    <a:cubicBezTo>
                                      <a:pt x="299" y="438"/>
                                      <a:pt x="279" y="458"/>
                                      <a:pt x="260" y="458"/>
                                    </a:cubicBezTo>
                                    <a:cubicBezTo>
                                      <a:pt x="240" y="458"/>
                                      <a:pt x="220" y="438"/>
                                      <a:pt x="200" y="419"/>
                                    </a:cubicBezTo>
                                    <a:cubicBezTo>
                                      <a:pt x="200" y="419"/>
                                      <a:pt x="120" y="299"/>
                                      <a:pt x="1" y="200"/>
                                    </a:cubicBezTo>
                                    <a:lnTo>
                                      <a:pt x="1" y="200"/>
                                    </a:lnTo>
                                    <a:cubicBezTo>
                                      <a:pt x="21" y="399"/>
                                      <a:pt x="80" y="737"/>
                                      <a:pt x="260" y="896"/>
                                    </a:cubicBezTo>
                                    <a:lnTo>
                                      <a:pt x="279" y="896"/>
                                    </a:lnTo>
                                    <a:cubicBezTo>
                                      <a:pt x="299" y="876"/>
                                      <a:pt x="379" y="797"/>
                                      <a:pt x="439" y="697"/>
                                    </a:cubicBezTo>
                                    <a:cubicBezTo>
                                      <a:pt x="498" y="598"/>
                                      <a:pt x="518" y="498"/>
                                      <a:pt x="538" y="379"/>
                                    </a:cubicBezTo>
                                    <a:cubicBezTo>
                                      <a:pt x="558" y="259"/>
                                      <a:pt x="558" y="140"/>
                                      <a:pt x="538" y="1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58A947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54" name="Shape 54"/>
                              <xdr:cNvSpPr/>
                            </xdr:nvSpPr>
                            <xdr:spPr>
                              <a:xfrm>
                                <a:off x="2549775" y="1158150"/>
                                <a:ext cx="13950" cy="229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558" h="916" extrusionOk="0">
                                    <a:moveTo>
                                      <a:pt x="518" y="1"/>
                                    </a:moveTo>
                                    <a:cubicBezTo>
                                      <a:pt x="458" y="80"/>
                                      <a:pt x="359" y="219"/>
                                      <a:pt x="319" y="438"/>
                                    </a:cubicBezTo>
                                    <a:cubicBezTo>
                                      <a:pt x="319" y="458"/>
                                      <a:pt x="299" y="478"/>
                                      <a:pt x="279" y="478"/>
                                    </a:cubicBezTo>
                                    <a:cubicBezTo>
                                      <a:pt x="239" y="478"/>
                                      <a:pt x="219" y="478"/>
                                      <a:pt x="219" y="458"/>
                                    </a:cubicBezTo>
                                    <a:cubicBezTo>
                                      <a:pt x="219" y="438"/>
                                      <a:pt x="120" y="319"/>
                                      <a:pt x="0" y="219"/>
                                    </a:cubicBezTo>
                                    <a:lnTo>
                                      <a:pt x="0" y="219"/>
                                    </a:lnTo>
                                    <a:cubicBezTo>
                                      <a:pt x="0" y="299"/>
                                      <a:pt x="20" y="359"/>
                                      <a:pt x="20" y="438"/>
                                    </a:cubicBezTo>
                                    <a:cubicBezTo>
                                      <a:pt x="60" y="577"/>
                                      <a:pt x="140" y="776"/>
                                      <a:pt x="299" y="916"/>
                                    </a:cubicBezTo>
                                    <a:cubicBezTo>
                                      <a:pt x="339" y="896"/>
                                      <a:pt x="398" y="816"/>
                                      <a:pt x="458" y="697"/>
                                    </a:cubicBezTo>
                                    <a:cubicBezTo>
                                      <a:pt x="498" y="617"/>
                                      <a:pt x="538" y="498"/>
                                      <a:pt x="538" y="379"/>
                                    </a:cubicBezTo>
                                    <a:cubicBezTo>
                                      <a:pt x="557" y="259"/>
                                      <a:pt x="557" y="140"/>
                                      <a:pt x="538" y="1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58A947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55" name="Shape 55"/>
                              <xdr:cNvSpPr/>
                            </xdr:nvSpPr>
                            <xdr:spPr>
                              <a:xfrm>
                                <a:off x="2544800" y="1140750"/>
                                <a:ext cx="14450" cy="234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578" h="936" extrusionOk="0">
                                    <a:moveTo>
                                      <a:pt x="498" y="0"/>
                                    </a:moveTo>
                                    <a:cubicBezTo>
                                      <a:pt x="438" y="100"/>
                                      <a:pt x="378" y="239"/>
                                      <a:pt x="359" y="458"/>
                                    </a:cubicBezTo>
                                    <a:cubicBezTo>
                                      <a:pt x="359" y="478"/>
                                      <a:pt x="339" y="498"/>
                                      <a:pt x="319" y="498"/>
                                    </a:cubicBezTo>
                                    <a:cubicBezTo>
                                      <a:pt x="312" y="504"/>
                                      <a:pt x="306" y="506"/>
                                      <a:pt x="299" y="506"/>
                                    </a:cubicBezTo>
                                    <a:cubicBezTo>
                                      <a:pt x="286" y="506"/>
                                      <a:pt x="272" y="498"/>
                                      <a:pt x="259" y="498"/>
                                    </a:cubicBezTo>
                                    <a:cubicBezTo>
                                      <a:pt x="259" y="498"/>
                                      <a:pt x="140" y="378"/>
                                      <a:pt x="20" y="279"/>
                                    </a:cubicBezTo>
                                    <a:lnTo>
                                      <a:pt x="1" y="279"/>
                                    </a:lnTo>
                                    <a:cubicBezTo>
                                      <a:pt x="1" y="279"/>
                                      <a:pt x="1" y="299"/>
                                      <a:pt x="1" y="299"/>
                                    </a:cubicBezTo>
                                    <a:cubicBezTo>
                                      <a:pt x="20" y="358"/>
                                      <a:pt x="40" y="418"/>
                                      <a:pt x="60" y="498"/>
                                    </a:cubicBezTo>
                                    <a:cubicBezTo>
                                      <a:pt x="140" y="697"/>
                                      <a:pt x="259" y="836"/>
                                      <a:pt x="398" y="935"/>
                                    </a:cubicBezTo>
                                    <a:lnTo>
                                      <a:pt x="418" y="935"/>
                                    </a:lnTo>
                                    <a:cubicBezTo>
                                      <a:pt x="438" y="895"/>
                                      <a:pt x="498" y="816"/>
                                      <a:pt x="538" y="697"/>
                                    </a:cubicBezTo>
                                    <a:cubicBezTo>
                                      <a:pt x="577" y="597"/>
                                      <a:pt x="577" y="498"/>
                                      <a:pt x="577" y="378"/>
                                    </a:cubicBezTo>
                                    <a:cubicBezTo>
                                      <a:pt x="577" y="259"/>
                                      <a:pt x="558" y="120"/>
                                      <a:pt x="518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58A947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56" name="Shape 56"/>
                              <xdr:cNvSpPr/>
                            </xdr:nvSpPr>
                            <xdr:spPr>
                              <a:xfrm>
                                <a:off x="2538325" y="1123825"/>
                                <a:ext cx="15450" cy="234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618" h="936" extrusionOk="0">
                                    <a:moveTo>
                                      <a:pt x="478" y="1"/>
                                    </a:moveTo>
                                    <a:cubicBezTo>
                                      <a:pt x="439" y="100"/>
                                      <a:pt x="379" y="260"/>
                                      <a:pt x="379" y="478"/>
                                    </a:cubicBezTo>
                                    <a:cubicBezTo>
                                      <a:pt x="379" y="498"/>
                                      <a:pt x="359" y="518"/>
                                      <a:pt x="339" y="538"/>
                                    </a:cubicBezTo>
                                    <a:cubicBezTo>
                                      <a:pt x="319" y="538"/>
                                      <a:pt x="299" y="538"/>
                                      <a:pt x="279" y="518"/>
                                    </a:cubicBezTo>
                                    <a:cubicBezTo>
                                      <a:pt x="279" y="518"/>
                                      <a:pt x="160" y="419"/>
                                      <a:pt x="21" y="339"/>
                                    </a:cubicBezTo>
                                    <a:cubicBezTo>
                                      <a:pt x="1" y="339"/>
                                      <a:pt x="1" y="359"/>
                                      <a:pt x="21" y="359"/>
                                    </a:cubicBezTo>
                                    <a:cubicBezTo>
                                      <a:pt x="41" y="419"/>
                                      <a:pt x="61" y="478"/>
                                      <a:pt x="100" y="538"/>
                                    </a:cubicBezTo>
                                    <a:cubicBezTo>
                                      <a:pt x="200" y="737"/>
                                      <a:pt x="319" y="876"/>
                                      <a:pt x="478" y="936"/>
                                    </a:cubicBezTo>
                                    <a:cubicBezTo>
                                      <a:pt x="498" y="916"/>
                                      <a:pt x="558" y="836"/>
                                      <a:pt x="578" y="697"/>
                                    </a:cubicBezTo>
                                    <a:cubicBezTo>
                                      <a:pt x="598" y="598"/>
                                      <a:pt x="618" y="498"/>
                                      <a:pt x="598" y="379"/>
                                    </a:cubicBezTo>
                                    <a:cubicBezTo>
                                      <a:pt x="578" y="260"/>
                                      <a:pt x="538" y="140"/>
                                      <a:pt x="478" y="1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58A947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57" name="Shape 57"/>
                              <xdr:cNvSpPr/>
                            </xdr:nvSpPr>
                            <xdr:spPr>
                              <a:xfrm>
                                <a:off x="2530375" y="1108425"/>
                                <a:ext cx="15950" cy="234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638" h="936" extrusionOk="0">
                                    <a:moveTo>
                                      <a:pt x="438" y="0"/>
                                    </a:moveTo>
                                    <a:cubicBezTo>
                                      <a:pt x="398" y="100"/>
                                      <a:pt x="359" y="259"/>
                                      <a:pt x="398" y="478"/>
                                    </a:cubicBezTo>
                                    <a:cubicBezTo>
                                      <a:pt x="398" y="498"/>
                                      <a:pt x="398" y="517"/>
                                      <a:pt x="359" y="537"/>
                                    </a:cubicBezTo>
                                    <a:cubicBezTo>
                                      <a:pt x="339" y="537"/>
                                      <a:pt x="319" y="537"/>
                                      <a:pt x="299" y="517"/>
                                    </a:cubicBezTo>
                                    <a:cubicBezTo>
                                      <a:pt x="299" y="517"/>
                                      <a:pt x="160" y="418"/>
                                      <a:pt x="21" y="378"/>
                                    </a:cubicBezTo>
                                    <a:lnTo>
                                      <a:pt x="1" y="378"/>
                                    </a:lnTo>
                                    <a:cubicBezTo>
                                      <a:pt x="40" y="458"/>
                                      <a:pt x="60" y="517"/>
                                      <a:pt x="100" y="557"/>
                                    </a:cubicBezTo>
                                    <a:cubicBezTo>
                                      <a:pt x="219" y="736"/>
                                      <a:pt x="379" y="876"/>
                                      <a:pt x="558" y="935"/>
                                    </a:cubicBezTo>
                                    <a:cubicBezTo>
                                      <a:pt x="578" y="895"/>
                                      <a:pt x="617" y="796"/>
                                      <a:pt x="617" y="677"/>
                                    </a:cubicBezTo>
                                    <a:cubicBezTo>
                                      <a:pt x="637" y="577"/>
                                      <a:pt x="617" y="458"/>
                                      <a:pt x="597" y="338"/>
                                    </a:cubicBezTo>
                                    <a:cubicBezTo>
                                      <a:pt x="558" y="239"/>
                                      <a:pt x="518" y="120"/>
                                      <a:pt x="438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58A947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58" name="Shape 58"/>
                              <xdr:cNvSpPr/>
                            </xdr:nvSpPr>
                            <xdr:spPr>
                              <a:xfrm>
                                <a:off x="2520925" y="1094000"/>
                                <a:ext cx="16450" cy="224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658" h="896" extrusionOk="0">
                                    <a:moveTo>
                                      <a:pt x="359" y="0"/>
                                    </a:moveTo>
                                    <a:cubicBezTo>
                                      <a:pt x="339" y="120"/>
                                      <a:pt x="339" y="279"/>
                                      <a:pt x="399" y="478"/>
                                    </a:cubicBezTo>
                                    <a:cubicBezTo>
                                      <a:pt x="399" y="498"/>
                                      <a:pt x="399" y="518"/>
                                      <a:pt x="379" y="537"/>
                                    </a:cubicBezTo>
                                    <a:cubicBezTo>
                                      <a:pt x="369" y="547"/>
                                      <a:pt x="354" y="552"/>
                                      <a:pt x="339" y="552"/>
                                    </a:cubicBezTo>
                                    <a:cubicBezTo>
                                      <a:pt x="324" y="552"/>
                                      <a:pt x="309" y="547"/>
                                      <a:pt x="299" y="537"/>
                                    </a:cubicBezTo>
                                    <a:cubicBezTo>
                                      <a:pt x="299" y="537"/>
                                      <a:pt x="160" y="438"/>
                                      <a:pt x="1" y="438"/>
                                    </a:cubicBezTo>
                                    <a:cubicBezTo>
                                      <a:pt x="40" y="498"/>
                                      <a:pt x="80" y="557"/>
                                      <a:pt x="140" y="617"/>
                                    </a:cubicBezTo>
                                    <a:cubicBezTo>
                                      <a:pt x="279" y="776"/>
                                      <a:pt x="438" y="876"/>
                                      <a:pt x="617" y="896"/>
                                    </a:cubicBezTo>
                                    <a:cubicBezTo>
                                      <a:pt x="637" y="856"/>
                                      <a:pt x="657" y="756"/>
                                      <a:pt x="657" y="637"/>
                                    </a:cubicBezTo>
                                    <a:cubicBezTo>
                                      <a:pt x="657" y="537"/>
                                      <a:pt x="617" y="438"/>
                                      <a:pt x="578" y="319"/>
                                    </a:cubicBezTo>
                                    <a:cubicBezTo>
                                      <a:pt x="518" y="219"/>
                                      <a:pt x="458" y="120"/>
                                      <a:pt x="379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58A947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59" name="Shape 59"/>
                              <xdr:cNvSpPr/>
                            </xdr:nvSpPr>
                            <xdr:spPr>
                              <a:xfrm>
                                <a:off x="2509500" y="1081075"/>
                                <a:ext cx="17425" cy="214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697" h="856" extrusionOk="0">
                                    <a:moveTo>
                                      <a:pt x="279" y="0"/>
                                    </a:moveTo>
                                    <a:cubicBezTo>
                                      <a:pt x="279" y="120"/>
                                      <a:pt x="299" y="279"/>
                                      <a:pt x="378" y="458"/>
                                    </a:cubicBezTo>
                                    <a:cubicBezTo>
                                      <a:pt x="398" y="497"/>
                                      <a:pt x="398" y="517"/>
                                      <a:pt x="378" y="537"/>
                                    </a:cubicBezTo>
                                    <a:cubicBezTo>
                                      <a:pt x="358" y="557"/>
                                      <a:pt x="338" y="557"/>
                                      <a:pt x="318" y="557"/>
                                    </a:cubicBezTo>
                                    <a:cubicBezTo>
                                      <a:pt x="318" y="557"/>
                                      <a:pt x="179" y="497"/>
                                      <a:pt x="20" y="497"/>
                                    </a:cubicBezTo>
                                    <a:lnTo>
                                      <a:pt x="0" y="497"/>
                                    </a:lnTo>
                                    <a:cubicBezTo>
                                      <a:pt x="60" y="557"/>
                                      <a:pt x="119" y="617"/>
                                      <a:pt x="179" y="657"/>
                                    </a:cubicBezTo>
                                    <a:cubicBezTo>
                                      <a:pt x="299" y="756"/>
                                      <a:pt x="478" y="856"/>
                                      <a:pt x="676" y="856"/>
                                    </a:cubicBezTo>
                                    <a:cubicBezTo>
                                      <a:pt x="696" y="816"/>
                                      <a:pt x="696" y="716"/>
                                      <a:pt x="676" y="597"/>
                                    </a:cubicBezTo>
                                    <a:cubicBezTo>
                                      <a:pt x="637" y="478"/>
                                      <a:pt x="597" y="378"/>
                                      <a:pt x="537" y="279"/>
                                    </a:cubicBezTo>
                                    <a:cubicBezTo>
                                      <a:pt x="458" y="179"/>
                                      <a:pt x="378" y="100"/>
                                      <a:pt x="279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58A947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60" name="Shape 60"/>
                              <xdr:cNvSpPr/>
                            </xdr:nvSpPr>
                            <xdr:spPr>
                              <a:xfrm>
                                <a:off x="2367750" y="1290450"/>
                                <a:ext cx="21425" cy="1742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857" h="697" extrusionOk="0">
                                    <a:moveTo>
                                      <a:pt x="538" y="0"/>
                                    </a:moveTo>
                                    <a:lnTo>
                                      <a:pt x="538" y="0"/>
                                    </a:lnTo>
                                    <a:cubicBezTo>
                                      <a:pt x="518" y="159"/>
                                      <a:pt x="558" y="298"/>
                                      <a:pt x="558" y="298"/>
                                    </a:cubicBezTo>
                                    <a:cubicBezTo>
                                      <a:pt x="558" y="318"/>
                                      <a:pt x="558" y="338"/>
                                      <a:pt x="538" y="358"/>
                                    </a:cubicBezTo>
                                    <a:cubicBezTo>
                                      <a:pt x="528" y="368"/>
                                      <a:pt x="518" y="373"/>
                                      <a:pt x="508" y="373"/>
                                    </a:cubicBezTo>
                                    <a:cubicBezTo>
                                      <a:pt x="498" y="373"/>
                                      <a:pt x="488" y="368"/>
                                      <a:pt x="478" y="358"/>
                                    </a:cubicBezTo>
                                    <a:cubicBezTo>
                                      <a:pt x="299" y="259"/>
                                      <a:pt x="120" y="219"/>
                                      <a:pt x="21" y="219"/>
                                    </a:cubicBezTo>
                                    <a:lnTo>
                                      <a:pt x="1" y="219"/>
                                    </a:lnTo>
                                    <a:cubicBezTo>
                                      <a:pt x="100" y="318"/>
                                      <a:pt x="180" y="418"/>
                                      <a:pt x="279" y="497"/>
                                    </a:cubicBezTo>
                                    <a:cubicBezTo>
                                      <a:pt x="359" y="577"/>
                                      <a:pt x="478" y="617"/>
                                      <a:pt x="578" y="656"/>
                                    </a:cubicBezTo>
                                    <a:cubicBezTo>
                                      <a:pt x="657" y="696"/>
                                      <a:pt x="757" y="696"/>
                                      <a:pt x="796" y="696"/>
                                    </a:cubicBezTo>
                                    <a:lnTo>
                                      <a:pt x="836" y="696"/>
                                    </a:lnTo>
                                    <a:cubicBezTo>
                                      <a:pt x="856" y="398"/>
                                      <a:pt x="657" y="139"/>
                                      <a:pt x="538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58A947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61" name="Shape 61"/>
                              <xdr:cNvSpPr/>
                            </xdr:nvSpPr>
                            <xdr:spPr>
                              <a:xfrm>
                                <a:off x="2358800" y="1276525"/>
                                <a:ext cx="19925" cy="1792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797" h="717" extrusionOk="0">
                                    <a:moveTo>
                                      <a:pt x="558" y="0"/>
                                    </a:moveTo>
                                    <a:cubicBezTo>
                                      <a:pt x="518" y="159"/>
                                      <a:pt x="538" y="298"/>
                                      <a:pt x="538" y="298"/>
                                    </a:cubicBezTo>
                                    <a:cubicBezTo>
                                      <a:pt x="538" y="338"/>
                                      <a:pt x="538" y="358"/>
                                      <a:pt x="518" y="358"/>
                                    </a:cubicBezTo>
                                    <a:cubicBezTo>
                                      <a:pt x="508" y="368"/>
                                      <a:pt x="493" y="373"/>
                                      <a:pt x="478" y="373"/>
                                    </a:cubicBezTo>
                                    <a:cubicBezTo>
                                      <a:pt x="463" y="373"/>
                                      <a:pt x="448" y="368"/>
                                      <a:pt x="438" y="358"/>
                                    </a:cubicBezTo>
                                    <a:cubicBezTo>
                                      <a:pt x="279" y="219"/>
                                      <a:pt x="120" y="179"/>
                                      <a:pt x="1" y="159"/>
                                    </a:cubicBezTo>
                                    <a:lnTo>
                                      <a:pt x="1" y="159"/>
                                    </a:lnTo>
                                    <a:cubicBezTo>
                                      <a:pt x="80" y="279"/>
                                      <a:pt x="140" y="398"/>
                                      <a:pt x="239" y="477"/>
                                    </a:cubicBezTo>
                                    <a:cubicBezTo>
                                      <a:pt x="319" y="557"/>
                                      <a:pt x="418" y="617"/>
                                      <a:pt x="518" y="656"/>
                                    </a:cubicBezTo>
                                    <a:cubicBezTo>
                                      <a:pt x="617" y="716"/>
                                      <a:pt x="717" y="716"/>
                                      <a:pt x="757" y="716"/>
                                    </a:cubicBezTo>
                                    <a:lnTo>
                                      <a:pt x="776" y="716"/>
                                    </a:lnTo>
                                    <a:cubicBezTo>
                                      <a:pt x="796" y="517"/>
                                      <a:pt x="737" y="318"/>
                                      <a:pt x="677" y="179"/>
                                    </a:cubicBezTo>
                                    <a:cubicBezTo>
                                      <a:pt x="637" y="119"/>
                                      <a:pt x="597" y="60"/>
                                      <a:pt x="558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58A947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62" name="Shape 62"/>
                              <xdr:cNvSpPr/>
                            </xdr:nvSpPr>
                            <xdr:spPr>
                              <a:xfrm>
                                <a:off x="2351350" y="1261600"/>
                                <a:ext cx="18925" cy="1892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757" h="757" extrusionOk="0">
                                    <a:moveTo>
                                      <a:pt x="577" y="0"/>
                                    </a:moveTo>
                                    <a:cubicBezTo>
                                      <a:pt x="517" y="159"/>
                                      <a:pt x="517" y="319"/>
                                      <a:pt x="517" y="319"/>
                                    </a:cubicBezTo>
                                    <a:cubicBezTo>
                                      <a:pt x="517" y="338"/>
                                      <a:pt x="498" y="358"/>
                                      <a:pt x="478" y="378"/>
                                    </a:cubicBezTo>
                                    <a:cubicBezTo>
                                      <a:pt x="458" y="378"/>
                                      <a:pt x="438" y="378"/>
                                      <a:pt x="418" y="358"/>
                                    </a:cubicBezTo>
                                    <a:cubicBezTo>
                                      <a:pt x="299" y="219"/>
                                      <a:pt x="159" y="159"/>
                                      <a:pt x="60" y="120"/>
                                    </a:cubicBezTo>
                                    <a:cubicBezTo>
                                      <a:pt x="40" y="120"/>
                                      <a:pt x="20" y="120"/>
                                      <a:pt x="0" y="100"/>
                                    </a:cubicBezTo>
                                    <a:cubicBezTo>
                                      <a:pt x="0" y="100"/>
                                      <a:pt x="0" y="100"/>
                                      <a:pt x="0" y="120"/>
                                    </a:cubicBezTo>
                                    <a:cubicBezTo>
                                      <a:pt x="60" y="239"/>
                                      <a:pt x="120" y="358"/>
                                      <a:pt x="199" y="438"/>
                                    </a:cubicBezTo>
                                    <a:cubicBezTo>
                                      <a:pt x="279" y="537"/>
                                      <a:pt x="358" y="617"/>
                                      <a:pt x="458" y="657"/>
                                    </a:cubicBezTo>
                                    <a:cubicBezTo>
                                      <a:pt x="557" y="716"/>
                                      <a:pt x="657" y="736"/>
                                      <a:pt x="697" y="756"/>
                                    </a:cubicBezTo>
                                    <a:cubicBezTo>
                                      <a:pt x="756" y="577"/>
                                      <a:pt x="736" y="378"/>
                                      <a:pt x="677" y="179"/>
                                    </a:cubicBezTo>
                                    <a:cubicBezTo>
                                      <a:pt x="637" y="120"/>
                                      <a:pt x="617" y="60"/>
                                      <a:pt x="577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58A947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63" name="Shape 63"/>
                              <xdr:cNvSpPr/>
                            </xdr:nvSpPr>
                            <xdr:spPr>
                              <a:xfrm>
                                <a:off x="2345875" y="1246175"/>
                                <a:ext cx="18925" cy="1892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757" h="757" extrusionOk="0">
                                    <a:moveTo>
                                      <a:pt x="597" y="1"/>
                                    </a:moveTo>
                                    <a:cubicBezTo>
                                      <a:pt x="518" y="140"/>
                                      <a:pt x="498" y="299"/>
                                      <a:pt x="498" y="299"/>
                                    </a:cubicBezTo>
                                    <a:cubicBezTo>
                                      <a:pt x="498" y="319"/>
                                      <a:pt x="478" y="339"/>
                                      <a:pt x="458" y="339"/>
                                    </a:cubicBezTo>
                                    <a:cubicBezTo>
                                      <a:pt x="452" y="345"/>
                                      <a:pt x="445" y="347"/>
                                      <a:pt x="437" y="347"/>
                                    </a:cubicBezTo>
                                    <a:cubicBezTo>
                                      <a:pt x="418" y="347"/>
                                      <a:pt x="398" y="333"/>
                                      <a:pt x="398" y="319"/>
                                    </a:cubicBezTo>
                                    <a:cubicBezTo>
                                      <a:pt x="279" y="180"/>
                                      <a:pt x="160" y="100"/>
                                      <a:pt x="60" y="60"/>
                                    </a:cubicBezTo>
                                    <a:cubicBezTo>
                                      <a:pt x="40" y="40"/>
                                      <a:pt x="40" y="40"/>
                                      <a:pt x="20" y="20"/>
                                    </a:cubicBezTo>
                                    <a:lnTo>
                                      <a:pt x="0" y="20"/>
                                    </a:lnTo>
                                    <a:cubicBezTo>
                                      <a:pt x="0" y="20"/>
                                      <a:pt x="0" y="40"/>
                                      <a:pt x="0" y="40"/>
                                    </a:cubicBezTo>
                                    <a:cubicBezTo>
                                      <a:pt x="160" y="577"/>
                                      <a:pt x="478" y="717"/>
                                      <a:pt x="617" y="756"/>
                                    </a:cubicBezTo>
                                    <a:cubicBezTo>
                                      <a:pt x="756" y="438"/>
                                      <a:pt x="657" y="140"/>
                                      <a:pt x="597" y="1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58A947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64" name="Shape 64"/>
                              <xdr:cNvSpPr/>
                            </xdr:nvSpPr>
                            <xdr:spPr>
                              <a:xfrm>
                                <a:off x="2341900" y="1229275"/>
                                <a:ext cx="17425" cy="1942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697" h="777" extrusionOk="0">
                                    <a:moveTo>
                                      <a:pt x="597" y="0"/>
                                    </a:moveTo>
                                    <a:cubicBezTo>
                                      <a:pt x="577" y="0"/>
                                      <a:pt x="577" y="0"/>
                                      <a:pt x="577" y="20"/>
                                    </a:cubicBezTo>
                                    <a:cubicBezTo>
                                      <a:pt x="498" y="139"/>
                                      <a:pt x="458" y="318"/>
                                      <a:pt x="458" y="318"/>
                                    </a:cubicBezTo>
                                    <a:cubicBezTo>
                                      <a:pt x="458" y="338"/>
                                      <a:pt x="438" y="358"/>
                                      <a:pt x="418" y="358"/>
                                    </a:cubicBezTo>
                                    <a:cubicBezTo>
                                      <a:pt x="412" y="364"/>
                                      <a:pt x="406" y="367"/>
                                      <a:pt x="401" y="367"/>
                                    </a:cubicBezTo>
                                    <a:cubicBezTo>
                                      <a:pt x="386" y="367"/>
                                      <a:pt x="372" y="352"/>
                                      <a:pt x="358" y="338"/>
                                    </a:cubicBezTo>
                                    <a:cubicBezTo>
                                      <a:pt x="239" y="159"/>
                                      <a:pt x="100" y="80"/>
                                      <a:pt x="0" y="20"/>
                                    </a:cubicBezTo>
                                    <a:lnTo>
                                      <a:pt x="0" y="20"/>
                                    </a:lnTo>
                                    <a:cubicBezTo>
                                      <a:pt x="20" y="159"/>
                                      <a:pt x="60" y="279"/>
                                      <a:pt x="120" y="378"/>
                                    </a:cubicBezTo>
                                    <a:cubicBezTo>
                                      <a:pt x="179" y="498"/>
                                      <a:pt x="259" y="577"/>
                                      <a:pt x="338" y="657"/>
                                    </a:cubicBezTo>
                                    <a:cubicBezTo>
                                      <a:pt x="418" y="736"/>
                                      <a:pt x="518" y="776"/>
                                      <a:pt x="557" y="776"/>
                                    </a:cubicBezTo>
                                    <a:cubicBezTo>
                                      <a:pt x="677" y="597"/>
                                      <a:pt x="697" y="398"/>
                                      <a:pt x="657" y="199"/>
                                    </a:cubicBezTo>
                                    <a:cubicBezTo>
                                      <a:pt x="637" y="139"/>
                                      <a:pt x="617" y="80"/>
                                      <a:pt x="597" y="20"/>
                                    </a:cubicBezTo>
                                    <a:cubicBezTo>
                                      <a:pt x="597" y="0"/>
                                      <a:pt x="597" y="0"/>
                                      <a:pt x="597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58A947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65" name="Shape 65"/>
                              <xdr:cNvSpPr/>
                            </xdr:nvSpPr>
                            <xdr:spPr>
                              <a:xfrm>
                                <a:off x="2340900" y="1211375"/>
                                <a:ext cx="15950" cy="214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638" h="856" extrusionOk="0">
                                    <a:moveTo>
                                      <a:pt x="1" y="0"/>
                                    </a:moveTo>
                                    <a:cubicBezTo>
                                      <a:pt x="1" y="0"/>
                                      <a:pt x="1" y="20"/>
                                      <a:pt x="1" y="20"/>
                                    </a:cubicBezTo>
                                    <a:cubicBezTo>
                                      <a:pt x="20" y="557"/>
                                      <a:pt x="299" y="776"/>
                                      <a:pt x="418" y="855"/>
                                    </a:cubicBezTo>
                                    <a:cubicBezTo>
                                      <a:pt x="637" y="557"/>
                                      <a:pt x="617" y="259"/>
                                      <a:pt x="577" y="100"/>
                                    </a:cubicBezTo>
                                    <a:lnTo>
                                      <a:pt x="577" y="100"/>
                                    </a:lnTo>
                                    <a:cubicBezTo>
                                      <a:pt x="478" y="219"/>
                                      <a:pt x="418" y="378"/>
                                      <a:pt x="418" y="378"/>
                                    </a:cubicBezTo>
                                    <a:cubicBezTo>
                                      <a:pt x="398" y="398"/>
                                      <a:pt x="378" y="418"/>
                                      <a:pt x="359" y="418"/>
                                    </a:cubicBezTo>
                                    <a:cubicBezTo>
                                      <a:pt x="339" y="418"/>
                                      <a:pt x="319" y="398"/>
                                      <a:pt x="299" y="378"/>
                                    </a:cubicBezTo>
                                    <a:cubicBezTo>
                                      <a:pt x="219" y="219"/>
                                      <a:pt x="120" y="119"/>
                                      <a:pt x="60" y="40"/>
                                    </a:cubicBezTo>
                                    <a:cubicBezTo>
                                      <a:pt x="40" y="40"/>
                                      <a:pt x="20" y="20"/>
                                      <a:pt x="1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58A947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66" name="Shape 66"/>
                              <xdr:cNvSpPr/>
                            </xdr:nvSpPr>
                            <xdr:spPr>
                              <a:xfrm>
                                <a:off x="2340900" y="1193450"/>
                                <a:ext cx="14450" cy="2242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578" h="897" extrusionOk="0">
                                    <a:moveTo>
                                      <a:pt x="20" y="1"/>
                                    </a:moveTo>
                                    <a:cubicBezTo>
                                      <a:pt x="20" y="1"/>
                                      <a:pt x="20" y="21"/>
                                      <a:pt x="20" y="21"/>
                                    </a:cubicBezTo>
                                    <a:cubicBezTo>
                                      <a:pt x="1" y="578"/>
                                      <a:pt x="239" y="817"/>
                                      <a:pt x="359" y="896"/>
                                    </a:cubicBezTo>
                                    <a:cubicBezTo>
                                      <a:pt x="458" y="797"/>
                                      <a:pt x="538" y="657"/>
                                      <a:pt x="558" y="478"/>
                                    </a:cubicBezTo>
                                    <a:cubicBezTo>
                                      <a:pt x="577" y="359"/>
                                      <a:pt x="577" y="220"/>
                                      <a:pt x="558" y="140"/>
                                    </a:cubicBezTo>
                                    <a:cubicBezTo>
                                      <a:pt x="438" y="260"/>
                                      <a:pt x="398" y="399"/>
                                      <a:pt x="398" y="399"/>
                                    </a:cubicBezTo>
                                    <a:cubicBezTo>
                                      <a:pt x="398" y="439"/>
                                      <a:pt x="378" y="458"/>
                                      <a:pt x="359" y="458"/>
                                    </a:cubicBezTo>
                                    <a:cubicBezTo>
                                      <a:pt x="319" y="458"/>
                                      <a:pt x="299" y="439"/>
                                      <a:pt x="299" y="419"/>
                                    </a:cubicBezTo>
                                    <a:cubicBezTo>
                                      <a:pt x="239" y="240"/>
                                      <a:pt x="140" y="120"/>
                                      <a:pt x="80" y="61"/>
                                    </a:cubicBezTo>
                                    <a:lnTo>
                                      <a:pt x="40" y="1"/>
                                    </a:lnTo>
                                    <a:close/>
                                  </a:path>
                                </a:pathLst>
                              </a:custGeom>
                              <a:solidFill>
                                <a:srgbClr val="58A947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67" name="Shape 67"/>
                              <xdr:cNvSpPr/>
                            </xdr:nvSpPr>
                            <xdr:spPr>
                              <a:xfrm>
                                <a:off x="2342400" y="1175050"/>
                                <a:ext cx="13950" cy="229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558" h="916" extrusionOk="0">
                                    <a:moveTo>
                                      <a:pt x="20" y="1"/>
                                    </a:moveTo>
                                    <a:cubicBezTo>
                                      <a:pt x="0" y="140"/>
                                      <a:pt x="0" y="279"/>
                                      <a:pt x="20" y="379"/>
                                    </a:cubicBezTo>
                                    <a:cubicBezTo>
                                      <a:pt x="40" y="518"/>
                                      <a:pt x="80" y="618"/>
                                      <a:pt x="139" y="717"/>
                                    </a:cubicBezTo>
                                    <a:cubicBezTo>
                                      <a:pt x="199" y="817"/>
                                      <a:pt x="259" y="896"/>
                                      <a:pt x="299" y="916"/>
                                    </a:cubicBezTo>
                                    <a:cubicBezTo>
                                      <a:pt x="418" y="797"/>
                                      <a:pt x="517" y="618"/>
                                      <a:pt x="537" y="419"/>
                                    </a:cubicBezTo>
                                    <a:cubicBezTo>
                                      <a:pt x="557" y="339"/>
                                      <a:pt x="557" y="279"/>
                                      <a:pt x="557" y="200"/>
                                    </a:cubicBezTo>
                                    <a:lnTo>
                                      <a:pt x="557" y="200"/>
                                    </a:lnTo>
                                    <a:cubicBezTo>
                                      <a:pt x="438" y="299"/>
                                      <a:pt x="378" y="439"/>
                                      <a:pt x="378" y="439"/>
                                    </a:cubicBezTo>
                                    <a:cubicBezTo>
                                      <a:pt x="358" y="458"/>
                                      <a:pt x="338" y="478"/>
                                      <a:pt x="318" y="478"/>
                                    </a:cubicBezTo>
                                    <a:cubicBezTo>
                                      <a:pt x="279" y="478"/>
                                      <a:pt x="259" y="458"/>
                                      <a:pt x="259" y="419"/>
                                    </a:cubicBezTo>
                                    <a:cubicBezTo>
                                      <a:pt x="199" y="220"/>
                                      <a:pt x="100" y="80"/>
                                      <a:pt x="20" y="1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58A947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68" name="Shape 68"/>
                              <xdr:cNvSpPr/>
                            </xdr:nvSpPr>
                            <xdr:spPr>
                              <a:xfrm>
                                <a:off x="2344875" y="1157650"/>
                                <a:ext cx="14450" cy="229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578" h="916" extrusionOk="0">
                                    <a:moveTo>
                                      <a:pt x="21" y="1"/>
                                    </a:moveTo>
                                    <a:cubicBezTo>
                                      <a:pt x="1" y="140"/>
                                      <a:pt x="1" y="279"/>
                                      <a:pt x="1" y="379"/>
                                    </a:cubicBezTo>
                                    <a:cubicBezTo>
                                      <a:pt x="21" y="518"/>
                                      <a:pt x="60" y="617"/>
                                      <a:pt x="100" y="717"/>
                                    </a:cubicBezTo>
                                    <a:cubicBezTo>
                                      <a:pt x="160" y="816"/>
                                      <a:pt x="219" y="896"/>
                                      <a:pt x="259" y="916"/>
                                    </a:cubicBezTo>
                                    <a:cubicBezTo>
                                      <a:pt x="418" y="796"/>
                                      <a:pt x="498" y="617"/>
                                      <a:pt x="558" y="418"/>
                                    </a:cubicBezTo>
                                    <a:cubicBezTo>
                                      <a:pt x="578" y="359"/>
                                      <a:pt x="578" y="299"/>
                                      <a:pt x="578" y="239"/>
                                    </a:cubicBezTo>
                                    <a:cubicBezTo>
                                      <a:pt x="578" y="239"/>
                                      <a:pt x="578" y="239"/>
                                      <a:pt x="578" y="219"/>
                                    </a:cubicBezTo>
                                    <a:cubicBezTo>
                                      <a:pt x="438" y="319"/>
                                      <a:pt x="359" y="458"/>
                                      <a:pt x="359" y="458"/>
                                    </a:cubicBezTo>
                                    <a:cubicBezTo>
                                      <a:pt x="345" y="472"/>
                                      <a:pt x="331" y="486"/>
                                      <a:pt x="317" y="486"/>
                                    </a:cubicBezTo>
                                    <a:cubicBezTo>
                                      <a:pt x="311" y="486"/>
                                      <a:pt x="305" y="484"/>
                                      <a:pt x="299" y="478"/>
                                    </a:cubicBezTo>
                                    <a:cubicBezTo>
                                      <a:pt x="259" y="478"/>
                                      <a:pt x="259" y="458"/>
                                      <a:pt x="239" y="438"/>
                                    </a:cubicBezTo>
                                    <a:cubicBezTo>
                                      <a:pt x="200" y="239"/>
                                      <a:pt x="100" y="80"/>
                                      <a:pt x="40" y="1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58A947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69" name="Shape 69"/>
                              <xdr:cNvSpPr/>
                            </xdr:nvSpPr>
                            <xdr:spPr>
                              <a:xfrm>
                                <a:off x="2348850" y="1140250"/>
                                <a:ext cx="14950" cy="234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598" h="936" extrusionOk="0">
                                    <a:moveTo>
                                      <a:pt x="80" y="0"/>
                                    </a:moveTo>
                                    <a:cubicBezTo>
                                      <a:pt x="41" y="140"/>
                                      <a:pt x="21" y="259"/>
                                      <a:pt x="1" y="378"/>
                                    </a:cubicBezTo>
                                    <a:cubicBezTo>
                                      <a:pt x="1" y="498"/>
                                      <a:pt x="21" y="617"/>
                                      <a:pt x="60" y="717"/>
                                    </a:cubicBezTo>
                                    <a:cubicBezTo>
                                      <a:pt x="100" y="836"/>
                                      <a:pt x="160" y="915"/>
                                      <a:pt x="180" y="935"/>
                                    </a:cubicBezTo>
                                    <a:lnTo>
                                      <a:pt x="200" y="935"/>
                                    </a:lnTo>
                                    <a:cubicBezTo>
                                      <a:pt x="379" y="836"/>
                                      <a:pt x="498" y="677"/>
                                      <a:pt x="558" y="478"/>
                                    </a:cubicBezTo>
                                    <a:cubicBezTo>
                                      <a:pt x="578" y="418"/>
                                      <a:pt x="598" y="358"/>
                                      <a:pt x="598" y="299"/>
                                    </a:cubicBezTo>
                                    <a:cubicBezTo>
                                      <a:pt x="598" y="299"/>
                                      <a:pt x="598" y="299"/>
                                      <a:pt x="598" y="279"/>
                                    </a:cubicBezTo>
                                    <a:cubicBezTo>
                                      <a:pt x="438" y="378"/>
                                      <a:pt x="339" y="498"/>
                                      <a:pt x="339" y="498"/>
                                    </a:cubicBezTo>
                                    <a:cubicBezTo>
                                      <a:pt x="319" y="518"/>
                                      <a:pt x="299" y="518"/>
                                      <a:pt x="279" y="518"/>
                                    </a:cubicBezTo>
                                    <a:cubicBezTo>
                                      <a:pt x="259" y="498"/>
                                      <a:pt x="240" y="478"/>
                                      <a:pt x="240" y="458"/>
                                    </a:cubicBezTo>
                                    <a:cubicBezTo>
                                      <a:pt x="220" y="239"/>
                                      <a:pt x="140" y="100"/>
                                      <a:pt x="80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58A947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70" name="Shape 70"/>
                              <xdr:cNvSpPr/>
                            </xdr:nvSpPr>
                            <xdr:spPr>
                              <a:xfrm>
                                <a:off x="2354825" y="1123825"/>
                                <a:ext cx="15450" cy="234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618" h="936" extrusionOk="0">
                                    <a:moveTo>
                                      <a:pt x="140" y="1"/>
                                    </a:moveTo>
                                    <a:cubicBezTo>
                                      <a:pt x="80" y="120"/>
                                      <a:pt x="40" y="260"/>
                                      <a:pt x="20" y="359"/>
                                    </a:cubicBezTo>
                                    <a:cubicBezTo>
                                      <a:pt x="1" y="478"/>
                                      <a:pt x="1" y="598"/>
                                      <a:pt x="20" y="697"/>
                                    </a:cubicBezTo>
                                    <a:cubicBezTo>
                                      <a:pt x="60" y="817"/>
                                      <a:pt x="100" y="896"/>
                                      <a:pt x="120" y="936"/>
                                    </a:cubicBezTo>
                                    <a:cubicBezTo>
                                      <a:pt x="319" y="856"/>
                                      <a:pt x="458" y="697"/>
                                      <a:pt x="558" y="518"/>
                                    </a:cubicBezTo>
                                    <a:cubicBezTo>
                                      <a:pt x="577" y="458"/>
                                      <a:pt x="597" y="399"/>
                                      <a:pt x="617" y="339"/>
                                    </a:cubicBezTo>
                                    <a:lnTo>
                                      <a:pt x="617" y="339"/>
                                    </a:lnTo>
                                    <a:cubicBezTo>
                                      <a:pt x="458" y="399"/>
                                      <a:pt x="339" y="518"/>
                                      <a:pt x="339" y="518"/>
                                    </a:cubicBezTo>
                                    <a:cubicBezTo>
                                      <a:pt x="329" y="528"/>
                                      <a:pt x="314" y="533"/>
                                      <a:pt x="299" y="533"/>
                                    </a:cubicBezTo>
                                    <a:cubicBezTo>
                                      <a:pt x="284" y="533"/>
                                      <a:pt x="269" y="528"/>
                                      <a:pt x="259" y="518"/>
                                    </a:cubicBezTo>
                                    <a:cubicBezTo>
                                      <a:pt x="239" y="518"/>
                                      <a:pt x="239" y="498"/>
                                      <a:pt x="239" y="478"/>
                                    </a:cubicBezTo>
                                    <a:cubicBezTo>
                                      <a:pt x="239" y="260"/>
                                      <a:pt x="180" y="100"/>
                                      <a:pt x="140" y="1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58A947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71" name="Shape 71"/>
                              <xdr:cNvSpPr/>
                            </xdr:nvSpPr>
                            <xdr:spPr>
                              <a:xfrm>
                                <a:off x="2362275" y="1108425"/>
                                <a:ext cx="15950" cy="234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638" h="936" extrusionOk="0">
                                    <a:moveTo>
                                      <a:pt x="220" y="0"/>
                                    </a:moveTo>
                                    <a:cubicBezTo>
                                      <a:pt x="140" y="120"/>
                                      <a:pt x="80" y="239"/>
                                      <a:pt x="61" y="338"/>
                                    </a:cubicBezTo>
                                    <a:cubicBezTo>
                                      <a:pt x="21" y="458"/>
                                      <a:pt x="1" y="577"/>
                                      <a:pt x="21" y="677"/>
                                    </a:cubicBezTo>
                                    <a:cubicBezTo>
                                      <a:pt x="21" y="796"/>
                                      <a:pt x="61" y="895"/>
                                      <a:pt x="61" y="935"/>
                                    </a:cubicBezTo>
                                    <a:lnTo>
                                      <a:pt x="80" y="935"/>
                                    </a:lnTo>
                                    <a:cubicBezTo>
                                      <a:pt x="240" y="876"/>
                                      <a:pt x="399" y="756"/>
                                      <a:pt x="518" y="597"/>
                                    </a:cubicBezTo>
                                    <a:cubicBezTo>
                                      <a:pt x="578" y="517"/>
                                      <a:pt x="618" y="438"/>
                                      <a:pt x="637" y="398"/>
                                    </a:cubicBezTo>
                                    <a:cubicBezTo>
                                      <a:pt x="637" y="378"/>
                                      <a:pt x="637" y="378"/>
                                      <a:pt x="637" y="378"/>
                                    </a:cubicBezTo>
                                    <a:cubicBezTo>
                                      <a:pt x="478" y="418"/>
                                      <a:pt x="359" y="517"/>
                                      <a:pt x="359" y="537"/>
                                    </a:cubicBezTo>
                                    <a:cubicBezTo>
                                      <a:pt x="346" y="537"/>
                                      <a:pt x="324" y="546"/>
                                      <a:pt x="304" y="546"/>
                                    </a:cubicBezTo>
                                    <a:cubicBezTo>
                                      <a:pt x="295" y="546"/>
                                      <a:pt x="286" y="544"/>
                                      <a:pt x="279" y="537"/>
                                    </a:cubicBezTo>
                                    <a:cubicBezTo>
                                      <a:pt x="260" y="517"/>
                                      <a:pt x="240" y="498"/>
                                      <a:pt x="240" y="478"/>
                                    </a:cubicBezTo>
                                    <a:cubicBezTo>
                                      <a:pt x="299" y="259"/>
                                      <a:pt x="260" y="100"/>
                                      <a:pt x="220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58A947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72" name="Shape 72"/>
                              <xdr:cNvSpPr/>
                            </xdr:nvSpPr>
                            <xdr:spPr>
                              <a:xfrm>
                                <a:off x="2370250" y="1094000"/>
                                <a:ext cx="17925" cy="224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717" h="896" extrusionOk="0">
                                    <a:moveTo>
                                      <a:pt x="358" y="0"/>
                                    </a:moveTo>
                                    <a:lnTo>
                                      <a:pt x="358" y="0"/>
                                    </a:lnTo>
                                    <a:cubicBezTo>
                                      <a:pt x="0" y="418"/>
                                      <a:pt x="60" y="776"/>
                                      <a:pt x="100" y="896"/>
                                    </a:cubicBezTo>
                                    <a:cubicBezTo>
                                      <a:pt x="398" y="856"/>
                                      <a:pt x="617" y="597"/>
                                      <a:pt x="716" y="438"/>
                                    </a:cubicBezTo>
                                    <a:lnTo>
                                      <a:pt x="716" y="438"/>
                                    </a:lnTo>
                                    <a:cubicBezTo>
                                      <a:pt x="557" y="458"/>
                                      <a:pt x="418" y="537"/>
                                      <a:pt x="418" y="537"/>
                                    </a:cubicBezTo>
                                    <a:cubicBezTo>
                                      <a:pt x="408" y="547"/>
                                      <a:pt x="393" y="552"/>
                                      <a:pt x="378" y="552"/>
                                    </a:cubicBezTo>
                                    <a:cubicBezTo>
                                      <a:pt x="363" y="552"/>
                                      <a:pt x="348" y="547"/>
                                      <a:pt x="338" y="537"/>
                                    </a:cubicBezTo>
                                    <a:cubicBezTo>
                                      <a:pt x="318" y="518"/>
                                      <a:pt x="318" y="498"/>
                                      <a:pt x="318" y="478"/>
                                    </a:cubicBezTo>
                                    <a:cubicBezTo>
                                      <a:pt x="398" y="259"/>
                                      <a:pt x="378" y="100"/>
                                      <a:pt x="358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58A947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73" name="Shape 73"/>
                              <xdr:cNvSpPr/>
                            </xdr:nvSpPr>
                            <xdr:spPr>
                              <a:xfrm>
                                <a:off x="2382175" y="1081075"/>
                                <a:ext cx="17425" cy="214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697" h="856" extrusionOk="0">
                                    <a:moveTo>
                                      <a:pt x="418" y="0"/>
                                    </a:moveTo>
                                    <a:lnTo>
                                      <a:pt x="418" y="0"/>
                                    </a:lnTo>
                                    <a:cubicBezTo>
                                      <a:pt x="319" y="80"/>
                                      <a:pt x="219" y="179"/>
                                      <a:pt x="160" y="279"/>
                                    </a:cubicBezTo>
                                    <a:cubicBezTo>
                                      <a:pt x="100" y="378"/>
                                      <a:pt x="60" y="478"/>
                                      <a:pt x="20" y="597"/>
                                    </a:cubicBezTo>
                                    <a:cubicBezTo>
                                      <a:pt x="1" y="716"/>
                                      <a:pt x="20" y="816"/>
                                      <a:pt x="20" y="856"/>
                                    </a:cubicBezTo>
                                    <a:lnTo>
                                      <a:pt x="40" y="856"/>
                                    </a:lnTo>
                                    <a:cubicBezTo>
                                      <a:pt x="219" y="856"/>
                                      <a:pt x="398" y="756"/>
                                      <a:pt x="518" y="657"/>
                                    </a:cubicBezTo>
                                    <a:cubicBezTo>
                                      <a:pt x="577" y="617"/>
                                      <a:pt x="637" y="557"/>
                                      <a:pt x="697" y="497"/>
                                    </a:cubicBezTo>
                                    <a:lnTo>
                                      <a:pt x="677" y="497"/>
                                    </a:lnTo>
                                    <a:cubicBezTo>
                                      <a:pt x="538" y="497"/>
                                      <a:pt x="398" y="537"/>
                                      <a:pt x="379" y="537"/>
                                    </a:cubicBezTo>
                                    <a:cubicBezTo>
                                      <a:pt x="372" y="544"/>
                                      <a:pt x="365" y="546"/>
                                      <a:pt x="359" y="546"/>
                                    </a:cubicBezTo>
                                    <a:cubicBezTo>
                                      <a:pt x="345" y="546"/>
                                      <a:pt x="332" y="537"/>
                                      <a:pt x="319" y="537"/>
                                    </a:cubicBezTo>
                                    <a:cubicBezTo>
                                      <a:pt x="299" y="517"/>
                                      <a:pt x="299" y="478"/>
                                      <a:pt x="319" y="458"/>
                                    </a:cubicBezTo>
                                    <a:cubicBezTo>
                                      <a:pt x="418" y="279"/>
                                      <a:pt x="418" y="100"/>
                                      <a:pt x="418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58A947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74" name="Shape 74"/>
                              <xdr:cNvSpPr/>
                            </xdr:nvSpPr>
                            <xdr:spPr>
                              <a:xfrm>
                                <a:off x="2395100" y="1070125"/>
                                <a:ext cx="17925" cy="2042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717" h="817" extrusionOk="0">
                                    <a:moveTo>
                                      <a:pt x="478" y="1"/>
                                    </a:moveTo>
                                    <a:cubicBezTo>
                                      <a:pt x="21" y="339"/>
                                      <a:pt x="1" y="677"/>
                                      <a:pt x="1" y="816"/>
                                    </a:cubicBezTo>
                                    <a:lnTo>
                                      <a:pt x="41" y="816"/>
                                    </a:lnTo>
                                    <a:cubicBezTo>
                                      <a:pt x="319" y="816"/>
                                      <a:pt x="578" y="657"/>
                                      <a:pt x="717" y="538"/>
                                    </a:cubicBezTo>
                                    <a:lnTo>
                                      <a:pt x="697" y="538"/>
                                    </a:lnTo>
                                    <a:cubicBezTo>
                                      <a:pt x="669" y="534"/>
                                      <a:pt x="641" y="532"/>
                                      <a:pt x="613" y="532"/>
                                    </a:cubicBezTo>
                                    <a:cubicBezTo>
                                      <a:pt x="501" y="532"/>
                                      <a:pt x="399" y="558"/>
                                      <a:pt x="399" y="558"/>
                                    </a:cubicBezTo>
                                    <a:cubicBezTo>
                                      <a:pt x="379" y="558"/>
                                      <a:pt x="359" y="558"/>
                                      <a:pt x="339" y="538"/>
                                    </a:cubicBezTo>
                                    <a:cubicBezTo>
                                      <a:pt x="319" y="518"/>
                                      <a:pt x="319" y="478"/>
                                      <a:pt x="339" y="458"/>
                                    </a:cubicBezTo>
                                    <a:cubicBezTo>
                                      <a:pt x="458" y="279"/>
                                      <a:pt x="478" y="120"/>
                                      <a:pt x="498" y="20"/>
                                    </a:cubicBezTo>
                                    <a:cubicBezTo>
                                      <a:pt x="498" y="20"/>
                                      <a:pt x="498" y="20"/>
                                      <a:pt x="498" y="1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58A947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75" name="Shape 75"/>
                              <xdr:cNvSpPr/>
                            </xdr:nvSpPr>
                            <xdr:spPr>
                              <a:xfrm>
                                <a:off x="2408525" y="1064150"/>
                                <a:ext cx="18925" cy="1645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757" h="658" extrusionOk="0">
                                    <a:moveTo>
                                      <a:pt x="657" y="1"/>
                                    </a:moveTo>
                                    <a:cubicBezTo>
                                      <a:pt x="140" y="180"/>
                                      <a:pt x="21" y="498"/>
                                      <a:pt x="1" y="617"/>
                                    </a:cubicBezTo>
                                    <a:cubicBezTo>
                                      <a:pt x="41" y="637"/>
                                      <a:pt x="120" y="657"/>
                                      <a:pt x="200" y="657"/>
                                    </a:cubicBezTo>
                                    <a:cubicBezTo>
                                      <a:pt x="299" y="657"/>
                                      <a:pt x="419" y="637"/>
                                      <a:pt x="558" y="578"/>
                                    </a:cubicBezTo>
                                    <a:cubicBezTo>
                                      <a:pt x="637" y="558"/>
                                      <a:pt x="697" y="538"/>
                                      <a:pt x="757" y="498"/>
                                    </a:cubicBezTo>
                                    <a:cubicBezTo>
                                      <a:pt x="697" y="478"/>
                                      <a:pt x="637" y="478"/>
                                      <a:pt x="598" y="458"/>
                                    </a:cubicBezTo>
                                    <a:lnTo>
                                      <a:pt x="439" y="458"/>
                                    </a:lnTo>
                                    <a:cubicBezTo>
                                      <a:pt x="419" y="458"/>
                                      <a:pt x="399" y="438"/>
                                      <a:pt x="379" y="419"/>
                                    </a:cubicBezTo>
                                    <a:cubicBezTo>
                                      <a:pt x="379" y="399"/>
                                      <a:pt x="379" y="359"/>
                                      <a:pt x="399" y="359"/>
                                    </a:cubicBezTo>
                                    <a:cubicBezTo>
                                      <a:pt x="558" y="220"/>
                                      <a:pt x="637" y="80"/>
                                      <a:pt x="677" y="1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58A947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76" name="Shape 76"/>
                              <xdr:cNvSpPr/>
                            </xdr:nvSpPr>
                            <xdr:spPr>
                              <a:xfrm>
                                <a:off x="2423950" y="1060675"/>
                                <a:ext cx="19425" cy="1345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777" h="538" extrusionOk="0">
                                    <a:moveTo>
                                      <a:pt x="757" y="1"/>
                                    </a:moveTo>
                                    <a:cubicBezTo>
                                      <a:pt x="478" y="40"/>
                                      <a:pt x="279" y="140"/>
                                      <a:pt x="140" y="279"/>
                                    </a:cubicBezTo>
                                    <a:cubicBezTo>
                                      <a:pt x="60" y="339"/>
                                      <a:pt x="20" y="418"/>
                                      <a:pt x="1" y="458"/>
                                    </a:cubicBezTo>
                                    <a:lnTo>
                                      <a:pt x="20" y="458"/>
                                    </a:lnTo>
                                    <a:cubicBezTo>
                                      <a:pt x="120" y="518"/>
                                      <a:pt x="259" y="538"/>
                                      <a:pt x="359" y="538"/>
                                    </a:cubicBezTo>
                                    <a:cubicBezTo>
                                      <a:pt x="438" y="538"/>
                                      <a:pt x="518" y="518"/>
                                      <a:pt x="577" y="518"/>
                                    </a:cubicBezTo>
                                    <a:cubicBezTo>
                                      <a:pt x="637" y="498"/>
                                      <a:pt x="697" y="478"/>
                                      <a:pt x="776" y="458"/>
                                    </a:cubicBezTo>
                                    <a:cubicBezTo>
                                      <a:pt x="637" y="398"/>
                                      <a:pt x="478" y="359"/>
                                      <a:pt x="478" y="359"/>
                                    </a:cubicBezTo>
                                    <a:cubicBezTo>
                                      <a:pt x="438" y="359"/>
                                      <a:pt x="418" y="339"/>
                                      <a:pt x="418" y="319"/>
                                    </a:cubicBezTo>
                                    <a:cubicBezTo>
                                      <a:pt x="418" y="279"/>
                                      <a:pt x="438" y="259"/>
                                      <a:pt x="458" y="259"/>
                                    </a:cubicBezTo>
                                    <a:cubicBezTo>
                                      <a:pt x="637" y="160"/>
                                      <a:pt x="717" y="80"/>
                                      <a:pt x="757" y="20"/>
                                    </a:cubicBezTo>
                                    <a:lnTo>
                                      <a:pt x="757" y="1"/>
                                    </a:lnTo>
                                    <a:close/>
                                  </a:path>
                                </a:pathLst>
                              </a:custGeom>
                              <a:solidFill>
                                <a:srgbClr val="58A947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77" name="Shape 77"/>
                              <xdr:cNvSpPr/>
                            </xdr:nvSpPr>
                            <xdr:spPr>
                              <a:xfrm>
                                <a:off x="2441850" y="1060550"/>
                                <a:ext cx="20425" cy="116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817" h="464" extrusionOk="0">
                                    <a:moveTo>
                                      <a:pt x="682" y="1"/>
                                    </a:moveTo>
                                    <a:cubicBezTo>
                                      <a:pt x="467" y="1"/>
                                      <a:pt x="292" y="42"/>
                                      <a:pt x="160" y="125"/>
                                    </a:cubicBezTo>
                                    <a:cubicBezTo>
                                      <a:pt x="60" y="185"/>
                                      <a:pt x="21" y="244"/>
                                      <a:pt x="1" y="284"/>
                                    </a:cubicBezTo>
                                    <a:cubicBezTo>
                                      <a:pt x="180" y="423"/>
                                      <a:pt x="399" y="463"/>
                                      <a:pt x="578" y="463"/>
                                    </a:cubicBezTo>
                                    <a:cubicBezTo>
                                      <a:pt x="637" y="463"/>
                                      <a:pt x="697" y="463"/>
                                      <a:pt x="737" y="443"/>
                                    </a:cubicBezTo>
                                    <a:cubicBezTo>
                                      <a:pt x="617" y="344"/>
                                      <a:pt x="458" y="284"/>
                                      <a:pt x="458" y="284"/>
                                    </a:cubicBezTo>
                                    <a:cubicBezTo>
                                      <a:pt x="438" y="284"/>
                                      <a:pt x="418" y="264"/>
                                      <a:pt x="418" y="224"/>
                                    </a:cubicBezTo>
                                    <a:cubicBezTo>
                                      <a:pt x="418" y="205"/>
                                      <a:pt x="438" y="185"/>
                                      <a:pt x="478" y="185"/>
                                    </a:cubicBezTo>
                                    <a:cubicBezTo>
                                      <a:pt x="637" y="125"/>
                                      <a:pt x="757" y="65"/>
                                      <a:pt x="816" y="6"/>
                                    </a:cubicBezTo>
                                    <a:cubicBezTo>
                                      <a:pt x="770" y="2"/>
                                      <a:pt x="725" y="1"/>
                                      <a:pt x="682" y="1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58A947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78" name="Shape 78"/>
                              <xdr:cNvSpPr/>
                            </xdr:nvSpPr>
                            <xdr:spPr>
                              <a:xfrm>
                                <a:off x="2459250" y="1062175"/>
                                <a:ext cx="21425" cy="1245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857" h="498" extrusionOk="0">
                                    <a:moveTo>
                                      <a:pt x="491" y="0"/>
                                    </a:moveTo>
                                    <a:cubicBezTo>
                                      <a:pt x="379" y="0"/>
                                      <a:pt x="279" y="20"/>
                                      <a:pt x="200" y="60"/>
                                    </a:cubicBezTo>
                                    <a:cubicBezTo>
                                      <a:pt x="100" y="100"/>
                                      <a:pt x="41" y="140"/>
                                      <a:pt x="1" y="179"/>
                                    </a:cubicBezTo>
                                    <a:cubicBezTo>
                                      <a:pt x="220" y="438"/>
                                      <a:pt x="538" y="498"/>
                                      <a:pt x="697" y="498"/>
                                    </a:cubicBezTo>
                                    <a:cubicBezTo>
                                      <a:pt x="598" y="358"/>
                                      <a:pt x="459" y="259"/>
                                      <a:pt x="459" y="259"/>
                                    </a:cubicBezTo>
                                    <a:cubicBezTo>
                                      <a:pt x="439" y="259"/>
                                      <a:pt x="439" y="219"/>
                                      <a:pt x="439" y="199"/>
                                    </a:cubicBezTo>
                                    <a:cubicBezTo>
                                      <a:pt x="439" y="179"/>
                                      <a:pt x="459" y="159"/>
                                      <a:pt x="498" y="159"/>
                                    </a:cubicBezTo>
                                    <a:cubicBezTo>
                                      <a:pt x="657" y="140"/>
                                      <a:pt x="777" y="100"/>
                                      <a:pt x="856" y="60"/>
                                    </a:cubicBezTo>
                                    <a:cubicBezTo>
                                      <a:pt x="727" y="20"/>
                                      <a:pt x="603" y="0"/>
                                      <a:pt x="491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58A947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79" name="Shape 79"/>
                              <xdr:cNvSpPr/>
                            </xdr:nvSpPr>
                            <xdr:spPr>
                              <a:xfrm>
                                <a:off x="2496550" y="1072625"/>
                                <a:ext cx="17450" cy="1792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698" h="717" extrusionOk="0">
                                    <a:moveTo>
                                      <a:pt x="160" y="0"/>
                                    </a:moveTo>
                                    <a:cubicBezTo>
                                      <a:pt x="200" y="99"/>
                                      <a:pt x="260" y="239"/>
                                      <a:pt x="359" y="358"/>
                                    </a:cubicBezTo>
                                    <a:cubicBezTo>
                                      <a:pt x="379" y="378"/>
                                      <a:pt x="379" y="398"/>
                                      <a:pt x="359" y="438"/>
                                    </a:cubicBezTo>
                                    <a:cubicBezTo>
                                      <a:pt x="359" y="458"/>
                                      <a:pt x="319" y="458"/>
                                      <a:pt x="299" y="458"/>
                                    </a:cubicBezTo>
                                    <a:cubicBezTo>
                                      <a:pt x="299" y="458"/>
                                      <a:pt x="229" y="440"/>
                                      <a:pt x="140" y="440"/>
                                    </a:cubicBezTo>
                                    <a:cubicBezTo>
                                      <a:pt x="96" y="440"/>
                                      <a:pt x="47" y="444"/>
                                      <a:pt x="1" y="458"/>
                                    </a:cubicBezTo>
                                    <a:cubicBezTo>
                                      <a:pt x="140" y="557"/>
                                      <a:pt x="439" y="716"/>
                                      <a:pt x="677" y="716"/>
                                    </a:cubicBezTo>
                                    <a:lnTo>
                                      <a:pt x="697" y="716"/>
                                    </a:lnTo>
                                    <a:cubicBezTo>
                                      <a:pt x="697" y="656"/>
                                      <a:pt x="697" y="537"/>
                                      <a:pt x="657" y="418"/>
                                    </a:cubicBezTo>
                                    <a:cubicBezTo>
                                      <a:pt x="578" y="219"/>
                                      <a:pt x="419" y="80"/>
                                      <a:pt x="180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58A947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80" name="Shape 80"/>
                              <xdr:cNvSpPr/>
                            </xdr:nvSpPr>
                            <xdr:spPr>
                              <a:xfrm>
                                <a:off x="2482150" y="1075000"/>
                                <a:ext cx="18425" cy="56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737" h="224" extrusionOk="0">
                                    <a:moveTo>
                                      <a:pt x="298" y="1"/>
                                    </a:moveTo>
                                    <a:cubicBezTo>
                                      <a:pt x="273" y="1"/>
                                      <a:pt x="246" y="2"/>
                                      <a:pt x="219" y="4"/>
                                    </a:cubicBezTo>
                                    <a:cubicBezTo>
                                      <a:pt x="159" y="4"/>
                                      <a:pt x="80" y="4"/>
                                      <a:pt x="0" y="44"/>
                                    </a:cubicBezTo>
                                    <a:cubicBezTo>
                                      <a:pt x="159" y="164"/>
                                      <a:pt x="338" y="223"/>
                                      <a:pt x="517" y="223"/>
                                    </a:cubicBezTo>
                                    <a:lnTo>
                                      <a:pt x="537" y="223"/>
                                    </a:lnTo>
                                    <a:cubicBezTo>
                                      <a:pt x="617" y="223"/>
                                      <a:pt x="676" y="203"/>
                                      <a:pt x="736" y="203"/>
                                    </a:cubicBezTo>
                                    <a:lnTo>
                                      <a:pt x="736" y="183"/>
                                    </a:lnTo>
                                    <a:cubicBezTo>
                                      <a:pt x="614" y="62"/>
                                      <a:pt x="477" y="1"/>
                                      <a:pt x="298" y="1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58A947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81" name="Shape 81"/>
                              <xdr:cNvSpPr/>
                            </xdr:nvSpPr>
                            <xdr:spPr>
                              <a:xfrm>
                                <a:off x="2476175" y="1066275"/>
                                <a:ext cx="20400" cy="587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816" h="235" extrusionOk="0">
                                    <a:moveTo>
                                      <a:pt x="368" y="0"/>
                                    </a:moveTo>
                                    <a:cubicBezTo>
                                      <a:pt x="319" y="0"/>
                                      <a:pt x="269" y="5"/>
                                      <a:pt x="219" y="15"/>
                                    </a:cubicBezTo>
                                    <a:cubicBezTo>
                                      <a:pt x="120" y="35"/>
                                      <a:pt x="40" y="75"/>
                                      <a:pt x="0" y="115"/>
                                    </a:cubicBezTo>
                                    <a:cubicBezTo>
                                      <a:pt x="100" y="194"/>
                                      <a:pt x="219" y="234"/>
                                      <a:pt x="358" y="234"/>
                                    </a:cubicBezTo>
                                    <a:cubicBezTo>
                                      <a:pt x="418" y="234"/>
                                      <a:pt x="498" y="214"/>
                                      <a:pt x="557" y="214"/>
                                    </a:cubicBezTo>
                                    <a:cubicBezTo>
                                      <a:pt x="657" y="174"/>
                                      <a:pt x="756" y="155"/>
                                      <a:pt x="816" y="135"/>
                                    </a:cubicBezTo>
                                    <a:cubicBezTo>
                                      <a:pt x="816" y="115"/>
                                      <a:pt x="816" y="115"/>
                                      <a:pt x="816" y="115"/>
                                    </a:cubicBezTo>
                                    <a:cubicBezTo>
                                      <a:pt x="716" y="55"/>
                                      <a:pt x="617" y="35"/>
                                      <a:pt x="518" y="15"/>
                                    </a:cubicBezTo>
                                    <a:cubicBezTo>
                                      <a:pt x="468" y="5"/>
                                      <a:pt x="418" y="0"/>
                                      <a:pt x="368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58A947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82" name="Shape 82"/>
                              <xdr:cNvSpPr/>
                            </xdr:nvSpPr>
                            <xdr:spPr>
                              <a:xfrm>
                                <a:off x="2425950" y="1162250"/>
                                <a:ext cx="23900" cy="537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956" h="215" extrusionOk="0">
                                    <a:moveTo>
                                      <a:pt x="406" y="0"/>
                                    </a:moveTo>
                                    <a:cubicBezTo>
                                      <a:pt x="272" y="0"/>
                                      <a:pt x="152" y="49"/>
                                      <a:pt x="0" y="115"/>
                                    </a:cubicBezTo>
                                    <a:cubicBezTo>
                                      <a:pt x="0" y="135"/>
                                      <a:pt x="0" y="135"/>
                                      <a:pt x="20" y="155"/>
                                    </a:cubicBezTo>
                                    <a:cubicBezTo>
                                      <a:pt x="40" y="195"/>
                                      <a:pt x="100" y="215"/>
                                      <a:pt x="179" y="215"/>
                                    </a:cubicBezTo>
                                    <a:lnTo>
                                      <a:pt x="955" y="215"/>
                                    </a:lnTo>
                                    <a:cubicBezTo>
                                      <a:pt x="716" y="58"/>
                                      <a:pt x="553" y="0"/>
                                      <a:pt x="406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EE4023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83" name="Shape 83"/>
                              <xdr:cNvSpPr/>
                            </xdr:nvSpPr>
                            <xdr:spPr>
                              <a:xfrm>
                                <a:off x="2425450" y="1106800"/>
                                <a:ext cx="57700" cy="6082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2308" h="2433" extrusionOk="0">
                                    <a:moveTo>
                                      <a:pt x="1191" y="1"/>
                                    </a:moveTo>
                                    <a:cubicBezTo>
                                      <a:pt x="1144" y="1"/>
                                      <a:pt x="1114" y="6"/>
                                      <a:pt x="1114" y="6"/>
                                    </a:cubicBezTo>
                                    <a:lnTo>
                                      <a:pt x="1094" y="6"/>
                                    </a:lnTo>
                                    <a:cubicBezTo>
                                      <a:pt x="1094" y="6"/>
                                      <a:pt x="736" y="6"/>
                                      <a:pt x="498" y="284"/>
                                    </a:cubicBezTo>
                                    <a:cubicBezTo>
                                      <a:pt x="438" y="324"/>
                                      <a:pt x="338" y="463"/>
                                      <a:pt x="319" y="563"/>
                                    </a:cubicBezTo>
                                    <a:cubicBezTo>
                                      <a:pt x="299" y="622"/>
                                      <a:pt x="319" y="662"/>
                                      <a:pt x="358" y="682"/>
                                    </a:cubicBezTo>
                                    <a:cubicBezTo>
                                      <a:pt x="358" y="691"/>
                                      <a:pt x="374" y="700"/>
                                      <a:pt x="401" y="700"/>
                                    </a:cubicBezTo>
                                    <a:cubicBezTo>
                                      <a:pt x="433" y="700"/>
                                      <a:pt x="482" y="686"/>
                                      <a:pt x="537" y="642"/>
                                    </a:cubicBezTo>
                                    <a:cubicBezTo>
                                      <a:pt x="557" y="622"/>
                                      <a:pt x="577" y="622"/>
                                      <a:pt x="577" y="602"/>
                                    </a:cubicBezTo>
                                    <a:cubicBezTo>
                                      <a:pt x="599" y="595"/>
                                      <a:pt x="621" y="590"/>
                                      <a:pt x="642" y="590"/>
                                    </a:cubicBezTo>
                                    <a:cubicBezTo>
                                      <a:pt x="678" y="590"/>
                                      <a:pt x="711" y="604"/>
                                      <a:pt x="736" y="642"/>
                                    </a:cubicBezTo>
                                    <a:cubicBezTo>
                                      <a:pt x="776" y="682"/>
                                      <a:pt x="756" y="742"/>
                                      <a:pt x="716" y="781"/>
                                    </a:cubicBezTo>
                                    <a:cubicBezTo>
                                      <a:pt x="697" y="801"/>
                                      <a:pt x="697" y="821"/>
                                      <a:pt x="677" y="821"/>
                                    </a:cubicBezTo>
                                    <a:cubicBezTo>
                                      <a:pt x="637" y="861"/>
                                      <a:pt x="537" y="941"/>
                                      <a:pt x="438" y="1100"/>
                                    </a:cubicBezTo>
                                    <a:cubicBezTo>
                                      <a:pt x="299" y="1279"/>
                                      <a:pt x="100" y="1597"/>
                                      <a:pt x="20" y="2074"/>
                                    </a:cubicBezTo>
                                    <a:cubicBezTo>
                                      <a:pt x="0" y="2094"/>
                                      <a:pt x="0" y="2094"/>
                                      <a:pt x="0" y="2114"/>
                                    </a:cubicBezTo>
                                    <a:cubicBezTo>
                                      <a:pt x="143" y="2052"/>
                                      <a:pt x="274" y="2005"/>
                                      <a:pt x="426" y="2005"/>
                                    </a:cubicBezTo>
                                    <a:cubicBezTo>
                                      <a:pt x="614" y="2005"/>
                                      <a:pt x="836" y="2076"/>
                                      <a:pt x="1154" y="2273"/>
                                    </a:cubicBezTo>
                                    <a:cubicBezTo>
                                      <a:pt x="1373" y="2413"/>
                                      <a:pt x="1631" y="2433"/>
                                      <a:pt x="1691" y="2433"/>
                                    </a:cubicBezTo>
                                    <a:lnTo>
                                      <a:pt x="1950" y="2433"/>
                                    </a:lnTo>
                                    <a:cubicBezTo>
                                      <a:pt x="2009" y="2433"/>
                                      <a:pt x="2188" y="2433"/>
                                      <a:pt x="2288" y="2333"/>
                                    </a:cubicBezTo>
                                    <a:cubicBezTo>
                                      <a:pt x="2288" y="2313"/>
                                      <a:pt x="2308" y="2293"/>
                                      <a:pt x="2308" y="2273"/>
                                    </a:cubicBezTo>
                                    <a:cubicBezTo>
                                      <a:pt x="2308" y="2134"/>
                                      <a:pt x="2188" y="2074"/>
                                      <a:pt x="1910" y="2015"/>
                                    </a:cubicBezTo>
                                    <a:cubicBezTo>
                                      <a:pt x="1850" y="1995"/>
                                      <a:pt x="1771" y="1975"/>
                                      <a:pt x="1711" y="1955"/>
                                    </a:cubicBezTo>
                                    <a:cubicBezTo>
                                      <a:pt x="1472" y="1856"/>
                                      <a:pt x="1273" y="1696"/>
                                      <a:pt x="1273" y="1696"/>
                                    </a:cubicBezTo>
                                    <a:cubicBezTo>
                                      <a:pt x="1214" y="1657"/>
                                      <a:pt x="1214" y="1577"/>
                                      <a:pt x="1254" y="1537"/>
                                    </a:cubicBezTo>
                                    <a:cubicBezTo>
                                      <a:pt x="1275" y="1504"/>
                                      <a:pt x="1303" y="1490"/>
                                      <a:pt x="1334" y="1490"/>
                                    </a:cubicBezTo>
                                    <a:cubicBezTo>
                                      <a:pt x="1359" y="1490"/>
                                      <a:pt x="1386" y="1500"/>
                                      <a:pt x="1413" y="1517"/>
                                    </a:cubicBezTo>
                                    <a:cubicBezTo>
                                      <a:pt x="1413" y="1517"/>
                                      <a:pt x="1592" y="1657"/>
                                      <a:pt x="1811" y="1736"/>
                                    </a:cubicBezTo>
                                    <a:cubicBezTo>
                                      <a:pt x="1850" y="1756"/>
                                      <a:pt x="1910" y="1776"/>
                                      <a:pt x="1970" y="1796"/>
                                    </a:cubicBezTo>
                                    <a:cubicBezTo>
                                      <a:pt x="2069" y="1816"/>
                                      <a:pt x="2188" y="1856"/>
                                      <a:pt x="2288" y="1895"/>
                                    </a:cubicBezTo>
                                    <a:cubicBezTo>
                                      <a:pt x="2268" y="1776"/>
                                      <a:pt x="2248" y="1657"/>
                                      <a:pt x="2228" y="1557"/>
                                    </a:cubicBezTo>
                                    <a:cubicBezTo>
                                      <a:pt x="1910" y="1498"/>
                                      <a:pt x="1651" y="1279"/>
                                      <a:pt x="1651" y="1279"/>
                                    </a:cubicBezTo>
                                    <a:cubicBezTo>
                                      <a:pt x="1631" y="1259"/>
                                      <a:pt x="1612" y="1239"/>
                                      <a:pt x="1612" y="1199"/>
                                    </a:cubicBezTo>
                                    <a:cubicBezTo>
                                      <a:pt x="1612" y="1179"/>
                                      <a:pt x="1612" y="1139"/>
                                      <a:pt x="1631" y="1120"/>
                                    </a:cubicBezTo>
                                    <a:cubicBezTo>
                                      <a:pt x="1656" y="1095"/>
                                      <a:pt x="1696" y="1078"/>
                                      <a:pt x="1732" y="1078"/>
                                    </a:cubicBezTo>
                                    <a:cubicBezTo>
                                      <a:pt x="1754" y="1078"/>
                                      <a:pt x="1775" y="1085"/>
                                      <a:pt x="1791" y="1100"/>
                                    </a:cubicBezTo>
                                    <a:cubicBezTo>
                                      <a:pt x="1791" y="1100"/>
                                      <a:pt x="1950" y="1239"/>
                                      <a:pt x="2169" y="1319"/>
                                    </a:cubicBezTo>
                                    <a:cubicBezTo>
                                      <a:pt x="2089" y="1000"/>
                                      <a:pt x="1970" y="722"/>
                                      <a:pt x="1830" y="443"/>
                                    </a:cubicBezTo>
                                    <a:cubicBezTo>
                                      <a:pt x="1731" y="224"/>
                                      <a:pt x="1572" y="105"/>
                                      <a:pt x="1373" y="25"/>
                                    </a:cubicBezTo>
                                    <a:cubicBezTo>
                                      <a:pt x="1303" y="6"/>
                                      <a:pt x="1239" y="1"/>
                                      <a:pt x="1191" y="1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EE4023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84" name="Shape 84"/>
                              <xdr:cNvSpPr/>
                            </xdr:nvSpPr>
                            <xdr:spPr>
                              <a:xfrm>
                                <a:off x="2434900" y="1263075"/>
                                <a:ext cx="12450" cy="101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498" h="404" extrusionOk="0">
                                    <a:moveTo>
                                      <a:pt x="398" y="1"/>
                                    </a:moveTo>
                                    <a:cubicBezTo>
                                      <a:pt x="338" y="1"/>
                                      <a:pt x="259" y="41"/>
                                      <a:pt x="159" y="100"/>
                                    </a:cubicBezTo>
                                    <a:cubicBezTo>
                                      <a:pt x="100" y="160"/>
                                      <a:pt x="0" y="240"/>
                                      <a:pt x="0" y="319"/>
                                    </a:cubicBezTo>
                                    <a:cubicBezTo>
                                      <a:pt x="0" y="359"/>
                                      <a:pt x="20" y="379"/>
                                      <a:pt x="40" y="379"/>
                                    </a:cubicBezTo>
                                    <a:cubicBezTo>
                                      <a:pt x="60" y="399"/>
                                      <a:pt x="95" y="404"/>
                                      <a:pt x="130" y="404"/>
                                    </a:cubicBezTo>
                                    <a:cubicBezTo>
                                      <a:pt x="164" y="404"/>
                                      <a:pt x="199" y="399"/>
                                      <a:pt x="219" y="399"/>
                                    </a:cubicBezTo>
                                    <a:cubicBezTo>
                                      <a:pt x="259" y="319"/>
                                      <a:pt x="338" y="240"/>
                                      <a:pt x="438" y="160"/>
                                    </a:cubicBezTo>
                                    <a:cubicBezTo>
                                      <a:pt x="458" y="140"/>
                                      <a:pt x="498" y="100"/>
                                      <a:pt x="498" y="80"/>
                                    </a:cubicBezTo>
                                    <a:cubicBezTo>
                                      <a:pt x="498" y="61"/>
                                      <a:pt x="478" y="41"/>
                                      <a:pt x="458" y="41"/>
                                    </a:cubicBezTo>
                                    <a:cubicBezTo>
                                      <a:pt x="438" y="1"/>
                                      <a:pt x="418" y="1"/>
                                      <a:pt x="398" y="1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FBBB8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85" name="Shape 85"/>
                              <xdr:cNvSpPr/>
                            </xdr:nvSpPr>
                            <xdr:spPr>
                              <a:xfrm>
                                <a:off x="2444850" y="1268975"/>
                                <a:ext cx="10450" cy="707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418" h="283" extrusionOk="0">
                                    <a:moveTo>
                                      <a:pt x="371" y="0"/>
                                    </a:moveTo>
                                    <a:cubicBezTo>
                                      <a:pt x="344" y="0"/>
                                      <a:pt x="298" y="8"/>
                                      <a:pt x="239" y="43"/>
                                    </a:cubicBezTo>
                                    <a:cubicBezTo>
                                      <a:pt x="139" y="83"/>
                                      <a:pt x="60" y="143"/>
                                      <a:pt x="0" y="242"/>
                                    </a:cubicBezTo>
                                    <a:cubicBezTo>
                                      <a:pt x="40" y="262"/>
                                      <a:pt x="60" y="262"/>
                                      <a:pt x="60" y="282"/>
                                    </a:cubicBezTo>
                                    <a:cubicBezTo>
                                      <a:pt x="159" y="282"/>
                                      <a:pt x="298" y="203"/>
                                      <a:pt x="338" y="183"/>
                                    </a:cubicBezTo>
                                    <a:cubicBezTo>
                                      <a:pt x="358" y="163"/>
                                      <a:pt x="418" y="103"/>
                                      <a:pt x="418" y="63"/>
                                    </a:cubicBezTo>
                                    <a:cubicBezTo>
                                      <a:pt x="418" y="63"/>
                                      <a:pt x="418" y="43"/>
                                      <a:pt x="398" y="4"/>
                                    </a:cubicBezTo>
                                    <a:cubicBezTo>
                                      <a:pt x="398" y="4"/>
                                      <a:pt x="388" y="0"/>
                                      <a:pt x="371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FBBB8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86" name="Shape 86"/>
                              <xdr:cNvSpPr/>
                            </xdr:nvSpPr>
                            <xdr:spPr>
                              <a:xfrm>
                                <a:off x="2417975" y="1257125"/>
                                <a:ext cx="8975" cy="647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359" h="259" extrusionOk="0">
                                    <a:moveTo>
                                      <a:pt x="279" y="0"/>
                                    </a:moveTo>
                                    <a:cubicBezTo>
                                      <a:pt x="200" y="0"/>
                                      <a:pt x="80" y="60"/>
                                      <a:pt x="41" y="120"/>
                                    </a:cubicBezTo>
                                    <a:cubicBezTo>
                                      <a:pt x="1" y="179"/>
                                      <a:pt x="1" y="199"/>
                                      <a:pt x="21" y="219"/>
                                    </a:cubicBezTo>
                                    <a:cubicBezTo>
                                      <a:pt x="21" y="219"/>
                                      <a:pt x="61" y="239"/>
                                      <a:pt x="120" y="259"/>
                                    </a:cubicBezTo>
                                    <a:lnTo>
                                      <a:pt x="160" y="259"/>
                                    </a:lnTo>
                                    <a:cubicBezTo>
                                      <a:pt x="180" y="179"/>
                                      <a:pt x="240" y="100"/>
                                      <a:pt x="299" y="40"/>
                                    </a:cubicBezTo>
                                    <a:cubicBezTo>
                                      <a:pt x="319" y="40"/>
                                      <a:pt x="339" y="20"/>
                                      <a:pt x="359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FBBB8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87" name="Shape 87"/>
                              <xdr:cNvSpPr/>
                            </xdr:nvSpPr>
                            <xdr:spPr>
                              <a:xfrm>
                                <a:off x="2426450" y="1258600"/>
                                <a:ext cx="10950" cy="997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438" h="399" extrusionOk="0">
                                    <a:moveTo>
                                      <a:pt x="318" y="1"/>
                                    </a:moveTo>
                                    <a:cubicBezTo>
                                      <a:pt x="259" y="1"/>
                                      <a:pt x="179" y="41"/>
                                      <a:pt x="100" y="140"/>
                                    </a:cubicBezTo>
                                    <a:cubicBezTo>
                                      <a:pt x="20" y="200"/>
                                      <a:pt x="0" y="240"/>
                                      <a:pt x="0" y="299"/>
                                    </a:cubicBezTo>
                                    <a:cubicBezTo>
                                      <a:pt x="0" y="319"/>
                                      <a:pt x="20" y="359"/>
                                      <a:pt x="100" y="399"/>
                                    </a:cubicBezTo>
                                    <a:lnTo>
                                      <a:pt x="159" y="399"/>
                                    </a:lnTo>
                                    <a:cubicBezTo>
                                      <a:pt x="179" y="319"/>
                                      <a:pt x="259" y="220"/>
                                      <a:pt x="398" y="120"/>
                                    </a:cubicBezTo>
                                    <a:cubicBezTo>
                                      <a:pt x="398" y="120"/>
                                      <a:pt x="418" y="100"/>
                                      <a:pt x="438" y="80"/>
                                    </a:cubicBezTo>
                                    <a:cubicBezTo>
                                      <a:pt x="438" y="61"/>
                                      <a:pt x="418" y="41"/>
                                      <a:pt x="398" y="21"/>
                                    </a:cubicBezTo>
                                    <a:cubicBezTo>
                                      <a:pt x="378" y="21"/>
                                      <a:pt x="338" y="1"/>
                                      <a:pt x="318" y="1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FBBB8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88" name="Shape 88"/>
                              <xdr:cNvSpPr/>
                            </xdr:nvSpPr>
                            <xdr:spPr>
                              <a:xfrm>
                                <a:off x="2364775" y="1224725"/>
                                <a:ext cx="126825" cy="5032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5073" h="2013" extrusionOk="0">
                                    <a:moveTo>
                                      <a:pt x="3443" y="0"/>
                                    </a:moveTo>
                                    <a:cubicBezTo>
                                      <a:pt x="3277" y="0"/>
                                      <a:pt x="3163" y="77"/>
                                      <a:pt x="2984" y="202"/>
                                    </a:cubicBezTo>
                                    <a:cubicBezTo>
                                      <a:pt x="2805" y="302"/>
                                      <a:pt x="2487" y="401"/>
                                      <a:pt x="1970" y="520"/>
                                    </a:cubicBezTo>
                                    <a:cubicBezTo>
                                      <a:pt x="1492" y="600"/>
                                      <a:pt x="816" y="699"/>
                                      <a:pt x="0" y="799"/>
                                    </a:cubicBezTo>
                                    <a:cubicBezTo>
                                      <a:pt x="20" y="898"/>
                                      <a:pt x="40" y="978"/>
                                      <a:pt x="80" y="1077"/>
                                    </a:cubicBezTo>
                                    <a:cubicBezTo>
                                      <a:pt x="179" y="1396"/>
                                      <a:pt x="319" y="1714"/>
                                      <a:pt x="458" y="2012"/>
                                    </a:cubicBezTo>
                                    <a:cubicBezTo>
                                      <a:pt x="756" y="1873"/>
                                      <a:pt x="1492" y="1555"/>
                                      <a:pt x="2049" y="1256"/>
                                    </a:cubicBezTo>
                                    <a:cubicBezTo>
                                      <a:pt x="2154" y="1152"/>
                                      <a:pt x="2288" y="1094"/>
                                      <a:pt x="2413" y="1094"/>
                                    </a:cubicBezTo>
                                    <a:cubicBezTo>
                                      <a:pt x="2431" y="1094"/>
                                      <a:pt x="2449" y="1095"/>
                                      <a:pt x="2467" y="1097"/>
                                    </a:cubicBezTo>
                                    <a:cubicBezTo>
                                      <a:pt x="2487" y="1097"/>
                                      <a:pt x="2606" y="1117"/>
                                      <a:pt x="2686" y="1177"/>
                                    </a:cubicBezTo>
                                    <a:cubicBezTo>
                                      <a:pt x="2719" y="1169"/>
                                      <a:pt x="2755" y="1164"/>
                                      <a:pt x="2792" y="1164"/>
                                    </a:cubicBezTo>
                                    <a:cubicBezTo>
                                      <a:pt x="2844" y="1164"/>
                                      <a:pt x="2898" y="1173"/>
                                      <a:pt x="2944" y="1197"/>
                                    </a:cubicBezTo>
                                    <a:cubicBezTo>
                                      <a:pt x="3044" y="1256"/>
                                      <a:pt x="3084" y="1316"/>
                                      <a:pt x="3084" y="1356"/>
                                    </a:cubicBezTo>
                                    <a:cubicBezTo>
                                      <a:pt x="3124" y="1343"/>
                                      <a:pt x="3163" y="1336"/>
                                      <a:pt x="3202" y="1336"/>
                                    </a:cubicBezTo>
                                    <a:cubicBezTo>
                                      <a:pt x="3278" y="1336"/>
                                      <a:pt x="3349" y="1363"/>
                                      <a:pt x="3402" y="1416"/>
                                    </a:cubicBezTo>
                                    <a:cubicBezTo>
                                      <a:pt x="3462" y="1475"/>
                                      <a:pt x="3482" y="1515"/>
                                      <a:pt x="3501" y="1575"/>
                                    </a:cubicBezTo>
                                    <a:cubicBezTo>
                                      <a:pt x="3621" y="1575"/>
                                      <a:pt x="3700" y="1595"/>
                                      <a:pt x="3740" y="1654"/>
                                    </a:cubicBezTo>
                                    <a:cubicBezTo>
                                      <a:pt x="3820" y="1734"/>
                                      <a:pt x="3840" y="1813"/>
                                      <a:pt x="3820" y="1873"/>
                                    </a:cubicBezTo>
                                    <a:cubicBezTo>
                                      <a:pt x="3820" y="1913"/>
                                      <a:pt x="3800" y="1953"/>
                                      <a:pt x="3780" y="1992"/>
                                    </a:cubicBezTo>
                                    <a:cubicBezTo>
                                      <a:pt x="3840" y="1992"/>
                                      <a:pt x="3879" y="1992"/>
                                      <a:pt x="3939" y="1973"/>
                                    </a:cubicBezTo>
                                    <a:cubicBezTo>
                                      <a:pt x="3959" y="1953"/>
                                      <a:pt x="3979" y="1953"/>
                                      <a:pt x="3999" y="1933"/>
                                    </a:cubicBezTo>
                                    <a:cubicBezTo>
                                      <a:pt x="3959" y="1893"/>
                                      <a:pt x="3919" y="1813"/>
                                      <a:pt x="3860" y="1734"/>
                                    </a:cubicBezTo>
                                    <a:cubicBezTo>
                                      <a:pt x="3840" y="1714"/>
                                      <a:pt x="3820" y="1694"/>
                                      <a:pt x="3820" y="1674"/>
                                    </a:cubicBezTo>
                                    <a:cubicBezTo>
                                      <a:pt x="3840" y="1634"/>
                                      <a:pt x="3840" y="1614"/>
                                      <a:pt x="3860" y="1595"/>
                                    </a:cubicBezTo>
                                    <a:cubicBezTo>
                                      <a:pt x="3875" y="1579"/>
                                      <a:pt x="3893" y="1573"/>
                                      <a:pt x="3912" y="1573"/>
                                    </a:cubicBezTo>
                                    <a:cubicBezTo>
                                      <a:pt x="3942" y="1573"/>
                                      <a:pt x="3974" y="1590"/>
                                      <a:pt x="3999" y="1614"/>
                                    </a:cubicBezTo>
                                    <a:cubicBezTo>
                                      <a:pt x="4098" y="1714"/>
                                      <a:pt x="4158" y="1833"/>
                                      <a:pt x="4178" y="1873"/>
                                    </a:cubicBezTo>
                                    <a:cubicBezTo>
                                      <a:pt x="4194" y="1878"/>
                                      <a:pt x="4208" y="1881"/>
                                      <a:pt x="4222" y="1881"/>
                                    </a:cubicBezTo>
                                    <a:cubicBezTo>
                                      <a:pt x="4259" y="1881"/>
                                      <a:pt x="4288" y="1862"/>
                                      <a:pt x="4317" y="1833"/>
                                    </a:cubicBezTo>
                                    <a:cubicBezTo>
                                      <a:pt x="4337" y="1813"/>
                                      <a:pt x="4357" y="1794"/>
                                      <a:pt x="4357" y="1774"/>
                                    </a:cubicBezTo>
                                    <a:cubicBezTo>
                                      <a:pt x="4357" y="1754"/>
                                      <a:pt x="4317" y="1714"/>
                                      <a:pt x="4257" y="1634"/>
                                    </a:cubicBezTo>
                                    <a:cubicBezTo>
                                      <a:pt x="4198" y="1575"/>
                                      <a:pt x="4078" y="1475"/>
                                      <a:pt x="4039" y="1435"/>
                                    </a:cubicBezTo>
                                    <a:cubicBezTo>
                                      <a:pt x="4019" y="1435"/>
                                      <a:pt x="3999" y="1396"/>
                                      <a:pt x="3999" y="1376"/>
                                    </a:cubicBezTo>
                                    <a:cubicBezTo>
                                      <a:pt x="3979" y="1356"/>
                                      <a:pt x="3999" y="1316"/>
                                      <a:pt x="4019" y="1296"/>
                                    </a:cubicBezTo>
                                    <a:cubicBezTo>
                                      <a:pt x="4019" y="1276"/>
                                      <a:pt x="4039" y="1276"/>
                                      <a:pt x="4078" y="1256"/>
                                    </a:cubicBezTo>
                                    <a:cubicBezTo>
                                      <a:pt x="4098" y="1256"/>
                                      <a:pt x="4118" y="1256"/>
                                      <a:pt x="4158" y="1276"/>
                                    </a:cubicBezTo>
                                    <a:cubicBezTo>
                                      <a:pt x="4158" y="1276"/>
                                      <a:pt x="4317" y="1396"/>
                                      <a:pt x="4417" y="1495"/>
                                    </a:cubicBezTo>
                                    <a:cubicBezTo>
                                      <a:pt x="4476" y="1575"/>
                                      <a:pt x="4516" y="1634"/>
                                      <a:pt x="4536" y="1694"/>
                                    </a:cubicBezTo>
                                    <a:cubicBezTo>
                                      <a:pt x="4615" y="1694"/>
                                      <a:pt x="4675" y="1674"/>
                                      <a:pt x="4695" y="1634"/>
                                    </a:cubicBezTo>
                                    <a:cubicBezTo>
                                      <a:pt x="4715" y="1614"/>
                                      <a:pt x="4735" y="1595"/>
                                      <a:pt x="4735" y="1595"/>
                                    </a:cubicBezTo>
                                    <a:cubicBezTo>
                                      <a:pt x="4655" y="1495"/>
                                      <a:pt x="4476" y="1256"/>
                                      <a:pt x="4238" y="1137"/>
                                    </a:cubicBezTo>
                                    <a:cubicBezTo>
                                      <a:pt x="4218" y="1137"/>
                                      <a:pt x="4198" y="1117"/>
                                      <a:pt x="4178" y="1077"/>
                                    </a:cubicBezTo>
                                    <a:cubicBezTo>
                                      <a:pt x="4178" y="1057"/>
                                      <a:pt x="4178" y="1038"/>
                                      <a:pt x="4198" y="1018"/>
                                    </a:cubicBezTo>
                                    <a:cubicBezTo>
                                      <a:pt x="4198" y="978"/>
                                      <a:pt x="4218" y="958"/>
                                      <a:pt x="4257" y="958"/>
                                    </a:cubicBezTo>
                                    <a:lnTo>
                                      <a:pt x="4317" y="958"/>
                                    </a:lnTo>
                                    <a:cubicBezTo>
                                      <a:pt x="4596" y="1097"/>
                                      <a:pt x="4814" y="1356"/>
                                      <a:pt x="4894" y="1475"/>
                                    </a:cubicBezTo>
                                    <a:cubicBezTo>
                                      <a:pt x="4954" y="1455"/>
                                      <a:pt x="4993" y="1455"/>
                                      <a:pt x="5013" y="1416"/>
                                    </a:cubicBezTo>
                                    <a:cubicBezTo>
                                      <a:pt x="5053" y="1396"/>
                                      <a:pt x="5053" y="1356"/>
                                      <a:pt x="5073" y="1336"/>
                                    </a:cubicBezTo>
                                    <a:cubicBezTo>
                                      <a:pt x="5013" y="1256"/>
                                      <a:pt x="4814" y="1038"/>
                                      <a:pt x="4556" y="859"/>
                                    </a:cubicBezTo>
                                    <a:cubicBezTo>
                                      <a:pt x="4456" y="799"/>
                                      <a:pt x="4337" y="719"/>
                                      <a:pt x="4218" y="680"/>
                                    </a:cubicBezTo>
                                    <a:cubicBezTo>
                                      <a:pt x="4129" y="642"/>
                                      <a:pt x="4049" y="628"/>
                                      <a:pt x="3977" y="628"/>
                                    </a:cubicBezTo>
                                    <a:cubicBezTo>
                                      <a:pt x="3935" y="628"/>
                                      <a:pt x="3896" y="632"/>
                                      <a:pt x="3860" y="640"/>
                                    </a:cubicBezTo>
                                    <a:cubicBezTo>
                                      <a:pt x="3840" y="660"/>
                                      <a:pt x="3780" y="680"/>
                                      <a:pt x="3740" y="719"/>
                                    </a:cubicBezTo>
                                    <a:cubicBezTo>
                                      <a:pt x="3700" y="739"/>
                                      <a:pt x="3681" y="759"/>
                                      <a:pt x="3641" y="779"/>
                                    </a:cubicBezTo>
                                    <a:cubicBezTo>
                                      <a:pt x="3521" y="839"/>
                                      <a:pt x="3362" y="898"/>
                                      <a:pt x="3223" y="898"/>
                                    </a:cubicBezTo>
                                    <a:cubicBezTo>
                                      <a:pt x="3194" y="904"/>
                                      <a:pt x="3160" y="908"/>
                                      <a:pt x="3125" y="908"/>
                                    </a:cubicBezTo>
                                    <a:cubicBezTo>
                                      <a:pt x="3038" y="908"/>
                                      <a:pt x="2941" y="884"/>
                                      <a:pt x="2885" y="799"/>
                                    </a:cubicBezTo>
                                    <a:cubicBezTo>
                                      <a:pt x="2825" y="719"/>
                                      <a:pt x="2805" y="640"/>
                                      <a:pt x="2845" y="560"/>
                                    </a:cubicBezTo>
                                    <a:cubicBezTo>
                                      <a:pt x="2865" y="481"/>
                                      <a:pt x="2964" y="421"/>
                                      <a:pt x="3084" y="381"/>
                                    </a:cubicBezTo>
                                    <a:cubicBezTo>
                                      <a:pt x="3124" y="341"/>
                                      <a:pt x="3183" y="321"/>
                                      <a:pt x="3223" y="302"/>
                                    </a:cubicBezTo>
                                    <a:cubicBezTo>
                                      <a:pt x="3263" y="262"/>
                                      <a:pt x="3303" y="242"/>
                                      <a:pt x="3342" y="202"/>
                                    </a:cubicBezTo>
                                    <a:cubicBezTo>
                                      <a:pt x="3382" y="162"/>
                                      <a:pt x="3442" y="123"/>
                                      <a:pt x="3521" y="83"/>
                                    </a:cubicBezTo>
                                    <a:cubicBezTo>
                                      <a:pt x="3541" y="43"/>
                                      <a:pt x="3581" y="23"/>
                                      <a:pt x="3621" y="23"/>
                                    </a:cubicBezTo>
                                    <a:cubicBezTo>
                                      <a:pt x="3581" y="3"/>
                                      <a:pt x="3541" y="3"/>
                                      <a:pt x="3501" y="3"/>
                                    </a:cubicBezTo>
                                    <a:cubicBezTo>
                                      <a:pt x="3481" y="1"/>
                                      <a:pt x="3462" y="0"/>
                                      <a:pt x="3443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FBBB8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89" name="Shape 89"/>
                              <xdr:cNvSpPr/>
                            </xdr:nvSpPr>
                            <xdr:spPr>
                              <a:xfrm>
                                <a:off x="2440375" y="1228775"/>
                                <a:ext cx="103950" cy="4727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4158" h="1891" extrusionOk="0">
                                    <a:moveTo>
                                      <a:pt x="975" y="0"/>
                                    </a:moveTo>
                                    <a:cubicBezTo>
                                      <a:pt x="816" y="0"/>
                                      <a:pt x="696" y="0"/>
                                      <a:pt x="597" y="80"/>
                                    </a:cubicBezTo>
                                    <a:cubicBezTo>
                                      <a:pt x="537" y="140"/>
                                      <a:pt x="477" y="159"/>
                                      <a:pt x="438" y="199"/>
                                    </a:cubicBezTo>
                                    <a:cubicBezTo>
                                      <a:pt x="398" y="239"/>
                                      <a:pt x="358" y="259"/>
                                      <a:pt x="298" y="299"/>
                                    </a:cubicBezTo>
                                    <a:cubicBezTo>
                                      <a:pt x="259" y="338"/>
                                      <a:pt x="199" y="358"/>
                                      <a:pt x="139" y="398"/>
                                    </a:cubicBezTo>
                                    <a:cubicBezTo>
                                      <a:pt x="100" y="418"/>
                                      <a:pt x="20" y="438"/>
                                      <a:pt x="0" y="458"/>
                                    </a:cubicBezTo>
                                    <a:cubicBezTo>
                                      <a:pt x="0" y="478"/>
                                      <a:pt x="0" y="498"/>
                                      <a:pt x="20" y="518"/>
                                    </a:cubicBezTo>
                                    <a:cubicBezTo>
                                      <a:pt x="32" y="541"/>
                                      <a:pt x="57" y="550"/>
                                      <a:pt x="96" y="550"/>
                                    </a:cubicBezTo>
                                    <a:cubicBezTo>
                                      <a:pt x="123" y="550"/>
                                      <a:pt x="158" y="546"/>
                                      <a:pt x="199" y="537"/>
                                    </a:cubicBezTo>
                                    <a:cubicBezTo>
                                      <a:pt x="279" y="537"/>
                                      <a:pt x="398" y="518"/>
                                      <a:pt x="517" y="458"/>
                                    </a:cubicBezTo>
                                    <a:cubicBezTo>
                                      <a:pt x="537" y="418"/>
                                      <a:pt x="577" y="398"/>
                                      <a:pt x="597" y="378"/>
                                    </a:cubicBezTo>
                                    <a:cubicBezTo>
                                      <a:pt x="676" y="338"/>
                                      <a:pt x="736" y="299"/>
                                      <a:pt x="796" y="299"/>
                                    </a:cubicBezTo>
                                    <a:cubicBezTo>
                                      <a:pt x="852" y="281"/>
                                      <a:pt x="909" y="273"/>
                                      <a:pt x="966" y="273"/>
                                    </a:cubicBezTo>
                                    <a:cubicBezTo>
                                      <a:pt x="1229" y="273"/>
                                      <a:pt x="1487" y="439"/>
                                      <a:pt x="1651" y="537"/>
                                    </a:cubicBezTo>
                                    <a:cubicBezTo>
                                      <a:pt x="1890" y="697"/>
                                      <a:pt x="2069" y="895"/>
                                      <a:pt x="2168" y="1015"/>
                                    </a:cubicBezTo>
                                    <a:cubicBezTo>
                                      <a:pt x="2168" y="1015"/>
                                      <a:pt x="2168" y="1015"/>
                                      <a:pt x="2188" y="1035"/>
                                    </a:cubicBezTo>
                                    <a:cubicBezTo>
                                      <a:pt x="2208" y="1055"/>
                                      <a:pt x="2268" y="1134"/>
                                      <a:pt x="2347" y="1194"/>
                                    </a:cubicBezTo>
                                    <a:cubicBezTo>
                                      <a:pt x="2765" y="1492"/>
                                      <a:pt x="3402" y="1771"/>
                                      <a:pt x="3660" y="1890"/>
                                    </a:cubicBezTo>
                                    <a:cubicBezTo>
                                      <a:pt x="3839" y="1572"/>
                                      <a:pt x="3979" y="1254"/>
                                      <a:pt x="4078" y="915"/>
                                    </a:cubicBezTo>
                                    <a:cubicBezTo>
                                      <a:pt x="4098" y="836"/>
                                      <a:pt x="4138" y="756"/>
                                      <a:pt x="4158" y="657"/>
                                    </a:cubicBezTo>
                                    <a:cubicBezTo>
                                      <a:pt x="3621" y="637"/>
                                      <a:pt x="3064" y="518"/>
                                      <a:pt x="2686" y="418"/>
                                    </a:cubicBezTo>
                                    <a:cubicBezTo>
                                      <a:pt x="2248" y="319"/>
                                      <a:pt x="1930" y="219"/>
                                      <a:pt x="1910" y="219"/>
                                    </a:cubicBezTo>
                                    <a:cubicBezTo>
                                      <a:pt x="1830" y="179"/>
                                      <a:pt x="1751" y="159"/>
                                      <a:pt x="1691" y="140"/>
                                    </a:cubicBezTo>
                                    <a:cubicBezTo>
                                      <a:pt x="1452" y="40"/>
                                      <a:pt x="1293" y="0"/>
                                      <a:pt x="1114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FBBB8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90" name="Shape 90"/>
                              <xdr:cNvSpPr/>
                            </xdr:nvSpPr>
                            <xdr:spPr>
                              <a:xfrm>
                                <a:off x="2642275" y="1205900"/>
                                <a:ext cx="70150" cy="761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2806" h="3044" extrusionOk="0">
                                    <a:moveTo>
                                      <a:pt x="1403" y="493"/>
                                    </a:moveTo>
                                    <a:cubicBezTo>
                                      <a:pt x="1433" y="493"/>
                                      <a:pt x="1463" y="508"/>
                                      <a:pt x="1473" y="537"/>
                                    </a:cubicBezTo>
                                    <a:lnTo>
                                      <a:pt x="1831" y="1651"/>
                                    </a:lnTo>
                                    <a:cubicBezTo>
                                      <a:pt x="1850" y="1691"/>
                                      <a:pt x="1811" y="1731"/>
                                      <a:pt x="1771" y="1731"/>
                                    </a:cubicBezTo>
                                    <a:lnTo>
                                      <a:pt x="1035" y="1731"/>
                                    </a:lnTo>
                                    <a:cubicBezTo>
                                      <a:pt x="995" y="1731"/>
                                      <a:pt x="975" y="1691"/>
                                      <a:pt x="975" y="1651"/>
                                    </a:cubicBezTo>
                                    <a:lnTo>
                                      <a:pt x="1333" y="537"/>
                                    </a:lnTo>
                                    <a:cubicBezTo>
                                      <a:pt x="1343" y="508"/>
                                      <a:pt x="1373" y="493"/>
                                      <a:pt x="1403" y="493"/>
                                    </a:cubicBezTo>
                                    <a:close/>
                                    <a:moveTo>
                                      <a:pt x="1055" y="0"/>
                                    </a:moveTo>
                                    <a:cubicBezTo>
                                      <a:pt x="1035" y="0"/>
                                      <a:pt x="1015" y="20"/>
                                      <a:pt x="995" y="60"/>
                                    </a:cubicBezTo>
                                    <a:lnTo>
                                      <a:pt x="20" y="2964"/>
                                    </a:lnTo>
                                    <a:cubicBezTo>
                                      <a:pt x="0" y="3004"/>
                                      <a:pt x="40" y="3044"/>
                                      <a:pt x="80" y="3044"/>
                                    </a:cubicBezTo>
                                    <a:lnTo>
                                      <a:pt x="478" y="3044"/>
                                    </a:lnTo>
                                    <a:cubicBezTo>
                                      <a:pt x="498" y="3044"/>
                                      <a:pt x="538" y="3024"/>
                                      <a:pt x="538" y="3004"/>
                                    </a:cubicBezTo>
                                    <a:lnTo>
                                      <a:pt x="796" y="2228"/>
                                    </a:lnTo>
                                    <a:cubicBezTo>
                                      <a:pt x="816" y="2188"/>
                                      <a:pt x="836" y="2169"/>
                                      <a:pt x="856" y="2169"/>
                                    </a:cubicBezTo>
                                    <a:lnTo>
                                      <a:pt x="1950" y="2169"/>
                                    </a:lnTo>
                                    <a:cubicBezTo>
                                      <a:pt x="1970" y="2169"/>
                                      <a:pt x="2010" y="2188"/>
                                      <a:pt x="2010" y="2228"/>
                                    </a:cubicBezTo>
                                    <a:lnTo>
                                      <a:pt x="2268" y="3004"/>
                                    </a:lnTo>
                                    <a:cubicBezTo>
                                      <a:pt x="2288" y="3024"/>
                                      <a:pt x="2308" y="3044"/>
                                      <a:pt x="2328" y="3044"/>
                                    </a:cubicBezTo>
                                    <a:lnTo>
                                      <a:pt x="2746" y="3044"/>
                                    </a:lnTo>
                                    <a:cubicBezTo>
                                      <a:pt x="2785" y="3044"/>
                                      <a:pt x="2805" y="3004"/>
                                      <a:pt x="2805" y="2964"/>
                                    </a:cubicBezTo>
                                    <a:lnTo>
                                      <a:pt x="1811" y="60"/>
                                    </a:lnTo>
                                    <a:cubicBezTo>
                                      <a:pt x="1811" y="20"/>
                                      <a:pt x="1791" y="0"/>
                                      <a:pt x="1751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231F2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91" name="Shape 91"/>
                              <xdr:cNvSpPr/>
                            </xdr:nvSpPr>
                            <xdr:spPr>
                              <a:xfrm>
                                <a:off x="2720350" y="1225300"/>
                                <a:ext cx="32850" cy="567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1314" h="2268" extrusionOk="0">
                                    <a:moveTo>
                                      <a:pt x="1135" y="0"/>
                                    </a:moveTo>
                                    <a:cubicBezTo>
                                      <a:pt x="1015" y="0"/>
                                      <a:pt x="896" y="40"/>
                                      <a:pt x="776" y="80"/>
                                    </a:cubicBezTo>
                                    <a:cubicBezTo>
                                      <a:pt x="677" y="139"/>
                                      <a:pt x="597" y="219"/>
                                      <a:pt x="518" y="318"/>
                                    </a:cubicBezTo>
                                    <a:lnTo>
                                      <a:pt x="498" y="318"/>
                                    </a:lnTo>
                                    <a:lnTo>
                                      <a:pt x="458" y="100"/>
                                    </a:lnTo>
                                    <a:cubicBezTo>
                                      <a:pt x="458" y="60"/>
                                      <a:pt x="438" y="40"/>
                                      <a:pt x="398" y="40"/>
                                    </a:cubicBezTo>
                                    <a:lnTo>
                                      <a:pt x="80" y="40"/>
                                    </a:lnTo>
                                    <a:cubicBezTo>
                                      <a:pt x="40" y="40"/>
                                      <a:pt x="1" y="60"/>
                                      <a:pt x="21" y="100"/>
                                    </a:cubicBezTo>
                                    <a:lnTo>
                                      <a:pt x="21" y="2208"/>
                                    </a:lnTo>
                                    <a:cubicBezTo>
                                      <a:pt x="21" y="2248"/>
                                      <a:pt x="40" y="2268"/>
                                      <a:pt x="80" y="2268"/>
                                    </a:cubicBezTo>
                                    <a:lnTo>
                                      <a:pt x="478" y="2268"/>
                                    </a:lnTo>
                                    <a:cubicBezTo>
                                      <a:pt x="518" y="2268"/>
                                      <a:pt x="558" y="2248"/>
                                      <a:pt x="558" y="2208"/>
                                    </a:cubicBezTo>
                                    <a:lnTo>
                                      <a:pt x="558" y="776"/>
                                    </a:lnTo>
                                    <a:cubicBezTo>
                                      <a:pt x="558" y="756"/>
                                      <a:pt x="558" y="736"/>
                                      <a:pt x="558" y="736"/>
                                    </a:cubicBezTo>
                                    <a:cubicBezTo>
                                      <a:pt x="617" y="657"/>
                                      <a:pt x="697" y="597"/>
                                      <a:pt x="796" y="557"/>
                                    </a:cubicBezTo>
                                    <a:cubicBezTo>
                                      <a:pt x="896" y="517"/>
                                      <a:pt x="995" y="497"/>
                                      <a:pt x="1115" y="497"/>
                                    </a:cubicBezTo>
                                    <a:lnTo>
                                      <a:pt x="1254" y="497"/>
                                    </a:lnTo>
                                    <a:cubicBezTo>
                                      <a:pt x="1294" y="497"/>
                                      <a:pt x="1314" y="477"/>
                                      <a:pt x="1314" y="438"/>
                                    </a:cubicBezTo>
                                    <a:lnTo>
                                      <a:pt x="1314" y="80"/>
                                    </a:lnTo>
                                    <a:cubicBezTo>
                                      <a:pt x="1314" y="40"/>
                                      <a:pt x="1294" y="20"/>
                                      <a:pt x="1254" y="20"/>
                                    </a:cubicBezTo>
                                    <a:cubicBezTo>
                                      <a:pt x="1214" y="0"/>
                                      <a:pt x="1174" y="0"/>
                                      <a:pt x="1135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231F2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92" name="Shape 92"/>
                              <xdr:cNvSpPr/>
                            </xdr:nvSpPr>
                            <xdr:spPr>
                              <a:xfrm>
                                <a:off x="2756650" y="1225300"/>
                                <a:ext cx="50750" cy="8057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2030" h="3223" extrusionOk="0">
                                    <a:moveTo>
                                      <a:pt x="1194" y="418"/>
                                    </a:moveTo>
                                    <a:cubicBezTo>
                                      <a:pt x="1274" y="418"/>
                                      <a:pt x="1353" y="418"/>
                                      <a:pt x="1433" y="438"/>
                                    </a:cubicBezTo>
                                    <a:cubicBezTo>
                                      <a:pt x="1473" y="438"/>
                                      <a:pt x="1493" y="477"/>
                                      <a:pt x="1493" y="497"/>
                                    </a:cubicBezTo>
                                    <a:lnTo>
                                      <a:pt x="1493" y="1651"/>
                                    </a:lnTo>
                                    <a:cubicBezTo>
                                      <a:pt x="1493" y="1651"/>
                                      <a:pt x="1493" y="1671"/>
                                      <a:pt x="1473" y="1691"/>
                                    </a:cubicBezTo>
                                    <a:cubicBezTo>
                                      <a:pt x="1433" y="1751"/>
                                      <a:pt x="1373" y="1771"/>
                                      <a:pt x="1314" y="1810"/>
                                    </a:cubicBezTo>
                                    <a:cubicBezTo>
                                      <a:pt x="1234" y="1830"/>
                                      <a:pt x="1155" y="1850"/>
                                      <a:pt x="1075" y="1850"/>
                                    </a:cubicBezTo>
                                    <a:cubicBezTo>
                                      <a:pt x="896" y="1850"/>
                                      <a:pt x="777" y="1790"/>
                                      <a:pt x="697" y="1691"/>
                                    </a:cubicBezTo>
                                    <a:cubicBezTo>
                                      <a:pt x="598" y="1591"/>
                                      <a:pt x="558" y="1412"/>
                                      <a:pt x="558" y="1154"/>
                                    </a:cubicBezTo>
                                    <a:cubicBezTo>
                                      <a:pt x="558" y="895"/>
                                      <a:pt x="598" y="696"/>
                                      <a:pt x="717" y="597"/>
                                    </a:cubicBezTo>
                                    <a:cubicBezTo>
                                      <a:pt x="816" y="477"/>
                                      <a:pt x="976" y="418"/>
                                      <a:pt x="1194" y="418"/>
                                    </a:cubicBezTo>
                                    <a:close/>
                                    <a:moveTo>
                                      <a:pt x="1234" y="0"/>
                                    </a:moveTo>
                                    <a:cubicBezTo>
                                      <a:pt x="836" y="0"/>
                                      <a:pt x="518" y="100"/>
                                      <a:pt x="319" y="298"/>
                                    </a:cubicBezTo>
                                    <a:cubicBezTo>
                                      <a:pt x="120" y="497"/>
                                      <a:pt x="1" y="796"/>
                                      <a:pt x="1" y="1194"/>
                                    </a:cubicBezTo>
                                    <a:cubicBezTo>
                                      <a:pt x="1" y="1452"/>
                                      <a:pt x="41" y="1651"/>
                                      <a:pt x="120" y="1810"/>
                                    </a:cubicBezTo>
                                    <a:cubicBezTo>
                                      <a:pt x="200" y="1969"/>
                                      <a:pt x="319" y="2089"/>
                                      <a:pt x="438" y="2168"/>
                                    </a:cubicBezTo>
                                    <a:cubicBezTo>
                                      <a:pt x="578" y="2248"/>
                                      <a:pt x="717" y="2288"/>
                                      <a:pt x="876" y="2288"/>
                                    </a:cubicBezTo>
                                    <a:cubicBezTo>
                                      <a:pt x="995" y="2288"/>
                                      <a:pt x="1115" y="2268"/>
                                      <a:pt x="1214" y="2228"/>
                                    </a:cubicBezTo>
                                    <a:cubicBezTo>
                                      <a:pt x="1314" y="2188"/>
                                      <a:pt x="1393" y="2109"/>
                                      <a:pt x="1473" y="2029"/>
                                    </a:cubicBezTo>
                                    <a:lnTo>
                                      <a:pt x="1493" y="2029"/>
                                    </a:lnTo>
                                    <a:lnTo>
                                      <a:pt x="1493" y="2208"/>
                                    </a:lnTo>
                                    <a:cubicBezTo>
                                      <a:pt x="1493" y="2347"/>
                                      <a:pt x="1473" y="2467"/>
                                      <a:pt x="1433" y="2546"/>
                                    </a:cubicBezTo>
                                    <a:cubicBezTo>
                                      <a:pt x="1373" y="2646"/>
                                      <a:pt x="1314" y="2705"/>
                                      <a:pt x="1214" y="2745"/>
                                    </a:cubicBezTo>
                                    <a:cubicBezTo>
                                      <a:pt x="1115" y="2785"/>
                                      <a:pt x="995" y="2805"/>
                                      <a:pt x="836" y="2805"/>
                                    </a:cubicBezTo>
                                    <a:cubicBezTo>
                                      <a:pt x="657" y="2805"/>
                                      <a:pt x="458" y="2785"/>
                                      <a:pt x="240" y="2725"/>
                                    </a:cubicBezTo>
                                    <a:cubicBezTo>
                                      <a:pt x="232" y="2722"/>
                                      <a:pt x="225" y="2720"/>
                                      <a:pt x="218" y="2720"/>
                                    </a:cubicBezTo>
                                    <a:cubicBezTo>
                                      <a:pt x="186" y="2720"/>
                                      <a:pt x="160" y="2753"/>
                                      <a:pt x="160" y="2785"/>
                                    </a:cubicBezTo>
                                    <a:lnTo>
                                      <a:pt x="160" y="3083"/>
                                    </a:lnTo>
                                    <a:cubicBezTo>
                                      <a:pt x="160" y="3103"/>
                                      <a:pt x="180" y="3123"/>
                                      <a:pt x="220" y="3143"/>
                                    </a:cubicBezTo>
                                    <a:cubicBezTo>
                                      <a:pt x="299" y="3163"/>
                                      <a:pt x="419" y="3183"/>
                                      <a:pt x="518" y="3203"/>
                                    </a:cubicBezTo>
                                    <a:cubicBezTo>
                                      <a:pt x="637" y="3203"/>
                                      <a:pt x="757" y="3223"/>
                                      <a:pt x="876" y="3223"/>
                                    </a:cubicBezTo>
                                    <a:cubicBezTo>
                                      <a:pt x="1135" y="3223"/>
                                      <a:pt x="1353" y="3183"/>
                                      <a:pt x="1533" y="3103"/>
                                    </a:cubicBezTo>
                                    <a:cubicBezTo>
                                      <a:pt x="1692" y="3024"/>
                                      <a:pt x="1831" y="2904"/>
                                      <a:pt x="1910" y="2745"/>
                                    </a:cubicBezTo>
                                    <a:cubicBezTo>
                                      <a:pt x="1990" y="2586"/>
                                      <a:pt x="2030" y="2367"/>
                                      <a:pt x="2030" y="2109"/>
                                    </a:cubicBezTo>
                                    <a:lnTo>
                                      <a:pt x="2030" y="159"/>
                                    </a:lnTo>
                                    <a:cubicBezTo>
                                      <a:pt x="2030" y="139"/>
                                      <a:pt x="2010" y="100"/>
                                      <a:pt x="1990" y="100"/>
                                    </a:cubicBezTo>
                                    <a:cubicBezTo>
                                      <a:pt x="1891" y="80"/>
                                      <a:pt x="1771" y="40"/>
                                      <a:pt x="1652" y="20"/>
                                    </a:cubicBezTo>
                                    <a:cubicBezTo>
                                      <a:pt x="1513" y="0"/>
                                      <a:pt x="1373" y="0"/>
                                      <a:pt x="1234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231F2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93" name="Shape 93"/>
                              <xdr:cNvSpPr/>
                            </xdr:nvSpPr>
                            <xdr:spPr>
                              <a:xfrm>
                                <a:off x="2818325" y="1225300"/>
                                <a:ext cx="48275" cy="577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1931" h="2308" extrusionOk="0">
                                    <a:moveTo>
                                      <a:pt x="975" y="338"/>
                                    </a:moveTo>
                                    <a:cubicBezTo>
                                      <a:pt x="1114" y="338"/>
                                      <a:pt x="1234" y="398"/>
                                      <a:pt x="1294" y="497"/>
                                    </a:cubicBezTo>
                                    <a:cubicBezTo>
                                      <a:pt x="1373" y="577"/>
                                      <a:pt x="1413" y="736"/>
                                      <a:pt x="1413" y="915"/>
                                    </a:cubicBezTo>
                                    <a:cubicBezTo>
                                      <a:pt x="1413" y="955"/>
                                      <a:pt x="1393" y="995"/>
                                      <a:pt x="1353" y="995"/>
                                    </a:cubicBezTo>
                                    <a:lnTo>
                                      <a:pt x="597" y="995"/>
                                    </a:lnTo>
                                    <a:cubicBezTo>
                                      <a:pt x="557" y="995"/>
                                      <a:pt x="538" y="955"/>
                                      <a:pt x="538" y="915"/>
                                    </a:cubicBezTo>
                                    <a:cubicBezTo>
                                      <a:pt x="538" y="736"/>
                                      <a:pt x="577" y="577"/>
                                      <a:pt x="657" y="497"/>
                                    </a:cubicBezTo>
                                    <a:cubicBezTo>
                                      <a:pt x="737" y="398"/>
                                      <a:pt x="836" y="338"/>
                                      <a:pt x="975" y="338"/>
                                    </a:cubicBezTo>
                                    <a:close/>
                                    <a:moveTo>
                                      <a:pt x="975" y="0"/>
                                    </a:moveTo>
                                    <a:cubicBezTo>
                                      <a:pt x="776" y="0"/>
                                      <a:pt x="597" y="40"/>
                                      <a:pt x="438" y="119"/>
                                    </a:cubicBezTo>
                                    <a:cubicBezTo>
                                      <a:pt x="299" y="219"/>
                                      <a:pt x="180" y="338"/>
                                      <a:pt x="100" y="517"/>
                                    </a:cubicBezTo>
                                    <a:cubicBezTo>
                                      <a:pt x="40" y="676"/>
                                      <a:pt x="0" y="895"/>
                                      <a:pt x="0" y="1154"/>
                                    </a:cubicBezTo>
                                    <a:cubicBezTo>
                                      <a:pt x="0" y="1412"/>
                                      <a:pt x="40" y="1631"/>
                                      <a:pt x="120" y="1810"/>
                                    </a:cubicBezTo>
                                    <a:cubicBezTo>
                                      <a:pt x="199" y="1989"/>
                                      <a:pt x="339" y="2109"/>
                                      <a:pt x="498" y="2188"/>
                                    </a:cubicBezTo>
                                    <a:cubicBezTo>
                                      <a:pt x="677" y="2268"/>
                                      <a:pt x="896" y="2308"/>
                                      <a:pt x="1154" y="2308"/>
                                    </a:cubicBezTo>
                                    <a:cubicBezTo>
                                      <a:pt x="1353" y="2308"/>
                                      <a:pt x="1552" y="2288"/>
                                      <a:pt x="1751" y="2248"/>
                                    </a:cubicBezTo>
                                    <a:cubicBezTo>
                                      <a:pt x="1771" y="2248"/>
                                      <a:pt x="1811" y="2208"/>
                                      <a:pt x="1811" y="2188"/>
                                    </a:cubicBezTo>
                                    <a:lnTo>
                                      <a:pt x="1811" y="1910"/>
                                    </a:lnTo>
                                    <a:cubicBezTo>
                                      <a:pt x="1811" y="1877"/>
                                      <a:pt x="1784" y="1845"/>
                                      <a:pt x="1753" y="1845"/>
                                    </a:cubicBezTo>
                                    <a:cubicBezTo>
                                      <a:pt x="1746" y="1845"/>
                                      <a:pt x="1738" y="1846"/>
                                      <a:pt x="1731" y="1850"/>
                                    </a:cubicBezTo>
                                    <a:cubicBezTo>
                                      <a:pt x="1552" y="1890"/>
                                      <a:pt x="1393" y="1910"/>
                                      <a:pt x="1234" y="1910"/>
                                    </a:cubicBezTo>
                                    <a:cubicBezTo>
                                      <a:pt x="1075" y="1910"/>
                                      <a:pt x="935" y="1890"/>
                                      <a:pt x="836" y="1850"/>
                                    </a:cubicBezTo>
                                    <a:cubicBezTo>
                                      <a:pt x="737" y="1810"/>
                                      <a:pt x="677" y="1751"/>
                                      <a:pt x="617" y="1651"/>
                                    </a:cubicBezTo>
                                    <a:cubicBezTo>
                                      <a:pt x="577" y="1591"/>
                                      <a:pt x="557" y="1492"/>
                                      <a:pt x="538" y="1393"/>
                                    </a:cubicBezTo>
                                    <a:cubicBezTo>
                                      <a:pt x="538" y="1353"/>
                                      <a:pt x="577" y="1313"/>
                                      <a:pt x="597" y="1313"/>
                                    </a:cubicBezTo>
                                    <a:lnTo>
                                      <a:pt x="1851" y="1313"/>
                                    </a:lnTo>
                                    <a:cubicBezTo>
                                      <a:pt x="1890" y="1313"/>
                                      <a:pt x="1930" y="1293"/>
                                      <a:pt x="1930" y="1253"/>
                                    </a:cubicBezTo>
                                    <a:lnTo>
                                      <a:pt x="1930" y="1174"/>
                                    </a:lnTo>
                                    <a:cubicBezTo>
                                      <a:pt x="1930" y="776"/>
                                      <a:pt x="1831" y="477"/>
                                      <a:pt x="1671" y="298"/>
                                    </a:cubicBezTo>
                                    <a:cubicBezTo>
                                      <a:pt x="1512" y="100"/>
                                      <a:pt x="1294" y="0"/>
                                      <a:pt x="975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231F2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94" name="Shape 94"/>
                              <xdr:cNvSpPr/>
                            </xdr:nvSpPr>
                            <xdr:spPr>
                              <a:xfrm>
                                <a:off x="2876500" y="1225300"/>
                                <a:ext cx="48275" cy="567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1931" h="2268" extrusionOk="0">
                                    <a:moveTo>
                                      <a:pt x="1175" y="0"/>
                                    </a:moveTo>
                                    <a:cubicBezTo>
                                      <a:pt x="1055" y="0"/>
                                      <a:pt x="936" y="20"/>
                                      <a:pt x="817" y="60"/>
                                    </a:cubicBezTo>
                                    <a:cubicBezTo>
                                      <a:pt x="697" y="119"/>
                                      <a:pt x="598" y="179"/>
                                      <a:pt x="518" y="279"/>
                                    </a:cubicBezTo>
                                    <a:lnTo>
                                      <a:pt x="478" y="279"/>
                                    </a:lnTo>
                                    <a:lnTo>
                                      <a:pt x="458" y="80"/>
                                    </a:lnTo>
                                    <a:cubicBezTo>
                                      <a:pt x="439" y="60"/>
                                      <a:pt x="419" y="40"/>
                                      <a:pt x="379" y="40"/>
                                    </a:cubicBezTo>
                                    <a:lnTo>
                                      <a:pt x="61" y="40"/>
                                    </a:lnTo>
                                    <a:cubicBezTo>
                                      <a:pt x="21" y="40"/>
                                      <a:pt x="1" y="60"/>
                                      <a:pt x="1" y="100"/>
                                    </a:cubicBezTo>
                                    <a:lnTo>
                                      <a:pt x="1" y="2208"/>
                                    </a:lnTo>
                                    <a:cubicBezTo>
                                      <a:pt x="1" y="2248"/>
                                      <a:pt x="21" y="2268"/>
                                      <a:pt x="61" y="2268"/>
                                    </a:cubicBezTo>
                                    <a:lnTo>
                                      <a:pt x="478" y="2268"/>
                                    </a:lnTo>
                                    <a:cubicBezTo>
                                      <a:pt x="518" y="2268"/>
                                      <a:pt x="538" y="2248"/>
                                      <a:pt x="538" y="2208"/>
                                    </a:cubicBezTo>
                                    <a:lnTo>
                                      <a:pt x="538" y="716"/>
                                    </a:lnTo>
                                    <a:cubicBezTo>
                                      <a:pt x="538" y="696"/>
                                      <a:pt x="538" y="696"/>
                                      <a:pt x="558" y="676"/>
                                    </a:cubicBezTo>
                                    <a:cubicBezTo>
                                      <a:pt x="618" y="597"/>
                                      <a:pt x="677" y="557"/>
                                      <a:pt x="757" y="517"/>
                                    </a:cubicBezTo>
                                    <a:cubicBezTo>
                                      <a:pt x="836" y="477"/>
                                      <a:pt x="936" y="458"/>
                                      <a:pt x="1015" y="458"/>
                                    </a:cubicBezTo>
                                    <a:cubicBezTo>
                                      <a:pt x="1155" y="458"/>
                                      <a:pt x="1234" y="497"/>
                                      <a:pt x="1294" y="557"/>
                                    </a:cubicBezTo>
                                    <a:cubicBezTo>
                                      <a:pt x="1354" y="617"/>
                                      <a:pt x="1393" y="736"/>
                                      <a:pt x="1393" y="875"/>
                                    </a:cubicBezTo>
                                    <a:lnTo>
                                      <a:pt x="1393" y="2208"/>
                                    </a:lnTo>
                                    <a:cubicBezTo>
                                      <a:pt x="1393" y="2248"/>
                                      <a:pt x="1413" y="2268"/>
                                      <a:pt x="1453" y="2268"/>
                                    </a:cubicBezTo>
                                    <a:lnTo>
                                      <a:pt x="1871" y="2268"/>
                                    </a:lnTo>
                                    <a:cubicBezTo>
                                      <a:pt x="1911" y="2268"/>
                                      <a:pt x="1931" y="2248"/>
                                      <a:pt x="1931" y="2208"/>
                                    </a:cubicBezTo>
                                    <a:lnTo>
                                      <a:pt x="1931" y="855"/>
                                    </a:lnTo>
                                    <a:cubicBezTo>
                                      <a:pt x="1931" y="557"/>
                                      <a:pt x="1871" y="338"/>
                                      <a:pt x="1732" y="199"/>
                                    </a:cubicBezTo>
                                    <a:cubicBezTo>
                                      <a:pt x="1592" y="60"/>
                                      <a:pt x="1413" y="0"/>
                                      <a:pt x="1175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231F2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95" name="Shape 95"/>
                              <xdr:cNvSpPr/>
                            </xdr:nvSpPr>
                            <xdr:spPr>
                              <a:xfrm>
                                <a:off x="2931725" y="1206400"/>
                                <a:ext cx="39300" cy="766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1572" h="3064" extrusionOk="0">
                                    <a:moveTo>
                                      <a:pt x="537" y="0"/>
                                    </a:moveTo>
                                    <a:cubicBezTo>
                                      <a:pt x="517" y="0"/>
                                      <a:pt x="477" y="20"/>
                                      <a:pt x="477" y="60"/>
                                    </a:cubicBezTo>
                                    <a:lnTo>
                                      <a:pt x="398" y="736"/>
                                    </a:lnTo>
                                    <a:cubicBezTo>
                                      <a:pt x="398" y="776"/>
                                      <a:pt x="358" y="796"/>
                                      <a:pt x="338" y="796"/>
                                    </a:cubicBezTo>
                                    <a:lnTo>
                                      <a:pt x="60" y="796"/>
                                    </a:lnTo>
                                    <a:cubicBezTo>
                                      <a:pt x="40" y="796"/>
                                      <a:pt x="0" y="816"/>
                                      <a:pt x="0" y="856"/>
                                    </a:cubicBezTo>
                                    <a:lnTo>
                                      <a:pt x="0" y="1154"/>
                                    </a:lnTo>
                                    <a:cubicBezTo>
                                      <a:pt x="0" y="1194"/>
                                      <a:pt x="40" y="1214"/>
                                      <a:pt x="60" y="1214"/>
                                    </a:cubicBezTo>
                                    <a:lnTo>
                                      <a:pt x="318" y="1214"/>
                                    </a:lnTo>
                                    <a:cubicBezTo>
                                      <a:pt x="358" y="1214"/>
                                      <a:pt x="398" y="1253"/>
                                      <a:pt x="398" y="1273"/>
                                    </a:cubicBezTo>
                                    <a:lnTo>
                                      <a:pt x="398" y="2268"/>
                                    </a:lnTo>
                                    <a:cubicBezTo>
                                      <a:pt x="398" y="2805"/>
                                      <a:pt x="656" y="3064"/>
                                      <a:pt x="1194" y="3064"/>
                                    </a:cubicBezTo>
                                    <a:cubicBezTo>
                                      <a:pt x="1293" y="3064"/>
                                      <a:pt x="1412" y="3064"/>
                                      <a:pt x="1532" y="3044"/>
                                    </a:cubicBezTo>
                                    <a:cubicBezTo>
                                      <a:pt x="1552" y="3024"/>
                                      <a:pt x="1572" y="3004"/>
                                      <a:pt x="1572" y="2964"/>
                                    </a:cubicBezTo>
                                    <a:lnTo>
                                      <a:pt x="1572" y="2666"/>
                                    </a:lnTo>
                                    <a:cubicBezTo>
                                      <a:pt x="1572" y="2626"/>
                                      <a:pt x="1532" y="2606"/>
                                      <a:pt x="1492" y="2606"/>
                                    </a:cubicBezTo>
                                    <a:cubicBezTo>
                                      <a:pt x="1432" y="2626"/>
                                      <a:pt x="1373" y="2626"/>
                                      <a:pt x="1333" y="2626"/>
                                    </a:cubicBezTo>
                                    <a:cubicBezTo>
                                      <a:pt x="1233" y="2626"/>
                                      <a:pt x="1154" y="2606"/>
                                      <a:pt x="1094" y="2586"/>
                                    </a:cubicBezTo>
                                    <a:cubicBezTo>
                                      <a:pt x="1034" y="2546"/>
                                      <a:pt x="995" y="2507"/>
                                      <a:pt x="975" y="2447"/>
                                    </a:cubicBezTo>
                                    <a:cubicBezTo>
                                      <a:pt x="935" y="2387"/>
                                      <a:pt x="935" y="2288"/>
                                      <a:pt x="935" y="2188"/>
                                    </a:cubicBezTo>
                                    <a:lnTo>
                                      <a:pt x="935" y="1273"/>
                                    </a:lnTo>
                                    <a:cubicBezTo>
                                      <a:pt x="935" y="1253"/>
                                      <a:pt x="955" y="1214"/>
                                      <a:pt x="995" y="1214"/>
                                    </a:cubicBezTo>
                                    <a:lnTo>
                                      <a:pt x="1492" y="1214"/>
                                    </a:lnTo>
                                    <a:cubicBezTo>
                                      <a:pt x="1512" y="1214"/>
                                      <a:pt x="1552" y="1194"/>
                                      <a:pt x="1552" y="1154"/>
                                    </a:cubicBezTo>
                                    <a:lnTo>
                                      <a:pt x="1552" y="856"/>
                                    </a:lnTo>
                                    <a:cubicBezTo>
                                      <a:pt x="1552" y="816"/>
                                      <a:pt x="1532" y="796"/>
                                      <a:pt x="1492" y="796"/>
                                    </a:cubicBezTo>
                                    <a:lnTo>
                                      <a:pt x="995" y="796"/>
                                    </a:lnTo>
                                    <a:cubicBezTo>
                                      <a:pt x="955" y="796"/>
                                      <a:pt x="935" y="756"/>
                                      <a:pt x="935" y="736"/>
                                    </a:cubicBezTo>
                                    <a:lnTo>
                                      <a:pt x="935" y="60"/>
                                    </a:lnTo>
                                    <a:cubicBezTo>
                                      <a:pt x="935" y="20"/>
                                      <a:pt x="895" y="0"/>
                                      <a:pt x="855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231F2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96" name="Shape 96"/>
                              <xdr:cNvSpPr/>
                            </xdr:nvSpPr>
                            <xdr:spPr>
                              <a:xfrm>
                                <a:off x="2978950" y="1201925"/>
                                <a:ext cx="16950" cy="8007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678" h="3203" extrusionOk="0">
                                    <a:moveTo>
                                      <a:pt x="339" y="0"/>
                                    </a:moveTo>
                                    <a:cubicBezTo>
                                      <a:pt x="220" y="0"/>
                                      <a:pt x="140" y="20"/>
                                      <a:pt x="80" y="80"/>
                                    </a:cubicBezTo>
                                    <a:cubicBezTo>
                                      <a:pt x="21" y="119"/>
                                      <a:pt x="1" y="199"/>
                                      <a:pt x="1" y="299"/>
                                    </a:cubicBezTo>
                                    <a:cubicBezTo>
                                      <a:pt x="1" y="378"/>
                                      <a:pt x="21" y="458"/>
                                      <a:pt x="80" y="517"/>
                                    </a:cubicBezTo>
                                    <a:cubicBezTo>
                                      <a:pt x="140" y="557"/>
                                      <a:pt x="220" y="577"/>
                                      <a:pt x="339" y="577"/>
                                    </a:cubicBezTo>
                                    <a:cubicBezTo>
                                      <a:pt x="458" y="577"/>
                                      <a:pt x="538" y="557"/>
                                      <a:pt x="598" y="517"/>
                                    </a:cubicBezTo>
                                    <a:cubicBezTo>
                                      <a:pt x="657" y="458"/>
                                      <a:pt x="677" y="378"/>
                                      <a:pt x="677" y="299"/>
                                    </a:cubicBezTo>
                                    <a:cubicBezTo>
                                      <a:pt x="677" y="199"/>
                                      <a:pt x="657" y="119"/>
                                      <a:pt x="598" y="80"/>
                                    </a:cubicBezTo>
                                    <a:cubicBezTo>
                                      <a:pt x="538" y="20"/>
                                      <a:pt x="458" y="0"/>
                                      <a:pt x="339" y="0"/>
                                    </a:cubicBezTo>
                                    <a:close/>
                                    <a:moveTo>
                                      <a:pt x="120" y="975"/>
                                    </a:moveTo>
                                    <a:cubicBezTo>
                                      <a:pt x="100" y="975"/>
                                      <a:pt x="61" y="995"/>
                                      <a:pt x="61" y="1035"/>
                                    </a:cubicBezTo>
                                    <a:lnTo>
                                      <a:pt x="61" y="3143"/>
                                    </a:lnTo>
                                    <a:cubicBezTo>
                                      <a:pt x="61" y="3183"/>
                                      <a:pt x="100" y="3203"/>
                                      <a:pt x="120" y="3203"/>
                                    </a:cubicBezTo>
                                    <a:lnTo>
                                      <a:pt x="538" y="3203"/>
                                    </a:lnTo>
                                    <a:cubicBezTo>
                                      <a:pt x="578" y="3203"/>
                                      <a:pt x="598" y="3183"/>
                                      <a:pt x="598" y="3143"/>
                                    </a:cubicBezTo>
                                    <a:lnTo>
                                      <a:pt x="598" y="1035"/>
                                    </a:lnTo>
                                    <a:cubicBezTo>
                                      <a:pt x="598" y="995"/>
                                      <a:pt x="578" y="975"/>
                                      <a:pt x="538" y="975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231F2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97" name="Shape 97"/>
                              <xdr:cNvSpPr/>
                            </xdr:nvSpPr>
                            <xdr:spPr>
                              <a:xfrm>
                                <a:off x="3004825" y="1225300"/>
                                <a:ext cx="48750" cy="567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1950" h="2268" extrusionOk="0">
                                    <a:moveTo>
                                      <a:pt x="1194" y="0"/>
                                    </a:moveTo>
                                    <a:cubicBezTo>
                                      <a:pt x="1055" y="0"/>
                                      <a:pt x="935" y="20"/>
                                      <a:pt x="816" y="60"/>
                                    </a:cubicBezTo>
                                    <a:cubicBezTo>
                                      <a:pt x="696" y="119"/>
                                      <a:pt x="597" y="179"/>
                                      <a:pt x="517" y="279"/>
                                    </a:cubicBezTo>
                                    <a:lnTo>
                                      <a:pt x="498" y="279"/>
                                    </a:lnTo>
                                    <a:lnTo>
                                      <a:pt x="458" y="80"/>
                                    </a:lnTo>
                                    <a:cubicBezTo>
                                      <a:pt x="458" y="60"/>
                                      <a:pt x="438" y="40"/>
                                      <a:pt x="398" y="40"/>
                                    </a:cubicBezTo>
                                    <a:lnTo>
                                      <a:pt x="80" y="40"/>
                                    </a:lnTo>
                                    <a:cubicBezTo>
                                      <a:pt x="40" y="40"/>
                                      <a:pt x="0" y="60"/>
                                      <a:pt x="20" y="100"/>
                                    </a:cubicBezTo>
                                    <a:lnTo>
                                      <a:pt x="20" y="2208"/>
                                    </a:lnTo>
                                    <a:cubicBezTo>
                                      <a:pt x="20" y="2248"/>
                                      <a:pt x="40" y="2268"/>
                                      <a:pt x="80" y="2268"/>
                                    </a:cubicBezTo>
                                    <a:lnTo>
                                      <a:pt x="478" y="2268"/>
                                    </a:lnTo>
                                    <a:cubicBezTo>
                                      <a:pt x="517" y="2268"/>
                                      <a:pt x="557" y="2248"/>
                                      <a:pt x="557" y="2208"/>
                                    </a:cubicBezTo>
                                    <a:lnTo>
                                      <a:pt x="557" y="716"/>
                                    </a:lnTo>
                                    <a:cubicBezTo>
                                      <a:pt x="557" y="696"/>
                                      <a:pt x="557" y="696"/>
                                      <a:pt x="557" y="676"/>
                                    </a:cubicBezTo>
                                    <a:cubicBezTo>
                                      <a:pt x="617" y="597"/>
                                      <a:pt x="696" y="557"/>
                                      <a:pt x="776" y="517"/>
                                    </a:cubicBezTo>
                                    <a:cubicBezTo>
                                      <a:pt x="856" y="477"/>
                                      <a:pt x="935" y="458"/>
                                      <a:pt x="1035" y="458"/>
                                    </a:cubicBezTo>
                                    <a:cubicBezTo>
                                      <a:pt x="1154" y="458"/>
                                      <a:pt x="1253" y="497"/>
                                      <a:pt x="1313" y="557"/>
                                    </a:cubicBezTo>
                                    <a:cubicBezTo>
                                      <a:pt x="1373" y="617"/>
                                      <a:pt x="1413" y="736"/>
                                      <a:pt x="1413" y="875"/>
                                    </a:cubicBezTo>
                                    <a:lnTo>
                                      <a:pt x="1413" y="2208"/>
                                    </a:lnTo>
                                    <a:cubicBezTo>
                                      <a:pt x="1413" y="2248"/>
                                      <a:pt x="1433" y="2268"/>
                                      <a:pt x="1472" y="2268"/>
                                    </a:cubicBezTo>
                                    <a:lnTo>
                                      <a:pt x="1870" y="2268"/>
                                    </a:lnTo>
                                    <a:cubicBezTo>
                                      <a:pt x="1910" y="2268"/>
                                      <a:pt x="1950" y="2248"/>
                                      <a:pt x="1950" y="2208"/>
                                    </a:cubicBezTo>
                                    <a:lnTo>
                                      <a:pt x="1950" y="855"/>
                                    </a:lnTo>
                                    <a:cubicBezTo>
                                      <a:pt x="1950" y="557"/>
                                      <a:pt x="1870" y="338"/>
                                      <a:pt x="1731" y="199"/>
                                    </a:cubicBezTo>
                                    <a:cubicBezTo>
                                      <a:pt x="1612" y="60"/>
                                      <a:pt x="1413" y="0"/>
                                      <a:pt x="1194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231F2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98" name="Shape 98"/>
                              <xdr:cNvSpPr/>
                            </xdr:nvSpPr>
                            <xdr:spPr>
                              <a:xfrm>
                                <a:off x="3063500" y="1225300"/>
                                <a:ext cx="45775" cy="577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1831" h="2308" extrusionOk="0">
                                    <a:moveTo>
                                      <a:pt x="1234" y="1273"/>
                                    </a:moveTo>
                                    <a:cubicBezTo>
                                      <a:pt x="1274" y="1273"/>
                                      <a:pt x="1314" y="1293"/>
                                      <a:pt x="1314" y="1333"/>
                                    </a:cubicBezTo>
                                    <a:lnTo>
                                      <a:pt x="1314" y="1711"/>
                                    </a:lnTo>
                                    <a:cubicBezTo>
                                      <a:pt x="1314" y="1731"/>
                                      <a:pt x="1294" y="1751"/>
                                      <a:pt x="1294" y="1771"/>
                                    </a:cubicBezTo>
                                    <a:cubicBezTo>
                                      <a:pt x="1234" y="1810"/>
                                      <a:pt x="1174" y="1850"/>
                                      <a:pt x="1095" y="1890"/>
                                    </a:cubicBezTo>
                                    <a:cubicBezTo>
                                      <a:pt x="1035" y="1910"/>
                                      <a:pt x="955" y="1930"/>
                                      <a:pt x="876" y="1930"/>
                                    </a:cubicBezTo>
                                    <a:cubicBezTo>
                                      <a:pt x="757" y="1930"/>
                                      <a:pt x="677" y="1910"/>
                                      <a:pt x="617" y="1850"/>
                                    </a:cubicBezTo>
                                    <a:cubicBezTo>
                                      <a:pt x="558" y="1810"/>
                                      <a:pt x="538" y="1731"/>
                                      <a:pt x="538" y="1631"/>
                                    </a:cubicBezTo>
                                    <a:cubicBezTo>
                                      <a:pt x="538" y="1532"/>
                                      <a:pt x="558" y="1452"/>
                                      <a:pt x="637" y="1393"/>
                                    </a:cubicBezTo>
                                    <a:cubicBezTo>
                                      <a:pt x="697" y="1353"/>
                                      <a:pt x="796" y="1313"/>
                                      <a:pt x="936" y="1293"/>
                                    </a:cubicBezTo>
                                    <a:lnTo>
                                      <a:pt x="1234" y="1273"/>
                                    </a:lnTo>
                                    <a:close/>
                                    <a:moveTo>
                                      <a:pt x="856" y="0"/>
                                    </a:moveTo>
                                    <a:cubicBezTo>
                                      <a:pt x="737" y="0"/>
                                      <a:pt x="617" y="0"/>
                                      <a:pt x="498" y="20"/>
                                    </a:cubicBezTo>
                                    <a:cubicBezTo>
                                      <a:pt x="398" y="40"/>
                                      <a:pt x="299" y="60"/>
                                      <a:pt x="200" y="80"/>
                                    </a:cubicBezTo>
                                    <a:cubicBezTo>
                                      <a:pt x="180" y="80"/>
                                      <a:pt x="160" y="119"/>
                                      <a:pt x="160" y="139"/>
                                    </a:cubicBezTo>
                                    <a:lnTo>
                                      <a:pt x="160" y="418"/>
                                    </a:lnTo>
                                    <a:cubicBezTo>
                                      <a:pt x="160" y="450"/>
                                      <a:pt x="186" y="483"/>
                                      <a:pt x="218" y="483"/>
                                    </a:cubicBezTo>
                                    <a:cubicBezTo>
                                      <a:pt x="225" y="483"/>
                                      <a:pt x="232" y="481"/>
                                      <a:pt x="239" y="477"/>
                                    </a:cubicBezTo>
                                    <a:cubicBezTo>
                                      <a:pt x="319" y="458"/>
                                      <a:pt x="398" y="438"/>
                                      <a:pt x="478" y="438"/>
                                    </a:cubicBezTo>
                                    <a:cubicBezTo>
                                      <a:pt x="577" y="418"/>
                                      <a:pt x="677" y="418"/>
                                      <a:pt x="757" y="418"/>
                                    </a:cubicBezTo>
                                    <a:cubicBezTo>
                                      <a:pt x="896" y="418"/>
                                      <a:pt x="995" y="418"/>
                                      <a:pt x="1075" y="458"/>
                                    </a:cubicBezTo>
                                    <a:cubicBezTo>
                                      <a:pt x="1154" y="477"/>
                                      <a:pt x="1214" y="517"/>
                                      <a:pt x="1254" y="597"/>
                                    </a:cubicBezTo>
                                    <a:cubicBezTo>
                                      <a:pt x="1294" y="657"/>
                                      <a:pt x="1294" y="736"/>
                                      <a:pt x="1294" y="855"/>
                                    </a:cubicBezTo>
                                    <a:lnTo>
                                      <a:pt x="1294" y="955"/>
                                    </a:lnTo>
                                    <a:lnTo>
                                      <a:pt x="876" y="995"/>
                                    </a:lnTo>
                                    <a:cubicBezTo>
                                      <a:pt x="577" y="1015"/>
                                      <a:pt x="339" y="1074"/>
                                      <a:pt x="200" y="1194"/>
                                    </a:cubicBezTo>
                                    <a:cubicBezTo>
                                      <a:pt x="60" y="1313"/>
                                      <a:pt x="1" y="1472"/>
                                      <a:pt x="1" y="1671"/>
                                    </a:cubicBezTo>
                                    <a:cubicBezTo>
                                      <a:pt x="1" y="1810"/>
                                      <a:pt x="20" y="1930"/>
                                      <a:pt x="80" y="2009"/>
                                    </a:cubicBezTo>
                                    <a:cubicBezTo>
                                      <a:pt x="140" y="2109"/>
                                      <a:pt x="219" y="2188"/>
                                      <a:pt x="319" y="2228"/>
                                    </a:cubicBezTo>
                                    <a:cubicBezTo>
                                      <a:pt x="438" y="2288"/>
                                      <a:pt x="558" y="2308"/>
                                      <a:pt x="697" y="2308"/>
                                    </a:cubicBezTo>
                                    <a:cubicBezTo>
                                      <a:pt x="836" y="2308"/>
                                      <a:pt x="955" y="2288"/>
                                      <a:pt x="1055" y="2248"/>
                                    </a:cubicBezTo>
                                    <a:cubicBezTo>
                                      <a:pt x="1154" y="2188"/>
                                      <a:pt x="1254" y="2129"/>
                                      <a:pt x="1314" y="2049"/>
                                    </a:cubicBezTo>
                                    <a:lnTo>
                                      <a:pt x="1353" y="2049"/>
                                    </a:lnTo>
                                    <a:lnTo>
                                      <a:pt x="1373" y="2208"/>
                                    </a:lnTo>
                                    <a:cubicBezTo>
                                      <a:pt x="1373" y="2248"/>
                                      <a:pt x="1413" y="2268"/>
                                      <a:pt x="1433" y="2268"/>
                                    </a:cubicBezTo>
                                    <a:lnTo>
                                      <a:pt x="1771" y="2268"/>
                                    </a:lnTo>
                                    <a:cubicBezTo>
                                      <a:pt x="1791" y="2268"/>
                                      <a:pt x="1831" y="2248"/>
                                      <a:pt x="1831" y="2208"/>
                                    </a:cubicBezTo>
                                    <a:lnTo>
                                      <a:pt x="1831" y="895"/>
                                    </a:lnTo>
                                    <a:cubicBezTo>
                                      <a:pt x="1831" y="676"/>
                                      <a:pt x="1791" y="497"/>
                                      <a:pt x="1731" y="358"/>
                                    </a:cubicBezTo>
                                    <a:cubicBezTo>
                                      <a:pt x="1652" y="239"/>
                                      <a:pt x="1552" y="139"/>
                                      <a:pt x="1413" y="80"/>
                                    </a:cubicBezTo>
                                    <a:cubicBezTo>
                                      <a:pt x="1274" y="20"/>
                                      <a:pt x="1075" y="0"/>
                                      <a:pt x="856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231F2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99" name="Shape 99"/>
                              <xdr:cNvSpPr/>
                            </xdr:nvSpPr>
                            <xdr:spPr>
                              <a:xfrm>
                                <a:off x="2647750" y="1107425"/>
                                <a:ext cx="57700" cy="5572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2308" h="2229" extrusionOk="0">
                                    <a:moveTo>
                                      <a:pt x="0" y="0"/>
                                    </a:moveTo>
                                    <a:lnTo>
                                      <a:pt x="0" y="2228"/>
                                    </a:lnTo>
                                    <a:lnTo>
                                      <a:pt x="378" y="2228"/>
                                    </a:lnTo>
                                    <a:lnTo>
                                      <a:pt x="378" y="577"/>
                                    </a:lnTo>
                                    <a:lnTo>
                                      <a:pt x="995" y="1910"/>
                                    </a:lnTo>
                                    <a:lnTo>
                                      <a:pt x="1333" y="1910"/>
                                    </a:lnTo>
                                    <a:lnTo>
                                      <a:pt x="1950" y="538"/>
                                    </a:lnTo>
                                    <a:lnTo>
                                      <a:pt x="1950" y="2228"/>
                                    </a:lnTo>
                                    <a:lnTo>
                                      <a:pt x="2308" y="2228"/>
                                    </a:lnTo>
                                    <a:lnTo>
                                      <a:pt x="2308" y="0"/>
                                    </a:lnTo>
                                    <a:lnTo>
                                      <a:pt x="1830" y="0"/>
                                    </a:lnTo>
                                    <a:lnTo>
                                      <a:pt x="1174" y="1492"/>
                                    </a:lnTo>
                                    <a:lnTo>
                                      <a:pt x="498" y="0"/>
                                    </a:lnTo>
                                    <a:close/>
                                  </a:path>
                                </a:pathLst>
                              </a:custGeom>
                              <a:solidFill>
                                <a:srgbClr val="231F2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100" name="Shape 100"/>
                              <xdr:cNvSpPr/>
                            </xdr:nvSpPr>
                            <xdr:spPr>
                              <a:xfrm>
                                <a:off x="2714875" y="1104450"/>
                                <a:ext cx="12475" cy="587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499" h="2348" extrusionOk="0">
                                    <a:moveTo>
                                      <a:pt x="259" y="0"/>
                                    </a:moveTo>
                                    <a:cubicBezTo>
                                      <a:pt x="160" y="0"/>
                                      <a:pt x="100" y="20"/>
                                      <a:pt x="60" y="40"/>
                                    </a:cubicBezTo>
                                    <a:cubicBezTo>
                                      <a:pt x="21" y="80"/>
                                      <a:pt x="1" y="139"/>
                                      <a:pt x="1" y="199"/>
                                    </a:cubicBezTo>
                                    <a:cubicBezTo>
                                      <a:pt x="1" y="279"/>
                                      <a:pt x="21" y="338"/>
                                      <a:pt x="60" y="358"/>
                                    </a:cubicBezTo>
                                    <a:cubicBezTo>
                                      <a:pt x="100" y="398"/>
                                      <a:pt x="160" y="418"/>
                                      <a:pt x="259" y="418"/>
                                    </a:cubicBezTo>
                                    <a:cubicBezTo>
                                      <a:pt x="339" y="418"/>
                                      <a:pt x="399" y="398"/>
                                      <a:pt x="438" y="358"/>
                                    </a:cubicBezTo>
                                    <a:cubicBezTo>
                                      <a:pt x="478" y="338"/>
                                      <a:pt x="498" y="279"/>
                                      <a:pt x="498" y="199"/>
                                    </a:cubicBezTo>
                                    <a:cubicBezTo>
                                      <a:pt x="498" y="139"/>
                                      <a:pt x="478" y="80"/>
                                      <a:pt x="438" y="40"/>
                                    </a:cubicBezTo>
                                    <a:cubicBezTo>
                                      <a:pt x="399" y="20"/>
                                      <a:pt x="339" y="0"/>
                                      <a:pt x="259" y="0"/>
                                    </a:cubicBezTo>
                                    <a:close/>
                                    <a:moveTo>
                                      <a:pt x="60" y="696"/>
                                    </a:moveTo>
                                    <a:lnTo>
                                      <a:pt x="60" y="2347"/>
                                    </a:lnTo>
                                    <a:lnTo>
                                      <a:pt x="458" y="2347"/>
                                    </a:lnTo>
                                    <a:lnTo>
                                      <a:pt x="458" y="696"/>
                                    </a:lnTo>
                                    <a:close/>
                                  </a:path>
                                </a:pathLst>
                              </a:custGeom>
                              <a:solidFill>
                                <a:srgbClr val="231F2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101" name="Shape 101"/>
                              <xdr:cNvSpPr/>
                            </xdr:nvSpPr>
                            <xdr:spPr>
                              <a:xfrm>
                                <a:off x="2735775" y="1121350"/>
                                <a:ext cx="35325" cy="418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1413" h="1672" extrusionOk="0">
                                    <a:moveTo>
                                      <a:pt x="876" y="0"/>
                                    </a:moveTo>
                                    <a:cubicBezTo>
                                      <a:pt x="776" y="0"/>
                                      <a:pt x="677" y="20"/>
                                      <a:pt x="597" y="60"/>
                                    </a:cubicBezTo>
                                    <a:cubicBezTo>
                                      <a:pt x="518" y="80"/>
                                      <a:pt x="438" y="140"/>
                                      <a:pt x="378" y="199"/>
                                    </a:cubicBezTo>
                                    <a:lnTo>
                                      <a:pt x="358" y="199"/>
                                    </a:lnTo>
                                    <a:lnTo>
                                      <a:pt x="338" y="20"/>
                                    </a:lnTo>
                                    <a:lnTo>
                                      <a:pt x="0" y="20"/>
                                    </a:lnTo>
                                    <a:lnTo>
                                      <a:pt x="0" y="1671"/>
                                    </a:lnTo>
                                    <a:lnTo>
                                      <a:pt x="398" y="1671"/>
                                    </a:lnTo>
                                    <a:lnTo>
                                      <a:pt x="398" y="518"/>
                                    </a:lnTo>
                                    <a:cubicBezTo>
                                      <a:pt x="438" y="458"/>
                                      <a:pt x="498" y="418"/>
                                      <a:pt x="557" y="378"/>
                                    </a:cubicBezTo>
                                    <a:cubicBezTo>
                                      <a:pt x="617" y="359"/>
                                      <a:pt x="677" y="339"/>
                                      <a:pt x="756" y="339"/>
                                    </a:cubicBezTo>
                                    <a:cubicBezTo>
                                      <a:pt x="836" y="339"/>
                                      <a:pt x="915" y="359"/>
                                      <a:pt x="955" y="418"/>
                                    </a:cubicBezTo>
                                    <a:cubicBezTo>
                                      <a:pt x="995" y="458"/>
                                      <a:pt x="1035" y="538"/>
                                      <a:pt x="1035" y="637"/>
                                    </a:cubicBezTo>
                                    <a:lnTo>
                                      <a:pt x="1035" y="1671"/>
                                    </a:lnTo>
                                    <a:lnTo>
                                      <a:pt x="1413" y="1671"/>
                                    </a:lnTo>
                                    <a:lnTo>
                                      <a:pt x="1413" y="617"/>
                                    </a:lnTo>
                                    <a:cubicBezTo>
                                      <a:pt x="1413" y="418"/>
                                      <a:pt x="1373" y="259"/>
                                      <a:pt x="1273" y="160"/>
                                    </a:cubicBezTo>
                                    <a:cubicBezTo>
                                      <a:pt x="1174" y="60"/>
                                      <a:pt x="1035" y="0"/>
                                      <a:pt x="876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231F2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102" name="Shape 102"/>
                              <xdr:cNvSpPr/>
                            </xdr:nvSpPr>
                            <xdr:spPr>
                              <a:xfrm>
                                <a:off x="2779525" y="1104450"/>
                                <a:ext cx="12475" cy="587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499" h="2348" extrusionOk="0">
                                    <a:moveTo>
                                      <a:pt x="240" y="0"/>
                                    </a:moveTo>
                                    <a:cubicBezTo>
                                      <a:pt x="160" y="0"/>
                                      <a:pt x="100" y="20"/>
                                      <a:pt x="61" y="40"/>
                                    </a:cubicBezTo>
                                    <a:cubicBezTo>
                                      <a:pt x="21" y="80"/>
                                      <a:pt x="1" y="139"/>
                                      <a:pt x="1" y="199"/>
                                    </a:cubicBezTo>
                                    <a:cubicBezTo>
                                      <a:pt x="1" y="279"/>
                                      <a:pt x="21" y="338"/>
                                      <a:pt x="61" y="358"/>
                                    </a:cubicBezTo>
                                    <a:cubicBezTo>
                                      <a:pt x="100" y="398"/>
                                      <a:pt x="160" y="418"/>
                                      <a:pt x="240" y="418"/>
                                    </a:cubicBezTo>
                                    <a:cubicBezTo>
                                      <a:pt x="339" y="418"/>
                                      <a:pt x="399" y="398"/>
                                      <a:pt x="438" y="358"/>
                                    </a:cubicBezTo>
                                    <a:cubicBezTo>
                                      <a:pt x="478" y="338"/>
                                      <a:pt x="498" y="279"/>
                                      <a:pt x="498" y="199"/>
                                    </a:cubicBezTo>
                                    <a:cubicBezTo>
                                      <a:pt x="498" y="139"/>
                                      <a:pt x="478" y="80"/>
                                      <a:pt x="438" y="40"/>
                                    </a:cubicBezTo>
                                    <a:cubicBezTo>
                                      <a:pt x="399" y="20"/>
                                      <a:pt x="339" y="0"/>
                                      <a:pt x="240" y="0"/>
                                    </a:cubicBezTo>
                                    <a:close/>
                                    <a:moveTo>
                                      <a:pt x="41" y="696"/>
                                    </a:moveTo>
                                    <a:lnTo>
                                      <a:pt x="41" y="2347"/>
                                    </a:lnTo>
                                    <a:lnTo>
                                      <a:pt x="438" y="2347"/>
                                    </a:lnTo>
                                    <a:lnTo>
                                      <a:pt x="438" y="696"/>
                                    </a:lnTo>
                                    <a:close/>
                                  </a:path>
                                </a:pathLst>
                              </a:custGeom>
                              <a:solidFill>
                                <a:srgbClr val="231F2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103" name="Shape 103"/>
                              <xdr:cNvSpPr/>
                            </xdr:nvSpPr>
                            <xdr:spPr>
                              <a:xfrm>
                                <a:off x="2798425" y="1121350"/>
                                <a:ext cx="30875" cy="423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1235" h="1692" extrusionOk="0">
                                    <a:moveTo>
                                      <a:pt x="717" y="0"/>
                                    </a:moveTo>
                                    <a:cubicBezTo>
                                      <a:pt x="558" y="0"/>
                                      <a:pt x="419" y="20"/>
                                      <a:pt x="319" y="60"/>
                                    </a:cubicBezTo>
                                    <a:cubicBezTo>
                                      <a:pt x="200" y="100"/>
                                      <a:pt x="120" y="160"/>
                                      <a:pt x="80" y="239"/>
                                    </a:cubicBezTo>
                                    <a:cubicBezTo>
                                      <a:pt x="21" y="319"/>
                                      <a:pt x="1" y="398"/>
                                      <a:pt x="1" y="498"/>
                                    </a:cubicBezTo>
                                    <a:cubicBezTo>
                                      <a:pt x="1" y="637"/>
                                      <a:pt x="21" y="737"/>
                                      <a:pt x="100" y="816"/>
                                    </a:cubicBezTo>
                                    <a:cubicBezTo>
                                      <a:pt x="160" y="896"/>
                                      <a:pt x="279" y="935"/>
                                      <a:pt x="419" y="975"/>
                                    </a:cubicBezTo>
                                    <a:lnTo>
                                      <a:pt x="677" y="1015"/>
                                    </a:lnTo>
                                    <a:cubicBezTo>
                                      <a:pt x="737" y="1035"/>
                                      <a:pt x="796" y="1055"/>
                                      <a:pt x="816" y="1075"/>
                                    </a:cubicBezTo>
                                    <a:cubicBezTo>
                                      <a:pt x="856" y="1114"/>
                                      <a:pt x="856" y="1154"/>
                                      <a:pt x="856" y="1194"/>
                                    </a:cubicBezTo>
                                    <a:cubicBezTo>
                                      <a:pt x="856" y="1274"/>
                                      <a:pt x="836" y="1313"/>
                                      <a:pt x="777" y="1353"/>
                                    </a:cubicBezTo>
                                    <a:cubicBezTo>
                                      <a:pt x="737" y="1393"/>
                                      <a:pt x="637" y="1413"/>
                                      <a:pt x="538" y="1413"/>
                                    </a:cubicBezTo>
                                    <a:cubicBezTo>
                                      <a:pt x="359" y="1413"/>
                                      <a:pt x="200" y="1373"/>
                                      <a:pt x="41" y="1333"/>
                                    </a:cubicBezTo>
                                    <a:lnTo>
                                      <a:pt x="41" y="1632"/>
                                    </a:lnTo>
                                    <a:cubicBezTo>
                                      <a:pt x="180" y="1671"/>
                                      <a:pt x="339" y="1691"/>
                                      <a:pt x="538" y="1691"/>
                                    </a:cubicBezTo>
                                    <a:cubicBezTo>
                                      <a:pt x="677" y="1691"/>
                                      <a:pt x="796" y="1671"/>
                                      <a:pt x="916" y="1632"/>
                                    </a:cubicBezTo>
                                    <a:cubicBezTo>
                                      <a:pt x="1015" y="1592"/>
                                      <a:pt x="1095" y="1532"/>
                                      <a:pt x="1155" y="1453"/>
                                    </a:cubicBezTo>
                                    <a:cubicBezTo>
                                      <a:pt x="1194" y="1393"/>
                                      <a:pt x="1234" y="1294"/>
                                      <a:pt x="1234" y="1194"/>
                                    </a:cubicBezTo>
                                    <a:cubicBezTo>
                                      <a:pt x="1234" y="1055"/>
                                      <a:pt x="1194" y="955"/>
                                      <a:pt x="1115" y="876"/>
                                    </a:cubicBezTo>
                                    <a:cubicBezTo>
                                      <a:pt x="1055" y="796"/>
                                      <a:pt x="936" y="756"/>
                                      <a:pt x="796" y="717"/>
                                    </a:cubicBezTo>
                                    <a:lnTo>
                                      <a:pt x="538" y="677"/>
                                    </a:lnTo>
                                    <a:cubicBezTo>
                                      <a:pt x="478" y="657"/>
                                      <a:pt x="419" y="637"/>
                                      <a:pt x="399" y="617"/>
                                    </a:cubicBezTo>
                                    <a:cubicBezTo>
                                      <a:pt x="379" y="577"/>
                                      <a:pt x="359" y="538"/>
                                      <a:pt x="359" y="498"/>
                                    </a:cubicBezTo>
                                    <a:cubicBezTo>
                                      <a:pt x="359" y="359"/>
                                      <a:pt x="478" y="299"/>
                                      <a:pt x="737" y="299"/>
                                    </a:cubicBezTo>
                                    <a:cubicBezTo>
                                      <a:pt x="876" y="299"/>
                                      <a:pt x="1015" y="319"/>
                                      <a:pt x="1135" y="339"/>
                                    </a:cubicBezTo>
                                    <a:lnTo>
                                      <a:pt x="1135" y="60"/>
                                    </a:lnTo>
                                    <a:cubicBezTo>
                                      <a:pt x="1015" y="20"/>
                                      <a:pt x="876" y="0"/>
                                      <a:pt x="717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231F2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104" name="Shape 104"/>
                              <xdr:cNvSpPr/>
                            </xdr:nvSpPr>
                            <xdr:spPr>
                              <a:xfrm>
                                <a:off x="2831750" y="1107425"/>
                                <a:ext cx="28375" cy="5622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1135" h="2249" extrusionOk="0">
                                    <a:moveTo>
                                      <a:pt x="339" y="0"/>
                                    </a:moveTo>
                                    <a:lnTo>
                                      <a:pt x="279" y="577"/>
                                    </a:lnTo>
                                    <a:lnTo>
                                      <a:pt x="1" y="577"/>
                                    </a:lnTo>
                                    <a:lnTo>
                                      <a:pt x="1" y="896"/>
                                    </a:lnTo>
                                    <a:lnTo>
                                      <a:pt x="279" y="896"/>
                                    </a:lnTo>
                                    <a:lnTo>
                                      <a:pt x="279" y="1671"/>
                                    </a:lnTo>
                                    <a:cubicBezTo>
                                      <a:pt x="279" y="2069"/>
                                      <a:pt x="478" y="2248"/>
                                      <a:pt x="856" y="2248"/>
                                    </a:cubicBezTo>
                                    <a:cubicBezTo>
                                      <a:pt x="955" y="2248"/>
                                      <a:pt x="1055" y="2248"/>
                                      <a:pt x="1134" y="2228"/>
                                    </a:cubicBezTo>
                                    <a:lnTo>
                                      <a:pt x="1134" y="1910"/>
                                    </a:lnTo>
                                    <a:cubicBezTo>
                                      <a:pt x="1075" y="1930"/>
                                      <a:pt x="1015" y="1930"/>
                                      <a:pt x="955" y="1930"/>
                                    </a:cubicBezTo>
                                    <a:cubicBezTo>
                                      <a:pt x="896" y="1930"/>
                                      <a:pt x="836" y="1910"/>
                                      <a:pt x="796" y="1890"/>
                                    </a:cubicBezTo>
                                    <a:cubicBezTo>
                                      <a:pt x="757" y="1870"/>
                                      <a:pt x="717" y="1851"/>
                                      <a:pt x="697" y="1791"/>
                                    </a:cubicBezTo>
                                    <a:cubicBezTo>
                                      <a:pt x="677" y="1751"/>
                                      <a:pt x="677" y="1691"/>
                                      <a:pt x="677" y="1612"/>
                                    </a:cubicBezTo>
                                    <a:lnTo>
                                      <a:pt x="677" y="896"/>
                                    </a:lnTo>
                                    <a:lnTo>
                                      <a:pt x="1134" y="896"/>
                                    </a:lnTo>
                                    <a:lnTo>
                                      <a:pt x="1134" y="577"/>
                                    </a:lnTo>
                                    <a:lnTo>
                                      <a:pt x="677" y="577"/>
                                    </a:lnTo>
                                    <a:lnTo>
                                      <a:pt x="677" y="0"/>
                                    </a:lnTo>
                                    <a:close/>
                                  </a:path>
                                </a:pathLst>
                              </a:custGeom>
                              <a:solidFill>
                                <a:srgbClr val="231F2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105" name="Shape 105"/>
                              <xdr:cNvSpPr/>
                            </xdr:nvSpPr>
                            <xdr:spPr>
                              <a:xfrm>
                                <a:off x="2863575" y="1121350"/>
                                <a:ext cx="35350" cy="428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1414" h="1712" extrusionOk="0">
                                    <a:moveTo>
                                      <a:pt x="737" y="259"/>
                                    </a:moveTo>
                                    <a:cubicBezTo>
                                      <a:pt x="836" y="259"/>
                                      <a:pt x="916" y="299"/>
                                      <a:pt x="975" y="378"/>
                                    </a:cubicBezTo>
                                    <a:cubicBezTo>
                                      <a:pt x="1035" y="438"/>
                                      <a:pt x="1055" y="557"/>
                                      <a:pt x="1055" y="737"/>
                                    </a:cubicBezTo>
                                    <a:lnTo>
                                      <a:pt x="399" y="737"/>
                                    </a:lnTo>
                                    <a:cubicBezTo>
                                      <a:pt x="418" y="557"/>
                                      <a:pt x="438" y="438"/>
                                      <a:pt x="498" y="378"/>
                                    </a:cubicBezTo>
                                    <a:cubicBezTo>
                                      <a:pt x="558" y="299"/>
                                      <a:pt x="637" y="259"/>
                                      <a:pt x="737" y="259"/>
                                    </a:cubicBezTo>
                                    <a:close/>
                                    <a:moveTo>
                                      <a:pt x="737" y="0"/>
                                    </a:moveTo>
                                    <a:cubicBezTo>
                                      <a:pt x="578" y="0"/>
                                      <a:pt x="458" y="40"/>
                                      <a:pt x="339" y="100"/>
                                    </a:cubicBezTo>
                                    <a:cubicBezTo>
                                      <a:pt x="239" y="160"/>
                                      <a:pt x="160" y="259"/>
                                      <a:pt x="100" y="378"/>
                                    </a:cubicBezTo>
                                    <a:cubicBezTo>
                                      <a:pt x="41" y="518"/>
                                      <a:pt x="1" y="677"/>
                                      <a:pt x="1" y="856"/>
                                    </a:cubicBezTo>
                                    <a:cubicBezTo>
                                      <a:pt x="1" y="1055"/>
                                      <a:pt x="41" y="1214"/>
                                      <a:pt x="100" y="1333"/>
                                    </a:cubicBezTo>
                                    <a:cubicBezTo>
                                      <a:pt x="160" y="1473"/>
                                      <a:pt x="259" y="1552"/>
                                      <a:pt x="379" y="1612"/>
                                    </a:cubicBezTo>
                                    <a:cubicBezTo>
                                      <a:pt x="518" y="1671"/>
                                      <a:pt x="677" y="1711"/>
                                      <a:pt x="876" y="1711"/>
                                    </a:cubicBezTo>
                                    <a:cubicBezTo>
                                      <a:pt x="1015" y="1711"/>
                                      <a:pt x="1174" y="1691"/>
                                      <a:pt x="1334" y="1652"/>
                                    </a:cubicBezTo>
                                    <a:lnTo>
                                      <a:pt x="1334" y="1353"/>
                                    </a:lnTo>
                                    <a:cubicBezTo>
                                      <a:pt x="1174" y="1373"/>
                                      <a:pt x="1035" y="1393"/>
                                      <a:pt x="916" y="1393"/>
                                    </a:cubicBezTo>
                                    <a:cubicBezTo>
                                      <a:pt x="796" y="1393"/>
                                      <a:pt x="697" y="1393"/>
                                      <a:pt x="637" y="1353"/>
                                    </a:cubicBezTo>
                                    <a:cubicBezTo>
                                      <a:pt x="558" y="1333"/>
                                      <a:pt x="498" y="1294"/>
                                      <a:pt x="478" y="1214"/>
                                    </a:cubicBezTo>
                                    <a:cubicBezTo>
                                      <a:pt x="438" y="1154"/>
                                      <a:pt x="418" y="1075"/>
                                      <a:pt x="418" y="975"/>
                                    </a:cubicBezTo>
                                    <a:lnTo>
                                      <a:pt x="1413" y="975"/>
                                    </a:lnTo>
                                    <a:lnTo>
                                      <a:pt x="1413" y="856"/>
                                    </a:lnTo>
                                    <a:cubicBezTo>
                                      <a:pt x="1413" y="577"/>
                                      <a:pt x="1373" y="359"/>
                                      <a:pt x="1254" y="219"/>
                                    </a:cubicBezTo>
                                    <a:cubicBezTo>
                                      <a:pt x="1135" y="80"/>
                                      <a:pt x="956" y="0"/>
                                      <a:pt x="737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231F2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106" name="Shape 106"/>
                              <xdr:cNvSpPr/>
                            </xdr:nvSpPr>
                            <xdr:spPr>
                              <a:xfrm>
                                <a:off x="2906350" y="1121350"/>
                                <a:ext cx="24400" cy="418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976" h="1672" extrusionOk="0">
                                    <a:moveTo>
                                      <a:pt x="836" y="0"/>
                                    </a:moveTo>
                                    <a:cubicBezTo>
                                      <a:pt x="737" y="0"/>
                                      <a:pt x="657" y="20"/>
                                      <a:pt x="577" y="60"/>
                                    </a:cubicBezTo>
                                    <a:cubicBezTo>
                                      <a:pt x="498" y="100"/>
                                      <a:pt x="438" y="160"/>
                                      <a:pt x="378" y="239"/>
                                    </a:cubicBezTo>
                                    <a:lnTo>
                                      <a:pt x="359" y="239"/>
                                    </a:lnTo>
                                    <a:lnTo>
                                      <a:pt x="339" y="20"/>
                                    </a:lnTo>
                                    <a:lnTo>
                                      <a:pt x="0" y="20"/>
                                    </a:lnTo>
                                    <a:lnTo>
                                      <a:pt x="0" y="1671"/>
                                    </a:lnTo>
                                    <a:lnTo>
                                      <a:pt x="398" y="1671"/>
                                    </a:lnTo>
                                    <a:lnTo>
                                      <a:pt x="398" y="557"/>
                                    </a:lnTo>
                                    <a:cubicBezTo>
                                      <a:pt x="438" y="498"/>
                                      <a:pt x="498" y="438"/>
                                      <a:pt x="577" y="418"/>
                                    </a:cubicBezTo>
                                    <a:cubicBezTo>
                                      <a:pt x="657" y="378"/>
                                      <a:pt x="737" y="359"/>
                                      <a:pt x="816" y="359"/>
                                    </a:cubicBezTo>
                                    <a:cubicBezTo>
                                      <a:pt x="876" y="359"/>
                                      <a:pt x="935" y="378"/>
                                      <a:pt x="975" y="378"/>
                                    </a:cubicBezTo>
                                    <a:lnTo>
                                      <a:pt x="975" y="20"/>
                                    </a:lnTo>
                                    <a:cubicBezTo>
                                      <a:pt x="916" y="20"/>
                                      <a:pt x="876" y="0"/>
                                      <a:pt x="836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231F2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107" name="Shape 107"/>
                              <xdr:cNvSpPr/>
                            </xdr:nvSpPr>
                            <xdr:spPr>
                              <a:xfrm>
                                <a:off x="2935200" y="1104450"/>
                                <a:ext cx="12450" cy="587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498" h="2348" extrusionOk="0">
                                    <a:moveTo>
                                      <a:pt x="239" y="0"/>
                                    </a:moveTo>
                                    <a:cubicBezTo>
                                      <a:pt x="159" y="0"/>
                                      <a:pt x="100" y="20"/>
                                      <a:pt x="60" y="40"/>
                                    </a:cubicBezTo>
                                    <a:cubicBezTo>
                                      <a:pt x="20" y="80"/>
                                      <a:pt x="0" y="139"/>
                                      <a:pt x="0" y="199"/>
                                    </a:cubicBezTo>
                                    <a:cubicBezTo>
                                      <a:pt x="0" y="279"/>
                                      <a:pt x="20" y="338"/>
                                      <a:pt x="60" y="358"/>
                                    </a:cubicBezTo>
                                    <a:cubicBezTo>
                                      <a:pt x="100" y="398"/>
                                      <a:pt x="159" y="418"/>
                                      <a:pt x="239" y="418"/>
                                    </a:cubicBezTo>
                                    <a:cubicBezTo>
                                      <a:pt x="319" y="418"/>
                                      <a:pt x="378" y="398"/>
                                      <a:pt x="438" y="358"/>
                                    </a:cubicBezTo>
                                    <a:cubicBezTo>
                                      <a:pt x="478" y="338"/>
                                      <a:pt x="498" y="279"/>
                                      <a:pt x="498" y="199"/>
                                    </a:cubicBezTo>
                                    <a:cubicBezTo>
                                      <a:pt x="498" y="139"/>
                                      <a:pt x="478" y="80"/>
                                      <a:pt x="438" y="40"/>
                                    </a:cubicBezTo>
                                    <a:cubicBezTo>
                                      <a:pt x="398" y="20"/>
                                      <a:pt x="319" y="0"/>
                                      <a:pt x="239" y="0"/>
                                    </a:cubicBezTo>
                                    <a:close/>
                                    <a:moveTo>
                                      <a:pt x="40" y="696"/>
                                    </a:moveTo>
                                    <a:lnTo>
                                      <a:pt x="40" y="2347"/>
                                    </a:lnTo>
                                    <a:lnTo>
                                      <a:pt x="438" y="2347"/>
                                    </a:lnTo>
                                    <a:lnTo>
                                      <a:pt x="438" y="696"/>
                                    </a:lnTo>
                                    <a:close/>
                                  </a:path>
                                </a:pathLst>
                              </a:custGeom>
                              <a:solidFill>
                                <a:srgbClr val="231F2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108" name="Shape 108"/>
                              <xdr:cNvSpPr/>
                            </xdr:nvSpPr>
                            <xdr:spPr>
                              <a:xfrm>
                                <a:off x="2954100" y="1121350"/>
                                <a:ext cx="38300" cy="423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1532" h="1692" extrusionOk="0">
                                    <a:moveTo>
                                      <a:pt x="756" y="319"/>
                                    </a:moveTo>
                                    <a:cubicBezTo>
                                      <a:pt x="875" y="319"/>
                                      <a:pt x="975" y="359"/>
                                      <a:pt x="1035" y="438"/>
                                    </a:cubicBezTo>
                                    <a:cubicBezTo>
                                      <a:pt x="1094" y="518"/>
                                      <a:pt x="1134" y="657"/>
                                      <a:pt x="1134" y="856"/>
                                    </a:cubicBezTo>
                                    <a:cubicBezTo>
                                      <a:pt x="1134" y="1055"/>
                                      <a:pt x="1094" y="1194"/>
                                      <a:pt x="1035" y="1274"/>
                                    </a:cubicBezTo>
                                    <a:cubicBezTo>
                                      <a:pt x="975" y="1353"/>
                                      <a:pt x="875" y="1393"/>
                                      <a:pt x="756" y="1393"/>
                                    </a:cubicBezTo>
                                    <a:cubicBezTo>
                                      <a:pt x="677" y="1393"/>
                                      <a:pt x="617" y="1373"/>
                                      <a:pt x="557" y="1353"/>
                                    </a:cubicBezTo>
                                    <a:cubicBezTo>
                                      <a:pt x="498" y="1313"/>
                                      <a:pt x="458" y="1254"/>
                                      <a:pt x="438" y="1174"/>
                                    </a:cubicBezTo>
                                    <a:cubicBezTo>
                                      <a:pt x="398" y="1095"/>
                                      <a:pt x="398" y="995"/>
                                      <a:pt x="398" y="856"/>
                                    </a:cubicBezTo>
                                    <a:cubicBezTo>
                                      <a:pt x="398" y="657"/>
                                      <a:pt x="418" y="518"/>
                                      <a:pt x="478" y="438"/>
                                    </a:cubicBezTo>
                                    <a:cubicBezTo>
                                      <a:pt x="537" y="359"/>
                                      <a:pt x="637" y="319"/>
                                      <a:pt x="756" y="319"/>
                                    </a:cubicBezTo>
                                    <a:close/>
                                    <a:moveTo>
                                      <a:pt x="756" y="0"/>
                                    </a:moveTo>
                                    <a:cubicBezTo>
                                      <a:pt x="517" y="0"/>
                                      <a:pt x="338" y="80"/>
                                      <a:pt x="199" y="219"/>
                                    </a:cubicBezTo>
                                    <a:cubicBezTo>
                                      <a:pt x="60" y="359"/>
                                      <a:pt x="0" y="577"/>
                                      <a:pt x="0" y="856"/>
                                    </a:cubicBezTo>
                                    <a:cubicBezTo>
                                      <a:pt x="0" y="1134"/>
                                      <a:pt x="60" y="1353"/>
                                      <a:pt x="199" y="1492"/>
                                    </a:cubicBezTo>
                                    <a:cubicBezTo>
                                      <a:pt x="338" y="1632"/>
                                      <a:pt x="517" y="1691"/>
                                      <a:pt x="756" y="1691"/>
                                    </a:cubicBezTo>
                                    <a:cubicBezTo>
                                      <a:pt x="915" y="1691"/>
                                      <a:pt x="1055" y="1671"/>
                                      <a:pt x="1174" y="1612"/>
                                    </a:cubicBezTo>
                                    <a:cubicBezTo>
                                      <a:pt x="1293" y="1552"/>
                                      <a:pt x="1373" y="1453"/>
                                      <a:pt x="1432" y="1313"/>
                                    </a:cubicBezTo>
                                    <a:cubicBezTo>
                                      <a:pt x="1492" y="1194"/>
                                      <a:pt x="1532" y="1035"/>
                                      <a:pt x="1532" y="856"/>
                                    </a:cubicBezTo>
                                    <a:cubicBezTo>
                                      <a:pt x="1532" y="557"/>
                                      <a:pt x="1452" y="359"/>
                                      <a:pt x="1333" y="219"/>
                                    </a:cubicBezTo>
                                    <a:cubicBezTo>
                                      <a:pt x="1194" y="80"/>
                                      <a:pt x="1015" y="0"/>
                                      <a:pt x="756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231F2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109" name="Shape 109"/>
                              <xdr:cNvSpPr/>
                            </xdr:nvSpPr>
                            <xdr:spPr>
                              <a:xfrm>
                                <a:off x="3016750" y="1102450"/>
                                <a:ext cx="37325" cy="612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1493" h="2448" extrusionOk="0">
                                    <a:moveTo>
                                      <a:pt x="876" y="1055"/>
                                    </a:moveTo>
                                    <a:cubicBezTo>
                                      <a:pt x="956" y="1055"/>
                                      <a:pt x="1035" y="1075"/>
                                      <a:pt x="1095" y="1075"/>
                                    </a:cubicBezTo>
                                    <a:lnTo>
                                      <a:pt x="1095" y="1990"/>
                                    </a:lnTo>
                                    <a:cubicBezTo>
                                      <a:pt x="1055" y="2030"/>
                                      <a:pt x="1015" y="2069"/>
                                      <a:pt x="956" y="2089"/>
                                    </a:cubicBezTo>
                                    <a:cubicBezTo>
                                      <a:pt x="896" y="2109"/>
                                      <a:pt x="836" y="2129"/>
                                      <a:pt x="776" y="2129"/>
                                    </a:cubicBezTo>
                                    <a:cubicBezTo>
                                      <a:pt x="657" y="2129"/>
                                      <a:pt x="558" y="2089"/>
                                      <a:pt x="498" y="2010"/>
                                    </a:cubicBezTo>
                                    <a:cubicBezTo>
                                      <a:pt x="438" y="1930"/>
                                      <a:pt x="399" y="1791"/>
                                      <a:pt x="399" y="1612"/>
                                    </a:cubicBezTo>
                                    <a:cubicBezTo>
                                      <a:pt x="399" y="1413"/>
                                      <a:pt x="438" y="1274"/>
                                      <a:pt x="518" y="1194"/>
                                    </a:cubicBezTo>
                                    <a:cubicBezTo>
                                      <a:pt x="597" y="1095"/>
                                      <a:pt x="717" y="1055"/>
                                      <a:pt x="876" y="1055"/>
                                    </a:cubicBezTo>
                                    <a:close/>
                                    <a:moveTo>
                                      <a:pt x="1095" y="1"/>
                                    </a:moveTo>
                                    <a:lnTo>
                                      <a:pt x="1095" y="776"/>
                                    </a:lnTo>
                                    <a:cubicBezTo>
                                      <a:pt x="1015" y="756"/>
                                      <a:pt x="936" y="756"/>
                                      <a:pt x="876" y="756"/>
                                    </a:cubicBezTo>
                                    <a:cubicBezTo>
                                      <a:pt x="597" y="756"/>
                                      <a:pt x="379" y="836"/>
                                      <a:pt x="219" y="975"/>
                                    </a:cubicBezTo>
                                    <a:cubicBezTo>
                                      <a:pt x="80" y="1134"/>
                                      <a:pt x="1" y="1353"/>
                                      <a:pt x="1" y="1632"/>
                                    </a:cubicBezTo>
                                    <a:cubicBezTo>
                                      <a:pt x="1" y="1831"/>
                                      <a:pt x="40" y="1990"/>
                                      <a:pt x="100" y="2109"/>
                                    </a:cubicBezTo>
                                    <a:cubicBezTo>
                                      <a:pt x="160" y="2229"/>
                                      <a:pt x="239" y="2308"/>
                                      <a:pt x="339" y="2368"/>
                                    </a:cubicBezTo>
                                    <a:cubicBezTo>
                                      <a:pt x="438" y="2427"/>
                                      <a:pt x="538" y="2447"/>
                                      <a:pt x="677" y="2447"/>
                                    </a:cubicBezTo>
                                    <a:cubicBezTo>
                                      <a:pt x="776" y="2447"/>
                                      <a:pt x="856" y="2447"/>
                                      <a:pt x="916" y="2408"/>
                                    </a:cubicBezTo>
                                    <a:cubicBezTo>
                                      <a:pt x="995" y="2368"/>
                                      <a:pt x="1055" y="2308"/>
                                      <a:pt x="1115" y="2248"/>
                                    </a:cubicBezTo>
                                    <a:lnTo>
                                      <a:pt x="1135" y="2248"/>
                                    </a:lnTo>
                                    <a:lnTo>
                                      <a:pt x="1154" y="2427"/>
                                    </a:lnTo>
                                    <a:lnTo>
                                      <a:pt x="1493" y="2427"/>
                                    </a:lnTo>
                                    <a:lnTo>
                                      <a:pt x="1493" y="1"/>
                                    </a:lnTo>
                                    <a:close/>
                                  </a:path>
                                </a:pathLst>
                              </a:custGeom>
                              <a:solidFill>
                                <a:srgbClr val="231F2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110" name="Shape 110"/>
                              <xdr:cNvSpPr/>
                            </xdr:nvSpPr>
                            <xdr:spPr>
                              <a:xfrm>
                                <a:off x="3061525" y="1121350"/>
                                <a:ext cx="35325" cy="428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1413" h="1712" extrusionOk="0">
                                    <a:moveTo>
                                      <a:pt x="736" y="259"/>
                                    </a:moveTo>
                                    <a:cubicBezTo>
                                      <a:pt x="836" y="259"/>
                                      <a:pt x="915" y="299"/>
                                      <a:pt x="975" y="378"/>
                                    </a:cubicBezTo>
                                    <a:cubicBezTo>
                                      <a:pt x="1034" y="438"/>
                                      <a:pt x="1054" y="557"/>
                                      <a:pt x="1054" y="737"/>
                                    </a:cubicBezTo>
                                    <a:lnTo>
                                      <a:pt x="398" y="737"/>
                                    </a:lnTo>
                                    <a:cubicBezTo>
                                      <a:pt x="418" y="557"/>
                                      <a:pt x="438" y="438"/>
                                      <a:pt x="497" y="378"/>
                                    </a:cubicBezTo>
                                    <a:cubicBezTo>
                                      <a:pt x="557" y="299"/>
                                      <a:pt x="637" y="259"/>
                                      <a:pt x="736" y="259"/>
                                    </a:cubicBezTo>
                                    <a:close/>
                                    <a:moveTo>
                                      <a:pt x="736" y="0"/>
                                    </a:moveTo>
                                    <a:cubicBezTo>
                                      <a:pt x="577" y="0"/>
                                      <a:pt x="458" y="40"/>
                                      <a:pt x="338" y="100"/>
                                    </a:cubicBezTo>
                                    <a:cubicBezTo>
                                      <a:pt x="239" y="160"/>
                                      <a:pt x="159" y="259"/>
                                      <a:pt x="99" y="378"/>
                                    </a:cubicBezTo>
                                    <a:cubicBezTo>
                                      <a:pt x="40" y="518"/>
                                      <a:pt x="0" y="677"/>
                                      <a:pt x="0" y="856"/>
                                    </a:cubicBezTo>
                                    <a:cubicBezTo>
                                      <a:pt x="0" y="1055"/>
                                      <a:pt x="40" y="1214"/>
                                      <a:pt x="99" y="1333"/>
                                    </a:cubicBezTo>
                                    <a:cubicBezTo>
                                      <a:pt x="159" y="1473"/>
                                      <a:pt x="259" y="1552"/>
                                      <a:pt x="378" y="1612"/>
                                    </a:cubicBezTo>
                                    <a:cubicBezTo>
                                      <a:pt x="517" y="1671"/>
                                      <a:pt x="676" y="1711"/>
                                      <a:pt x="875" y="1711"/>
                                    </a:cubicBezTo>
                                    <a:cubicBezTo>
                                      <a:pt x="1015" y="1711"/>
                                      <a:pt x="1174" y="1691"/>
                                      <a:pt x="1333" y="1652"/>
                                    </a:cubicBezTo>
                                    <a:lnTo>
                                      <a:pt x="1333" y="1353"/>
                                    </a:lnTo>
                                    <a:cubicBezTo>
                                      <a:pt x="1174" y="1373"/>
                                      <a:pt x="1034" y="1393"/>
                                      <a:pt x="915" y="1393"/>
                                    </a:cubicBezTo>
                                    <a:cubicBezTo>
                                      <a:pt x="796" y="1393"/>
                                      <a:pt x="696" y="1393"/>
                                      <a:pt x="637" y="1353"/>
                                    </a:cubicBezTo>
                                    <a:cubicBezTo>
                                      <a:pt x="557" y="1333"/>
                                      <a:pt x="497" y="1294"/>
                                      <a:pt x="477" y="1214"/>
                                    </a:cubicBezTo>
                                    <a:cubicBezTo>
                                      <a:pt x="438" y="1154"/>
                                      <a:pt x="418" y="1075"/>
                                      <a:pt x="418" y="975"/>
                                    </a:cubicBezTo>
                                    <a:lnTo>
                                      <a:pt x="1412" y="975"/>
                                    </a:lnTo>
                                    <a:lnTo>
                                      <a:pt x="1412" y="856"/>
                                    </a:lnTo>
                                    <a:cubicBezTo>
                                      <a:pt x="1412" y="577"/>
                                      <a:pt x="1373" y="359"/>
                                      <a:pt x="1253" y="219"/>
                                    </a:cubicBezTo>
                                    <a:cubicBezTo>
                                      <a:pt x="1134" y="80"/>
                                      <a:pt x="955" y="0"/>
                                      <a:pt x="736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231F2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111" name="Shape 111"/>
                              <xdr:cNvSpPr/>
                            </xdr:nvSpPr>
                            <xdr:spPr>
                              <a:xfrm>
                                <a:off x="3123675" y="1107425"/>
                                <a:ext cx="37825" cy="55725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1513" h="2229" extrusionOk="0">
                                    <a:moveTo>
                                      <a:pt x="1" y="0"/>
                                    </a:moveTo>
                                    <a:lnTo>
                                      <a:pt x="1" y="2228"/>
                                    </a:lnTo>
                                    <a:lnTo>
                                      <a:pt x="1512" y="2228"/>
                                    </a:lnTo>
                                    <a:lnTo>
                                      <a:pt x="1512" y="1910"/>
                                    </a:lnTo>
                                    <a:lnTo>
                                      <a:pt x="398" y="1910"/>
                                    </a:lnTo>
                                    <a:lnTo>
                                      <a:pt x="398" y="1254"/>
                                    </a:lnTo>
                                    <a:lnTo>
                                      <a:pt x="1353" y="1254"/>
                                    </a:lnTo>
                                    <a:lnTo>
                                      <a:pt x="1353" y="916"/>
                                    </a:lnTo>
                                    <a:lnTo>
                                      <a:pt x="398" y="916"/>
                                    </a:lnTo>
                                    <a:lnTo>
                                      <a:pt x="398" y="319"/>
                                    </a:lnTo>
                                    <a:lnTo>
                                      <a:pt x="1512" y="319"/>
                                    </a:lnTo>
                                    <a:lnTo>
                                      <a:pt x="1512" y="0"/>
                                    </a:lnTo>
                                    <a:close/>
                                  </a:path>
                                </a:pathLst>
                              </a:custGeom>
                              <a:solidFill>
                                <a:srgbClr val="231F2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112" name="Shape 112"/>
                              <xdr:cNvSpPr/>
                            </xdr:nvSpPr>
                            <xdr:spPr>
                              <a:xfrm>
                                <a:off x="3165950" y="1121350"/>
                                <a:ext cx="30850" cy="423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1234" h="1692" extrusionOk="0">
                                    <a:moveTo>
                                      <a:pt x="876" y="0"/>
                                    </a:moveTo>
                                    <a:cubicBezTo>
                                      <a:pt x="577" y="0"/>
                                      <a:pt x="378" y="60"/>
                                      <a:pt x="219" y="199"/>
                                    </a:cubicBezTo>
                                    <a:cubicBezTo>
                                      <a:pt x="80" y="339"/>
                                      <a:pt x="0" y="557"/>
                                      <a:pt x="0" y="856"/>
                                    </a:cubicBezTo>
                                    <a:cubicBezTo>
                                      <a:pt x="0" y="1134"/>
                                      <a:pt x="80" y="1353"/>
                                      <a:pt x="219" y="1492"/>
                                    </a:cubicBezTo>
                                    <a:cubicBezTo>
                                      <a:pt x="359" y="1632"/>
                                      <a:pt x="557" y="1691"/>
                                      <a:pt x="816" y="1691"/>
                                    </a:cubicBezTo>
                                    <a:cubicBezTo>
                                      <a:pt x="955" y="1691"/>
                                      <a:pt x="1095" y="1671"/>
                                      <a:pt x="1234" y="1632"/>
                                    </a:cubicBezTo>
                                    <a:lnTo>
                                      <a:pt x="1234" y="1313"/>
                                    </a:lnTo>
                                    <a:cubicBezTo>
                                      <a:pt x="1154" y="1333"/>
                                      <a:pt x="1095" y="1353"/>
                                      <a:pt x="1035" y="1373"/>
                                    </a:cubicBezTo>
                                    <a:lnTo>
                                      <a:pt x="876" y="1373"/>
                                    </a:lnTo>
                                    <a:cubicBezTo>
                                      <a:pt x="717" y="1373"/>
                                      <a:pt x="597" y="1333"/>
                                      <a:pt x="518" y="1254"/>
                                    </a:cubicBezTo>
                                    <a:cubicBezTo>
                                      <a:pt x="458" y="1174"/>
                                      <a:pt x="418" y="1035"/>
                                      <a:pt x="418" y="856"/>
                                    </a:cubicBezTo>
                                    <a:cubicBezTo>
                                      <a:pt x="418" y="717"/>
                                      <a:pt x="438" y="617"/>
                                      <a:pt x="458" y="538"/>
                                    </a:cubicBezTo>
                                    <a:cubicBezTo>
                                      <a:pt x="498" y="458"/>
                                      <a:pt x="557" y="418"/>
                                      <a:pt x="637" y="378"/>
                                    </a:cubicBezTo>
                                    <a:cubicBezTo>
                                      <a:pt x="717" y="339"/>
                                      <a:pt x="796" y="319"/>
                                      <a:pt x="916" y="319"/>
                                    </a:cubicBezTo>
                                    <a:cubicBezTo>
                                      <a:pt x="1015" y="319"/>
                                      <a:pt x="1114" y="339"/>
                                      <a:pt x="1234" y="359"/>
                                    </a:cubicBezTo>
                                    <a:lnTo>
                                      <a:pt x="1234" y="40"/>
                                    </a:lnTo>
                                    <a:cubicBezTo>
                                      <a:pt x="1114" y="20"/>
                                      <a:pt x="995" y="0"/>
                                      <a:pt x="876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231F2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113" name="Shape 113"/>
                              <xdr:cNvSpPr/>
                            </xdr:nvSpPr>
                            <xdr:spPr>
                              <a:xfrm>
                                <a:off x="3200750" y="1121350"/>
                                <a:ext cx="38325" cy="423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1533" h="1692" extrusionOk="0">
                                    <a:moveTo>
                                      <a:pt x="757" y="319"/>
                                    </a:moveTo>
                                    <a:cubicBezTo>
                                      <a:pt x="876" y="319"/>
                                      <a:pt x="976" y="359"/>
                                      <a:pt x="1035" y="438"/>
                                    </a:cubicBezTo>
                                    <a:cubicBezTo>
                                      <a:pt x="1095" y="518"/>
                                      <a:pt x="1135" y="657"/>
                                      <a:pt x="1135" y="856"/>
                                    </a:cubicBezTo>
                                    <a:cubicBezTo>
                                      <a:pt x="1135" y="1055"/>
                                      <a:pt x="1095" y="1194"/>
                                      <a:pt x="1035" y="1274"/>
                                    </a:cubicBezTo>
                                    <a:cubicBezTo>
                                      <a:pt x="976" y="1353"/>
                                      <a:pt x="896" y="1393"/>
                                      <a:pt x="757" y="1393"/>
                                    </a:cubicBezTo>
                                    <a:cubicBezTo>
                                      <a:pt x="677" y="1393"/>
                                      <a:pt x="618" y="1373"/>
                                      <a:pt x="558" y="1353"/>
                                    </a:cubicBezTo>
                                    <a:cubicBezTo>
                                      <a:pt x="498" y="1313"/>
                                      <a:pt x="458" y="1254"/>
                                      <a:pt x="439" y="1174"/>
                                    </a:cubicBezTo>
                                    <a:cubicBezTo>
                                      <a:pt x="419" y="1095"/>
                                      <a:pt x="399" y="995"/>
                                      <a:pt x="399" y="856"/>
                                    </a:cubicBezTo>
                                    <a:cubicBezTo>
                                      <a:pt x="399" y="657"/>
                                      <a:pt x="419" y="518"/>
                                      <a:pt x="498" y="438"/>
                                    </a:cubicBezTo>
                                    <a:cubicBezTo>
                                      <a:pt x="558" y="359"/>
                                      <a:pt x="638" y="319"/>
                                      <a:pt x="757" y="319"/>
                                    </a:cubicBezTo>
                                    <a:close/>
                                    <a:moveTo>
                                      <a:pt x="757" y="0"/>
                                    </a:moveTo>
                                    <a:cubicBezTo>
                                      <a:pt x="518" y="0"/>
                                      <a:pt x="339" y="80"/>
                                      <a:pt x="200" y="219"/>
                                    </a:cubicBezTo>
                                    <a:cubicBezTo>
                                      <a:pt x="61" y="359"/>
                                      <a:pt x="1" y="577"/>
                                      <a:pt x="1" y="856"/>
                                    </a:cubicBezTo>
                                    <a:cubicBezTo>
                                      <a:pt x="1" y="1134"/>
                                      <a:pt x="61" y="1353"/>
                                      <a:pt x="200" y="1492"/>
                                    </a:cubicBezTo>
                                    <a:cubicBezTo>
                                      <a:pt x="339" y="1632"/>
                                      <a:pt x="518" y="1691"/>
                                      <a:pt x="757" y="1691"/>
                                    </a:cubicBezTo>
                                    <a:cubicBezTo>
                                      <a:pt x="916" y="1691"/>
                                      <a:pt x="1055" y="1671"/>
                                      <a:pt x="1175" y="1612"/>
                                    </a:cubicBezTo>
                                    <a:cubicBezTo>
                                      <a:pt x="1294" y="1552"/>
                                      <a:pt x="1374" y="1453"/>
                                      <a:pt x="1433" y="1313"/>
                                    </a:cubicBezTo>
                                    <a:cubicBezTo>
                                      <a:pt x="1493" y="1194"/>
                                      <a:pt x="1533" y="1035"/>
                                      <a:pt x="1533" y="856"/>
                                    </a:cubicBezTo>
                                    <a:cubicBezTo>
                                      <a:pt x="1533" y="557"/>
                                      <a:pt x="1453" y="359"/>
                                      <a:pt x="1334" y="219"/>
                                    </a:cubicBezTo>
                                    <a:cubicBezTo>
                                      <a:pt x="1195" y="80"/>
                                      <a:pt x="1015" y="0"/>
                                      <a:pt x="757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231F2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114" name="Shape 114"/>
                              <xdr:cNvSpPr/>
                            </xdr:nvSpPr>
                            <xdr:spPr>
                              <a:xfrm>
                                <a:off x="3246525" y="1121350"/>
                                <a:ext cx="35825" cy="418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1433" h="1672" extrusionOk="0">
                                    <a:moveTo>
                                      <a:pt x="875" y="0"/>
                                    </a:moveTo>
                                    <a:cubicBezTo>
                                      <a:pt x="776" y="0"/>
                                      <a:pt x="696" y="20"/>
                                      <a:pt x="597" y="60"/>
                                    </a:cubicBezTo>
                                    <a:cubicBezTo>
                                      <a:pt x="517" y="80"/>
                                      <a:pt x="438" y="140"/>
                                      <a:pt x="378" y="199"/>
                                    </a:cubicBezTo>
                                    <a:lnTo>
                                      <a:pt x="358" y="199"/>
                                    </a:lnTo>
                                    <a:lnTo>
                                      <a:pt x="338" y="20"/>
                                    </a:lnTo>
                                    <a:lnTo>
                                      <a:pt x="0" y="20"/>
                                    </a:lnTo>
                                    <a:lnTo>
                                      <a:pt x="0" y="1671"/>
                                    </a:lnTo>
                                    <a:lnTo>
                                      <a:pt x="398" y="1671"/>
                                    </a:lnTo>
                                    <a:lnTo>
                                      <a:pt x="398" y="518"/>
                                    </a:lnTo>
                                    <a:cubicBezTo>
                                      <a:pt x="438" y="458"/>
                                      <a:pt x="497" y="418"/>
                                      <a:pt x="557" y="378"/>
                                    </a:cubicBezTo>
                                    <a:cubicBezTo>
                                      <a:pt x="637" y="359"/>
                                      <a:pt x="696" y="339"/>
                                      <a:pt x="756" y="339"/>
                                    </a:cubicBezTo>
                                    <a:cubicBezTo>
                                      <a:pt x="855" y="339"/>
                                      <a:pt x="915" y="359"/>
                                      <a:pt x="955" y="418"/>
                                    </a:cubicBezTo>
                                    <a:cubicBezTo>
                                      <a:pt x="1015" y="458"/>
                                      <a:pt x="1035" y="538"/>
                                      <a:pt x="1035" y="637"/>
                                    </a:cubicBezTo>
                                    <a:lnTo>
                                      <a:pt x="1035" y="1671"/>
                                    </a:lnTo>
                                    <a:lnTo>
                                      <a:pt x="1432" y="1671"/>
                                    </a:lnTo>
                                    <a:lnTo>
                                      <a:pt x="1432" y="617"/>
                                    </a:lnTo>
                                    <a:cubicBezTo>
                                      <a:pt x="1432" y="418"/>
                                      <a:pt x="1373" y="259"/>
                                      <a:pt x="1273" y="160"/>
                                    </a:cubicBezTo>
                                    <a:cubicBezTo>
                                      <a:pt x="1174" y="60"/>
                                      <a:pt x="1054" y="0"/>
                                      <a:pt x="875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231F2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115" name="Shape 115"/>
                              <xdr:cNvSpPr/>
                            </xdr:nvSpPr>
                            <xdr:spPr>
                              <a:xfrm>
                                <a:off x="3289775" y="1121350"/>
                                <a:ext cx="38325" cy="423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1533" h="1692" extrusionOk="0">
                                    <a:moveTo>
                                      <a:pt x="757" y="319"/>
                                    </a:moveTo>
                                    <a:cubicBezTo>
                                      <a:pt x="876" y="319"/>
                                      <a:pt x="976" y="359"/>
                                      <a:pt x="1035" y="438"/>
                                    </a:cubicBezTo>
                                    <a:cubicBezTo>
                                      <a:pt x="1095" y="518"/>
                                      <a:pt x="1135" y="657"/>
                                      <a:pt x="1135" y="856"/>
                                    </a:cubicBezTo>
                                    <a:cubicBezTo>
                                      <a:pt x="1135" y="1055"/>
                                      <a:pt x="1095" y="1194"/>
                                      <a:pt x="1035" y="1274"/>
                                    </a:cubicBezTo>
                                    <a:cubicBezTo>
                                      <a:pt x="976" y="1353"/>
                                      <a:pt x="876" y="1393"/>
                                      <a:pt x="757" y="1393"/>
                                    </a:cubicBezTo>
                                    <a:cubicBezTo>
                                      <a:pt x="677" y="1393"/>
                                      <a:pt x="617" y="1373"/>
                                      <a:pt x="558" y="1353"/>
                                    </a:cubicBezTo>
                                    <a:cubicBezTo>
                                      <a:pt x="518" y="1313"/>
                                      <a:pt x="478" y="1254"/>
                                      <a:pt x="438" y="1174"/>
                                    </a:cubicBezTo>
                                    <a:cubicBezTo>
                                      <a:pt x="419" y="1095"/>
                                      <a:pt x="399" y="995"/>
                                      <a:pt x="399" y="856"/>
                                    </a:cubicBezTo>
                                    <a:cubicBezTo>
                                      <a:pt x="399" y="657"/>
                                      <a:pt x="419" y="518"/>
                                      <a:pt x="498" y="438"/>
                                    </a:cubicBezTo>
                                    <a:cubicBezTo>
                                      <a:pt x="558" y="359"/>
                                      <a:pt x="637" y="319"/>
                                      <a:pt x="757" y="319"/>
                                    </a:cubicBezTo>
                                    <a:close/>
                                    <a:moveTo>
                                      <a:pt x="757" y="0"/>
                                    </a:moveTo>
                                    <a:cubicBezTo>
                                      <a:pt x="518" y="0"/>
                                      <a:pt x="339" y="80"/>
                                      <a:pt x="200" y="219"/>
                                    </a:cubicBezTo>
                                    <a:cubicBezTo>
                                      <a:pt x="60" y="359"/>
                                      <a:pt x="1" y="577"/>
                                      <a:pt x="1" y="856"/>
                                    </a:cubicBezTo>
                                    <a:cubicBezTo>
                                      <a:pt x="1" y="1134"/>
                                      <a:pt x="60" y="1353"/>
                                      <a:pt x="200" y="1492"/>
                                    </a:cubicBezTo>
                                    <a:cubicBezTo>
                                      <a:pt x="339" y="1632"/>
                                      <a:pt x="518" y="1691"/>
                                      <a:pt x="757" y="1691"/>
                                    </a:cubicBezTo>
                                    <a:cubicBezTo>
                                      <a:pt x="916" y="1691"/>
                                      <a:pt x="1055" y="1671"/>
                                      <a:pt x="1174" y="1612"/>
                                    </a:cubicBezTo>
                                    <a:cubicBezTo>
                                      <a:pt x="1294" y="1552"/>
                                      <a:pt x="1373" y="1453"/>
                                      <a:pt x="1433" y="1313"/>
                                    </a:cubicBezTo>
                                    <a:cubicBezTo>
                                      <a:pt x="1493" y="1194"/>
                                      <a:pt x="1532" y="1035"/>
                                      <a:pt x="1532" y="856"/>
                                    </a:cubicBezTo>
                                    <a:cubicBezTo>
                                      <a:pt x="1532" y="557"/>
                                      <a:pt x="1453" y="359"/>
                                      <a:pt x="1334" y="219"/>
                                    </a:cubicBezTo>
                                    <a:cubicBezTo>
                                      <a:pt x="1194" y="80"/>
                                      <a:pt x="1015" y="0"/>
                                      <a:pt x="757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231F2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116" name="Shape 116"/>
                              <xdr:cNvSpPr/>
                            </xdr:nvSpPr>
                            <xdr:spPr>
                              <a:xfrm>
                                <a:off x="3335525" y="1121350"/>
                                <a:ext cx="57225" cy="418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2289" h="1672" extrusionOk="0">
                                    <a:moveTo>
                                      <a:pt x="836" y="0"/>
                                    </a:moveTo>
                                    <a:cubicBezTo>
                                      <a:pt x="757" y="0"/>
                                      <a:pt x="657" y="20"/>
                                      <a:pt x="578" y="40"/>
                                    </a:cubicBezTo>
                                    <a:cubicBezTo>
                                      <a:pt x="518" y="80"/>
                                      <a:pt x="439" y="120"/>
                                      <a:pt x="379" y="199"/>
                                    </a:cubicBezTo>
                                    <a:lnTo>
                                      <a:pt x="359" y="199"/>
                                    </a:lnTo>
                                    <a:lnTo>
                                      <a:pt x="339" y="20"/>
                                    </a:lnTo>
                                    <a:lnTo>
                                      <a:pt x="1" y="20"/>
                                    </a:lnTo>
                                    <a:lnTo>
                                      <a:pt x="1" y="1671"/>
                                    </a:lnTo>
                                    <a:lnTo>
                                      <a:pt x="399" y="1671"/>
                                    </a:lnTo>
                                    <a:lnTo>
                                      <a:pt x="399" y="518"/>
                                    </a:lnTo>
                                    <a:cubicBezTo>
                                      <a:pt x="439" y="458"/>
                                      <a:pt x="498" y="418"/>
                                      <a:pt x="538" y="378"/>
                                    </a:cubicBezTo>
                                    <a:cubicBezTo>
                                      <a:pt x="598" y="359"/>
                                      <a:pt x="657" y="339"/>
                                      <a:pt x="717" y="339"/>
                                    </a:cubicBezTo>
                                    <a:cubicBezTo>
                                      <a:pt x="797" y="339"/>
                                      <a:pt x="856" y="359"/>
                                      <a:pt x="896" y="418"/>
                                    </a:cubicBezTo>
                                    <a:cubicBezTo>
                                      <a:pt x="936" y="458"/>
                                      <a:pt x="956" y="538"/>
                                      <a:pt x="956" y="637"/>
                                    </a:cubicBezTo>
                                    <a:lnTo>
                                      <a:pt x="956" y="1671"/>
                                    </a:lnTo>
                                    <a:lnTo>
                                      <a:pt x="1354" y="1671"/>
                                    </a:lnTo>
                                    <a:lnTo>
                                      <a:pt x="1354" y="617"/>
                                    </a:lnTo>
                                    <a:cubicBezTo>
                                      <a:pt x="1354" y="557"/>
                                      <a:pt x="1354" y="518"/>
                                      <a:pt x="1354" y="498"/>
                                    </a:cubicBezTo>
                                    <a:cubicBezTo>
                                      <a:pt x="1393" y="438"/>
                                      <a:pt x="1433" y="398"/>
                                      <a:pt x="1493" y="378"/>
                                    </a:cubicBezTo>
                                    <a:cubicBezTo>
                                      <a:pt x="1533" y="359"/>
                                      <a:pt x="1592" y="339"/>
                                      <a:pt x="1652" y="339"/>
                                    </a:cubicBezTo>
                                    <a:cubicBezTo>
                                      <a:pt x="1732" y="339"/>
                                      <a:pt x="1791" y="359"/>
                                      <a:pt x="1831" y="418"/>
                                    </a:cubicBezTo>
                                    <a:cubicBezTo>
                                      <a:pt x="1871" y="458"/>
                                      <a:pt x="1891" y="538"/>
                                      <a:pt x="1891" y="637"/>
                                    </a:cubicBezTo>
                                    <a:lnTo>
                                      <a:pt x="1891" y="1671"/>
                                    </a:lnTo>
                                    <a:lnTo>
                                      <a:pt x="2289" y="1671"/>
                                    </a:lnTo>
                                    <a:lnTo>
                                      <a:pt x="2289" y="617"/>
                                    </a:lnTo>
                                    <a:cubicBezTo>
                                      <a:pt x="2289" y="418"/>
                                      <a:pt x="2249" y="259"/>
                                      <a:pt x="2149" y="160"/>
                                    </a:cubicBezTo>
                                    <a:cubicBezTo>
                                      <a:pt x="2050" y="60"/>
                                      <a:pt x="1930" y="0"/>
                                      <a:pt x="1751" y="0"/>
                                    </a:cubicBezTo>
                                    <a:cubicBezTo>
                                      <a:pt x="1672" y="0"/>
                                      <a:pt x="1592" y="20"/>
                                      <a:pt x="1493" y="60"/>
                                    </a:cubicBezTo>
                                    <a:cubicBezTo>
                                      <a:pt x="1413" y="80"/>
                                      <a:pt x="1334" y="140"/>
                                      <a:pt x="1254" y="219"/>
                                    </a:cubicBezTo>
                                    <a:cubicBezTo>
                                      <a:pt x="1214" y="140"/>
                                      <a:pt x="1155" y="80"/>
                                      <a:pt x="1095" y="60"/>
                                    </a:cubicBezTo>
                                    <a:cubicBezTo>
                                      <a:pt x="1015" y="20"/>
                                      <a:pt x="936" y="0"/>
                                      <a:pt x="836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231F2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117" name="Shape 117"/>
                              <xdr:cNvSpPr/>
                            </xdr:nvSpPr>
                            <xdr:spPr>
                              <a:xfrm>
                                <a:off x="3402175" y="1102450"/>
                                <a:ext cx="19425" cy="607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777" h="2428" extrusionOk="0">
                                    <a:moveTo>
                                      <a:pt x="359" y="1"/>
                                    </a:moveTo>
                                    <a:lnTo>
                                      <a:pt x="20" y="558"/>
                                    </a:lnTo>
                                    <a:lnTo>
                                      <a:pt x="378" y="558"/>
                                    </a:lnTo>
                                    <a:lnTo>
                                      <a:pt x="776" y="1"/>
                                    </a:lnTo>
                                    <a:close/>
                                    <a:moveTo>
                                      <a:pt x="1" y="776"/>
                                    </a:moveTo>
                                    <a:lnTo>
                                      <a:pt x="1" y="2427"/>
                                    </a:lnTo>
                                    <a:lnTo>
                                      <a:pt x="398" y="2427"/>
                                    </a:lnTo>
                                    <a:lnTo>
                                      <a:pt x="398" y="776"/>
                                    </a:lnTo>
                                    <a:close/>
                                  </a:path>
                                </a:pathLst>
                              </a:custGeom>
                              <a:solidFill>
                                <a:srgbClr val="231F2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  <xdr:sp macro="" textlink="">
                            <xdr:nvSpPr>
                              <xdr:cNvPr id="118" name="Shape 118"/>
                              <xdr:cNvSpPr/>
                            </xdr:nvSpPr>
                            <xdr:spPr>
                              <a:xfrm>
                                <a:off x="3420075" y="1121350"/>
                                <a:ext cx="33350" cy="42300"/>
                              </a:xfrm>
                              <a:custGeom>
                                <a:avLst/>
                                <a:gdLst/>
                                <a:ahLst/>
                                <a:cxnLst/>
                                <a:rect l="l" t="t" r="r" b="b"/>
                                <a:pathLst>
                                  <a:path w="1334" h="1692" extrusionOk="0">
                                    <a:moveTo>
                                      <a:pt x="955" y="935"/>
                                    </a:moveTo>
                                    <a:lnTo>
                                      <a:pt x="955" y="1274"/>
                                    </a:lnTo>
                                    <a:cubicBezTo>
                                      <a:pt x="916" y="1333"/>
                                      <a:pt x="856" y="1373"/>
                                      <a:pt x="796" y="1393"/>
                                    </a:cubicBezTo>
                                    <a:cubicBezTo>
                                      <a:pt x="757" y="1413"/>
                                      <a:pt x="697" y="1413"/>
                                      <a:pt x="637" y="1413"/>
                                    </a:cubicBezTo>
                                    <a:cubicBezTo>
                                      <a:pt x="558" y="1413"/>
                                      <a:pt x="498" y="1413"/>
                                      <a:pt x="458" y="1373"/>
                                    </a:cubicBezTo>
                                    <a:cubicBezTo>
                                      <a:pt x="398" y="1333"/>
                                      <a:pt x="379" y="1274"/>
                                      <a:pt x="379" y="1194"/>
                                    </a:cubicBezTo>
                                    <a:cubicBezTo>
                                      <a:pt x="379" y="1134"/>
                                      <a:pt x="418" y="1075"/>
                                      <a:pt x="458" y="1035"/>
                                    </a:cubicBezTo>
                                    <a:cubicBezTo>
                                      <a:pt x="498" y="995"/>
                                      <a:pt x="578" y="975"/>
                                      <a:pt x="677" y="955"/>
                                    </a:cubicBezTo>
                                    <a:lnTo>
                                      <a:pt x="955" y="935"/>
                                    </a:lnTo>
                                    <a:close/>
                                    <a:moveTo>
                                      <a:pt x="617" y="0"/>
                                    </a:moveTo>
                                    <a:cubicBezTo>
                                      <a:pt x="538" y="0"/>
                                      <a:pt x="458" y="20"/>
                                      <a:pt x="359" y="20"/>
                                    </a:cubicBezTo>
                                    <a:cubicBezTo>
                                      <a:pt x="279" y="40"/>
                                      <a:pt x="200" y="60"/>
                                      <a:pt x="120" y="80"/>
                                    </a:cubicBezTo>
                                    <a:lnTo>
                                      <a:pt x="120" y="378"/>
                                    </a:lnTo>
                                    <a:cubicBezTo>
                                      <a:pt x="180" y="359"/>
                                      <a:pt x="259" y="339"/>
                                      <a:pt x="339" y="319"/>
                                    </a:cubicBezTo>
                                    <a:lnTo>
                                      <a:pt x="558" y="319"/>
                                    </a:lnTo>
                                    <a:cubicBezTo>
                                      <a:pt x="657" y="319"/>
                                      <a:pt x="737" y="319"/>
                                      <a:pt x="796" y="339"/>
                                    </a:cubicBezTo>
                                    <a:cubicBezTo>
                                      <a:pt x="836" y="359"/>
                                      <a:pt x="876" y="398"/>
                                      <a:pt x="916" y="438"/>
                                    </a:cubicBezTo>
                                    <a:cubicBezTo>
                                      <a:pt x="936" y="498"/>
                                      <a:pt x="955" y="557"/>
                                      <a:pt x="955" y="637"/>
                                    </a:cubicBezTo>
                                    <a:lnTo>
                                      <a:pt x="955" y="697"/>
                                    </a:lnTo>
                                    <a:lnTo>
                                      <a:pt x="637" y="737"/>
                                    </a:lnTo>
                                    <a:cubicBezTo>
                                      <a:pt x="418" y="756"/>
                                      <a:pt x="259" y="796"/>
                                      <a:pt x="140" y="876"/>
                                    </a:cubicBezTo>
                                    <a:cubicBezTo>
                                      <a:pt x="40" y="955"/>
                                      <a:pt x="1" y="1075"/>
                                      <a:pt x="1" y="1234"/>
                                    </a:cubicBezTo>
                                    <a:cubicBezTo>
                                      <a:pt x="1" y="1333"/>
                                      <a:pt x="21" y="1413"/>
                                      <a:pt x="60" y="1492"/>
                                    </a:cubicBezTo>
                                    <a:cubicBezTo>
                                      <a:pt x="100" y="1552"/>
                                      <a:pt x="160" y="1612"/>
                                      <a:pt x="239" y="1652"/>
                                    </a:cubicBezTo>
                                    <a:cubicBezTo>
                                      <a:pt x="319" y="1671"/>
                                      <a:pt x="398" y="1691"/>
                                      <a:pt x="518" y="1691"/>
                                    </a:cubicBezTo>
                                    <a:cubicBezTo>
                                      <a:pt x="597" y="1691"/>
                                      <a:pt x="697" y="1691"/>
                                      <a:pt x="776" y="1652"/>
                                    </a:cubicBezTo>
                                    <a:cubicBezTo>
                                      <a:pt x="856" y="1612"/>
                                      <a:pt x="916" y="1572"/>
                                      <a:pt x="955" y="1512"/>
                                    </a:cubicBezTo>
                                    <a:lnTo>
                                      <a:pt x="975" y="1512"/>
                                    </a:lnTo>
                                    <a:lnTo>
                                      <a:pt x="1015" y="1671"/>
                                    </a:lnTo>
                                    <a:lnTo>
                                      <a:pt x="1333" y="1671"/>
                                    </a:lnTo>
                                    <a:lnTo>
                                      <a:pt x="1333" y="657"/>
                                    </a:lnTo>
                                    <a:cubicBezTo>
                                      <a:pt x="1333" y="498"/>
                                      <a:pt x="1314" y="359"/>
                                      <a:pt x="1254" y="279"/>
                                    </a:cubicBezTo>
                                    <a:cubicBezTo>
                                      <a:pt x="1214" y="180"/>
                                      <a:pt x="1135" y="100"/>
                                      <a:pt x="1035" y="60"/>
                                    </a:cubicBezTo>
                                    <a:cubicBezTo>
                                      <a:pt x="936" y="20"/>
                                      <a:pt x="796" y="0"/>
                                      <a:pt x="617" y="0"/>
                                    </a:cubicBezTo>
                                    <a:close/>
                                  </a:path>
                                </a:pathLst>
                              </a:custGeom>
                              <a:solidFill>
                                <a:srgbClr val="231F20"/>
                              </a:solidFill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marR="0" lvl="0" indent="0" algn="l" rtl="0">
                                  <a:lnSpc>
                                    <a:spcPct val="100000"/>
                                  </a:lnSpc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Clr>
                                    <a:srgbClr val="000000"/>
                                  </a:buClr>
                                  <a:buSzPts val="1400"/>
                                  <a:buFont typeface="Arial"/>
                                  <a:buNone/>
                                </a:pPr>
                                <a:endParaRPr sz="1400" b="0" i="0" u="none" strike="noStrike" cap="none">
                                  <a:solidFill>
                                    <a:srgbClr val="000000"/>
                                  </a:solidFill>
                                  <a:latin typeface="Arial"/>
                                  <a:ea typeface="Arial"/>
                                  <a:cs typeface="Arial"/>
                                  <a:sym typeface="Arial"/>
                                </a:endParaRPr>
                              </a:p>
                            </xdr:txBody>
                          </xdr: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abSelected="1" workbookViewId="0"/>
  </sheetViews>
  <sheetFormatPr baseColWidth="10" defaultColWidth="14.453125" defaultRowHeight="15" customHeight="1"/>
  <cols>
    <col min="1" max="1" width="2.26953125" customWidth="1"/>
    <col min="2" max="5" width="11.08984375" customWidth="1"/>
    <col min="6" max="6" width="17" customWidth="1"/>
    <col min="7" max="22" width="11.08984375" customWidth="1"/>
  </cols>
  <sheetData>
    <row r="1" spans="1:26" ht="22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2.5" customHeight="1">
      <c r="A3" s="2"/>
      <c r="B3" s="3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9.25" customHeight="1">
      <c r="A4" s="4"/>
      <c r="B4" s="5" t="s">
        <v>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1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>
      <c r="A6" s="2"/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2.5" customHeight="1">
      <c r="A7" s="1"/>
      <c r="B7" s="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.5" customHeight="1">
      <c r="A8" s="9"/>
      <c r="B8" s="10" t="s">
        <v>4</v>
      </c>
      <c r="C8" s="11"/>
      <c r="D8" s="11"/>
      <c r="E8" s="11"/>
      <c r="F8" s="11"/>
      <c r="G8" s="11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22.5" customHeight="1">
      <c r="A9" s="1"/>
      <c r="B9" s="10" t="s">
        <v>5</v>
      </c>
      <c r="C9" s="11"/>
      <c r="D9" s="12"/>
      <c r="E9" s="12"/>
      <c r="F9" s="12"/>
      <c r="G9" s="1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8.5" customHeight="1">
      <c r="A10" s="1"/>
      <c r="B10" s="10" t="s">
        <v>6</v>
      </c>
      <c r="C10" s="11"/>
      <c r="D10" s="12"/>
      <c r="E10" s="12"/>
      <c r="F10" s="12"/>
      <c r="G10" s="1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" customHeight="1">
      <c r="A11" s="1"/>
      <c r="B11" s="10" t="s">
        <v>7</v>
      </c>
      <c r="C11" s="14"/>
      <c r="D11" s="12"/>
      <c r="E11" s="12"/>
      <c r="F11" s="12"/>
      <c r="G11" s="1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8.5" customHeight="1">
      <c r="A12" s="1"/>
      <c r="B12" s="10" t="s">
        <v>8</v>
      </c>
      <c r="C12" s="11"/>
      <c r="D12" s="12"/>
      <c r="E12" s="12"/>
      <c r="F12" s="12"/>
      <c r="G12" s="1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2.5" customHeight="1">
      <c r="A13" s="1"/>
      <c r="B13" s="12"/>
      <c r="C13" s="12"/>
      <c r="D13" s="12"/>
      <c r="E13" s="12"/>
      <c r="F13" s="12"/>
      <c r="G13" s="1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2.5" customHeight="1">
      <c r="A14" s="1"/>
      <c r="B14" s="123"/>
      <c r="C14" s="124"/>
      <c r="D14" s="124"/>
      <c r="E14" s="124"/>
      <c r="F14" s="124"/>
      <c r="G14" s="12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2.5" customHeight="1">
      <c r="A15" s="1"/>
      <c r="B15" s="12"/>
      <c r="C15" s="12"/>
      <c r="D15" s="12"/>
      <c r="E15" s="12"/>
      <c r="F15" s="12"/>
      <c r="G15" s="1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2.5" customHeight="1">
      <c r="A16" s="1"/>
      <c r="B16" s="15"/>
      <c r="C16" s="15"/>
      <c r="D16" s="15"/>
      <c r="E16" s="15"/>
      <c r="F16" s="15"/>
      <c r="G16" s="1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2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2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2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2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2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2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2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2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2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2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2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2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2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2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2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2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2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2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2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2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2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2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2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2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2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2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2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2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2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2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2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2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2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2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2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2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2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2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2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2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2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2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2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2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2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2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2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2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2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2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2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2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2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2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2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2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2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2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2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2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2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2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2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2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2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2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2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2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2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2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2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2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2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2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2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2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2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2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2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2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2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2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2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2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2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2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2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2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2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2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2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2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2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2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2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2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2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2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2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2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2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2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2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2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2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2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2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2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2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2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2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2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2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2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2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2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2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2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2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2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2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2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2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2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2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2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2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2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2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2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2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2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2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2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2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2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2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2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2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2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2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2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2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2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2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2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2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2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2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2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2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2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2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2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2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2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2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2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2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2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2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2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2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2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2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2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2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2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2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2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2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2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2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2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2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2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2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2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2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2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2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2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2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2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2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2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2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2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2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2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2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2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2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2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2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2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2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2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2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2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2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2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2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2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4:G14"/>
  </mergeCells>
  <hyperlinks>
    <hyperlink ref="B8" location="Bonos!A1" display="1. Bonos"/>
    <hyperlink ref="B9" location="Letras!A1" display="2. Letras"/>
    <hyperlink ref="B10" location="'Letras ISP'!A1" display="3. Letras intra sector público"/>
    <hyperlink ref="B11" location="'Otras Operaciones'!A1" display="4. Canje y Conversiones"/>
    <hyperlink ref="B12" location="'Canjes- Conversiones'!A1" display="5. Otras Operaciones"/>
  </hyperlink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opLeftCell="C1" workbookViewId="0">
      <pane ySplit="3" topLeftCell="A32" activePane="bottomLeft" state="frozen"/>
      <selection pane="bottomLeft" activeCell="I32" sqref="I32"/>
    </sheetView>
  </sheetViews>
  <sheetFormatPr baseColWidth="10" defaultColWidth="14.453125" defaultRowHeight="15" customHeight="1"/>
  <cols>
    <col min="1" max="1" width="36" customWidth="1"/>
    <col min="2" max="2" width="16.81640625" customWidth="1"/>
    <col min="3" max="3" width="11.453125" customWidth="1"/>
    <col min="4" max="4" width="24.81640625" customWidth="1"/>
    <col min="5" max="5" width="23.08984375" customWidth="1"/>
    <col min="6" max="6" width="17.26953125" customWidth="1"/>
    <col min="7" max="7" width="17.453125" customWidth="1"/>
    <col min="8" max="8" width="18.54296875" customWidth="1"/>
    <col min="9" max="9" width="15.08984375" customWidth="1"/>
    <col min="10" max="10" width="13.54296875" customWidth="1"/>
    <col min="11" max="12" width="12.54296875" customWidth="1"/>
    <col min="13" max="13" width="10.08984375" customWidth="1"/>
    <col min="14" max="14" width="27.08984375" customWidth="1"/>
    <col min="15" max="17" width="11.54296875" customWidth="1"/>
  </cols>
  <sheetData>
    <row r="1" spans="1:26" ht="49.5" customHeight="1">
      <c r="A1" s="16" t="s">
        <v>9</v>
      </c>
      <c r="B1" s="17"/>
      <c r="C1" s="17"/>
      <c r="D1" s="18"/>
      <c r="E1" s="19"/>
      <c r="F1" s="19"/>
      <c r="G1" s="19"/>
      <c r="H1" s="20"/>
      <c r="I1" s="19"/>
      <c r="J1" s="19"/>
      <c r="K1" s="19"/>
      <c r="L1" s="19"/>
      <c r="M1" s="125" t="s">
        <v>10</v>
      </c>
      <c r="N1" s="124"/>
      <c r="O1" s="19"/>
      <c r="P1" s="19"/>
      <c r="Q1" s="19"/>
    </row>
    <row r="2" spans="1:26" ht="15.75" customHeight="1">
      <c r="A2" s="21"/>
      <c r="B2" s="22"/>
      <c r="C2" s="22"/>
      <c r="D2" s="23"/>
      <c r="E2" s="21"/>
      <c r="F2" s="21"/>
      <c r="G2" s="21"/>
      <c r="H2" s="24"/>
      <c r="I2" s="21"/>
      <c r="J2" s="21"/>
      <c r="K2" s="21"/>
      <c r="L2" s="21"/>
      <c r="M2" s="21"/>
      <c r="N2" s="21"/>
      <c r="O2" s="21"/>
      <c r="P2" s="21"/>
      <c r="Q2" s="21"/>
    </row>
    <row r="3" spans="1:26" ht="57">
      <c r="A3" s="25" t="s">
        <v>11</v>
      </c>
      <c r="B3" s="26" t="s">
        <v>12</v>
      </c>
      <c r="C3" s="26" t="s">
        <v>13</v>
      </c>
      <c r="D3" s="25" t="s">
        <v>14</v>
      </c>
      <c r="E3" s="25" t="s">
        <v>15</v>
      </c>
      <c r="F3" s="25" t="s">
        <v>16</v>
      </c>
      <c r="G3" s="25" t="s">
        <v>17</v>
      </c>
      <c r="H3" s="26" t="s">
        <v>18</v>
      </c>
      <c r="I3" s="25" t="s">
        <v>19</v>
      </c>
      <c r="J3" s="25" t="s">
        <v>20</v>
      </c>
      <c r="K3" s="25" t="s">
        <v>21</v>
      </c>
      <c r="L3" s="25" t="s">
        <v>22</v>
      </c>
      <c r="M3" s="25" t="s">
        <v>23</v>
      </c>
      <c r="N3" s="25" t="s">
        <v>24</v>
      </c>
      <c r="O3" s="27"/>
      <c r="P3" s="27"/>
      <c r="Q3" s="27"/>
    </row>
    <row r="4" spans="1:26" ht="15.75" customHeight="1">
      <c r="A4" s="28" t="s">
        <v>25</v>
      </c>
      <c r="B4" s="29">
        <v>45323</v>
      </c>
      <c r="C4" s="29">
        <v>46934</v>
      </c>
      <c r="D4" s="30" t="s">
        <v>26</v>
      </c>
      <c r="E4" s="30" t="s">
        <v>27</v>
      </c>
      <c r="F4" s="30" t="s">
        <v>28</v>
      </c>
      <c r="G4" s="30" t="s">
        <v>29</v>
      </c>
      <c r="H4" s="29">
        <v>46038</v>
      </c>
      <c r="I4" s="31">
        <v>58147.021848999997</v>
      </c>
      <c r="J4" s="31">
        <v>161648.72074021999</v>
      </c>
      <c r="K4" s="31">
        <v>2780</v>
      </c>
      <c r="L4" s="32">
        <v>2.4555555555555557</v>
      </c>
      <c r="M4" s="30" t="s">
        <v>30</v>
      </c>
      <c r="N4" s="33" t="s">
        <v>31</v>
      </c>
      <c r="O4" s="21"/>
      <c r="P4" s="21"/>
      <c r="Q4" s="21"/>
      <c r="R4" s="34"/>
      <c r="S4" s="34"/>
      <c r="T4" s="34"/>
      <c r="U4" s="34"/>
      <c r="V4" s="34"/>
      <c r="W4" s="34"/>
      <c r="X4" s="34"/>
      <c r="Y4" s="34"/>
      <c r="Z4" s="34"/>
    </row>
    <row r="5" spans="1:26" ht="15.75" customHeight="1">
      <c r="A5" s="28" t="s">
        <v>32</v>
      </c>
      <c r="B5" s="35">
        <v>45323</v>
      </c>
      <c r="C5" s="35">
        <v>46568</v>
      </c>
      <c r="D5" s="30" t="s">
        <v>26</v>
      </c>
      <c r="E5" s="33" t="s">
        <v>27</v>
      </c>
      <c r="F5" s="33" t="s">
        <v>28</v>
      </c>
      <c r="G5" s="33" t="s">
        <v>29</v>
      </c>
      <c r="H5" s="29">
        <v>46038</v>
      </c>
      <c r="I5" s="31">
        <v>27311.48</v>
      </c>
      <c r="J5" s="31">
        <v>83518.505839999998</v>
      </c>
      <c r="K5" s="31">
        <v>3058</v>
      </c>
      <c r="L5" s="32">
        <v>1.4555555555555555</v>
      </c>
      <c r="M5" s="30" t="s">
        <v>30</v>
      </c>
      <c r="N5" s="33" t="s">
        <v>31</v>
      </c>
      <c r="O5" s="21"/>
      <c r="P5" s="21"/>
      <c r="Q5" s="21"/>
      <c r="R5" s="34"/>
      <c r="S5" s="34"/>
      <c r="T5" s="34"/>
      <c r="U5" s="34"/>
      <c r="V5" s="34"/>
      <c r="W5" s="34"/>
      <c r="X5" s="34"/>
      <c r="Y5" s="34"/>
      <c r="Z5" s="34"/>
    </row>
    <row r="6" spans="1:26" ht="33">
      <c r="A6" s="28" t="s">
        <v>33</v>
      </c>
      <c r="B6" s="29">
        <v>46038</v>
      </c>
      <c r="C6" s="29">
        <v>46568</v>
      </c>
      <c r="D6" s="30" t="s">
        <v>34</v>
      </c>
      <c r="E6" s="30" t="s">
        <v>27</v>
      </c>
      <c r="F6" s="30" t="s">
        <v>28</v>
      </c>
      <c r="G6" s="30" t="s">
        <v>35</v>
      </c>
      <c r="H6" s="29">
        <v>46038</v>
      </c>
      <c r="I6" s="31">
        <v>384241.79048199998</v>
      </c>
      <c r="J6" s="31">
        <v>384241.79048199998</v>
      </c>
      <c r="K6" s="31">
        <v>1000</v>
      </c>
      <c r="L6" s="32">
        <v>1.4555555555555555</v>
      </c>
      <c r="M6" s="30" t="s">
        <v>30</v>
      </c>
      <c r="N6" s="30">
        <v>3</v>
      </c>
      <c r="O6" s="36"/>
      <c r="P6" s="36"/>
      <c r="Q6" s="36"/>
      <c r="R6" s="34"/>
      <c r="S6" s="34"/>
      <c r="T6" s="34"/>
      <c r="U6" s="34"/>
      <c r="V6" s="34"/>
      <c r="W6" s="34"/>
      <c r="X6" s="34"/>
      <c r="Y6" s="34"/>
      <c r="Z6" s="34"/>
    </row>
    <row r="7" spans="1:26" ht="33">
      <c r="A7" s="30" t="s">
        <v>36</v>
      </c>
      <c r="B7" s="29">
        <v>45688</v>
      </c>
      <c r="C7" s="29">
        <v>46402</v>
      </c>
      <c r="D7" s="30" t="s">
        <v>37</v>
      </c>
      <c r="E7" s="30" t="s">
        <v>27</v>
      </c>
      <c r="F7" s="30" t="s">
        <v>28</v>
      </c>
      <c r="G7" s="30" t="s">
        <v>35</v>
      </c>
      <c r="H7" s="29">
        <v>46052</v>
      </c>
      <c r="I7" s="31">
        <v>153664</v>
      </c>
      <c r="J7" s="31">
        <v>186394</v>
      </c>
      <c r="K7" s="31">
        <v>1212.9971886713868</v>
      </c>
      <c r="L7" s="32">
        <v>0.95833333333333337</v>
      </c>
      <c r="M7" s="30" t="s">
        <v>30</v>
      </c>
      <c r="N7" s="30" t="s">
        <v>38</v>
      </c>
      <c r="O7" s="36"/>
      <c r="P7" s="36"/>
      <c r="Q7" s="36"/>
    </row>
    <row r="8" spans="1:26" ht="15.75" customHeight="1">
      <c r="A8" s="28" t="s">
        <v>32</v>
      </c>
      <c r="B8" s="35">
        <v>45323</v>
      </c>
      <c r="C8" s="35">
        <v>46568</v>
      </c>
      <c r="D8" s="30" t="s">
        <v>26</v>
      </c>
      <c r="E8" s="33" t="s">
        <v>27</v>
      </c>
      <c r="F8" s="33" t="s">
        <v>28</v>
      </c>
      <c r="G8" s="33" t="s">
        <v>29</v>
      </c>
      <c r="H8" s="29">
        <v>46052</v>
      </c>
      <c r="I8" s="31">
        <v>241714</v>
      </c>
      <c r="J8" s="31">
        <v>740229</v>
      </c>
      <c r="K8" s="31">
        <v>3062.4167404453196</v>
      </c>
      <c r="L8" s="32">
        <v>1.4166666666666667</v>
      </c>
      <c r="M8" s="30" t="s">
        <v>30</v>
      </c>
      <c r="N8" s="33" t="s">
        <v>31</v>
      </c>
      <c r="O8" s="21"/>
      <c r="P8" s="21"/>
      <c r="Q8" s="21"/>
      <c r="R8" s="34"/>
      <c r="S8" s="34"/>
      <c r="T8" s="34"/>
      <c r="U8" s="34"/>
      <c r="V8" s="34"/>
      <c r="W8" s="34"/>
      <c r="X8" s="34"/>
      <c r="Y8" s="34"/>
      <c r="Z8" s="34"/>
    </row>
    <row r="9" spans="1:26" ht="15.75" customHeight="1">
      <c r="A9" s="28" t="s">
        <v>25</v>
      </c>
      <c r="B9" s="29">
        <v>45323</v>
      </c>
      <c r="C9" s="29">
        <v>46934</v>
      </c>
      <c r="D9" s="30" t="s">
        <v>26</v>
      </c>
      <c r="E9" s="30" t="s">
        <v>27</v>
      </c>
      <c r="F9" s="30" t="s">
        <v>28</v>
      </c>
      <c r="G9" s="30" t="s">
        <v>29</v>
      </c>
      <c r="H9" s="29">
        <v>46052</v>
      </c>
      <c r="I9" s="31">
        <v>93207</v>
      </c>
      <c r="J9" s="31">
        <f t="shared" ref="J9:J49" si="0">+(I9*K9)/1000</f>
        <v>260375</v>
      </c>
      <c r="K9" s="31">
        <v>2793.5133627302671</v>
      </c>
      <c r="L9" s="32">
        <v>2.4166666666666665</v>
      </c>
      <c r="M9" s="30" t="s">
        <v>30</v>
      </c>
      <c r="N9" s="33" t="s">
        <v>31</v>
      </c>
      <c r="O9" s="21"/>
      <c r="P9" s="21"/>
      <c r="Q9" s="21"/>
      <c r="R9" s="34"/>
      <c r="S9" s="34"/>
      <c r="T9" s="34"/>
      <c r="U9" s="34"/>
      <c r="V9" s="34"/>
      <c r="W9" s="34"/>
      <c r="X9" s="34"/>
      <c r="Y9" s="34"/>
      <c r="Z9" s="34"/>
    </row>
    <row r="10" spans="1:26" ht="33">
      <c r="A10" s="33" t="s">
        <v>39</v>
      </c>
      <c r="B10" s="29">
        <v>46066</v>
      </c>
      <c r="C10" s="29">
        <v>46444</v>
      </c>
      <c r="D10" s="30" t="s">
        <v>40</v>
      </c>
      <c r="E10" s="30" t="s">
        <v>27</v>
      </c>
      <c r="F10" s="30" t="s">
        <v>28</v>
      </c>
      <c r="G10" s="30" t="s">
        <v>35</v>
      </c>
      <c r="H10" s="29">
        <v>46066</v>
      </c>
      <c r="I10" s="31">
        <v>181927.415569</v>
      </c>
      <c r="J10" s="31">
        <f t="shared" si="0"/>
        <v>181927.415569</v>
      </c>
      <c r="K10" s="31">
        <v>1000</v>
      </c>
      <c r="L10" s="32">
        <f t="shared" ref="L10:L49" si="1">YEARFRAC(H10,C10)</f>
        <v>1.0361111111111112</v>
      </c>
      <c r="M10" s="30" t="s">
        <v>30</v>
      </c>
      <c r="N10" s="30">
        <v>9</v>
      </c>
      <c r="O10" s="21"/>
      <c r="P10" s="21"/>
      <c r="Q10" s="21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33">
      <c r="A11" s="33" t="s">
        <v>36</v>
      </c>
      <c r="B11" s="29">
        <v>45688</v>
      </c>
      <c r="C11" s="29">
        <v>46402</v>
      </c>
      <c r="D11" s="30" t="s">
        <v>37</v>
      </c>
      <c r="E11" s="30" t="s">
        <v>27</v>
      </c>
      <c r="F11" s="30" t="s">
        <v>28</v>
      </c>
      <c r="G11" s="30" t="s">
        <v>35</v>
      </c>
      <c r="H11" s="29">
        <v>46066</v>
      </c>
      <c r="I11" s="31">
        <v>424290.34967000003</v>
      </c>
      <c r="J11" s="31">
        <f t="shared" si="0"/>
        <v>507026.96785565</v>
      </c>
      <c r="K11" s="31">
        <v>1195</v>
      </c>
      <c r="L11" s="32">
        <f t="shared" si="1"/>
        <v>0.92222222222222228</v>
      </c>
      <c r="M11" s="30" t="s">
        <v>30</v>
      </c>
      <c r="N11" s="30" t="s">
        <v>41</v>
      </c>
      <c r="O11" s="21"/>
      <c r="P11" s="21"/>
      <c r="Q11" s="21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5.75" customHeight="1">
      <c r="A12" s="33" t="s">
        <v>42</v>
      </c>
      <c r="B12" s="29">
        <v>45366</v>
      </c>
      <c r="C12" s="29">
        <v>46371</v>
      </c>
      <c r="D12" s="30" t="s">
        <v>26</v>
      </c>
      <c r="E12" s="30" t="s">
        <v>27</v>
      </c>
      <c r="F12" s="30" t="s">
        <v>28</v>
      </c>
      <c r="G12" s="30" t="s">
        <v>29</v>
      </c>
      <c r="H12" s="29">
        <v>46066</v>
      </c>
      <c r="I12" s="31">
        <v>399285.05536100001</v>
      </c>
      <c r="J12" s="31">
        <f t="shared" si="0"/>
        <v>959082.70297712204</v>
      </c>
      <c r="K12" s="31">
        <v>2402</v>
      </c>
      <c r="L12" s="32">
        <f t="shared" si="1"/>
        <v>0.83888888888888891</v>
      </c>
      <c r="M12" s="30" t="s">
        <v>30</v>
      </c>
      <c r="N12" s="30" t="s">
        <v>43</v>
      </c>
      <c r="O12" s="21"/>
      <c r="P12" s="21"/>
      <c r="Q12" s="21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5.75" customHeight="1">
      <c r="A13" s="33" t="s">
        <v>44</v>
      </c>
      <c r="B13" s="29">
        <v>45323</v>
      </c>
      <c r="C13" s="29">
        <v>46203</v>
      </c>
      <c r="D13" s="30" t="s">
        <v>26</v>
      </c>
      <c r="E13" s="33" t="s">
        <v>27</v>
      </c>
      <c r="F13" s="33" t="s">
        <v>28</v>
      </c>
      <c r="G13" s="33" t="s">
        <v>29</v>
      </c>
      <c r="H13" s="29">
        <v>46066</v>
      </c>
      <c r="I13" s="31">
        <v>294369.89645499998</v>
      </c>
      <c r="J13" s="31">
        <f t="shared" si="0"/>
        <v>1000857.6479469999</v>
      </c>
      <c r="K13" s="31">
        <v>3400</v>
      </c>
      <c r="L13" s="32">
        <f t="shared" si="1"/>
        <v>0.38055555555555554</v>
      </c>
      <c r="M13" s="30" t="s">
        <v>30</v>
      </c>
      <c r="N13" s="33" t="s">
        <v>45</v>
      </c>
      <c r="O13" s="21"/>
      <c r="P13" s="21"/>
      <c r="Q13" s="21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15.75" customHeight="1">
      <c r="A14" s="37" t="s">
        <v>32</v>
      </c>
      <c r="B14" s="38">
        <v>45323</v>
      </c>
      <c r="C14" s="38">
        <v>46568</v>
      </c>
      <c r="D14" s="39" t="s">
        <v>26</v>
      </c>
      <c r="E14" s="39" t="s">
        <v>27</v>
      </c>
      <c r="F14" s="39" t="s">
        <v>28</v>
      </c>
      <c r="G14" s="37" t="s">
        <v>29</v>
      </c>
      <c r="H14" s="38">
        <v>46066</v>
      </c>
      <c r="I14" s="40">
        <v>26563.250377</v>
      </c>
      <c r="J14" s="40">
        <f t="shared" si="0"/>
        <v>83408.606183779993</v>
      </c>
      <c r="K14" s="40">
        <v>3140</v>
      </c>
      <c r="L14" s="41">
        <f t="shared" si="1"/>
        <v>1.3805555555555555</v>
      </c>
      <c r="M14" s="39" t="s">
        <v>30</v>
      </c>
      <c r="N14" s="39" t="s">
        <v>31</v>
      </c>
      <c r="O14" s="42"/>
      <c r="P14" s="42"/>
      <c r="Q14" s="42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5.75" customHeight="1">
      <c r="A15" s="37" t="s">
        <v>25</v>
      </c>
      <c r="B15" s="38">
        <v>45323</v>
      </c>
      <c r="C15" s="38">
        <v>46934</v>
      </c>
      <c r="D15" s="39" t="s">
        <v>26</v>
      </c>
      <c r="E15" s="39" t="s">
        <v>27</v>
      </c>
      <c r="F15" s="39" t="s">
        <v>28</v>
      </c>
      <c r="G15" s="39" t="s">
        <v>29</v>
      </c>
      <c r="H15" s="38">
        <v>46066</v>
      </c>
      <c r="I15" s="40">
        <v>51136.300894</v>
      </c>
      <c r="J15" s="40">
        <f t="shared" si="0"/>
        <v>145482.77604343</v>
      </c>
      <c r="K15" s="40">
        <v>2845</v>
      </c>
      <c r="L15" s="41">
        <f t="shared" si="1"/>
        <v>2.3805555555555555</v>
      </c>
      <c r="M15" s="39" t="s">
        <v>30</v>
      </c>
      <c r="N15" s="37" t="s">
        <v>31</v>
      </c>
      <c r="O15" s="42"/>
      <c r="P15" s="42"/>
      <c r="Q15" s="42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5" customHeight="1">
      <c r="A16" s="33" t="s">
        <v>32</v>
      </c>
      <c r="B16" s="29">
        <v>45323</v>
      </c>
      <c r="C16" s="29">
        <v>46568</v>
      </c>
      <c r="D16" s="30" t="s">
        <v>26</v>
      </c>
      <c r="E16" s="30" t="s">
        <v>27</v>
      </c>
      <c r="F16" s="30" t="s">
        <v>28</v>
      </c>
      <c r="G16" s="30" t="s">
        <v>29</v>
      </c>
      <c r="H16" s="29">
        <v>46080</v>
      </c>
      <c r="I16" s="31">
        <v>219349</v>
      </c>
      <c r="J16" s="31">
        <f t="shared" si="0"/>
        <v>699723.31</v>
      </c>
      <c r="K16" s="31">
        <v>3190</v>
      </c>
      <c r="L16" s="32">
        <f t="shared" si="1"/>
        <v>1.3416666666666666</v>
      </c>
      <c r="M16" s="30" t="s">
        <v>30</v>
      </c>
      <c r="N16" s="30" t="s">
        <v>31</v>
      </c>
      <c r="O16" s="21"/>
      <c r="P16" s="21"/>
      <c r="Q16" s="21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5" customHeight="1">
      <c r="A17" s="33" t="s">
        <v>25</v>
      </c>
      <c r="B17" s="29">
        <v>45323</v>
      </c>
      <c r="C17" s="29">
        <v>46934</v>
      </c>
      <c r="D17" s="30" t="s">
        <v>26</v>
      </c>
      <c r="E17" s="30" t="s">
        <v>27</v>
      </c>
      <c r="F17" s="30" t="s">
        <v>28</v>
      </c>
      <c r="G17" s="30" t="s">
        <v>29</v>
      </c>
      <c r="H17" s="29">
        <v>46080</v>
      </c>
      <c r="I17" s="31">
        <v>77302</v>
      </c>
      <c r="J17" s="31">
        <f t="shared" si="0"/>
        <v>222243.25</v>
      </c>
      <c r="K17" s="31">
        <v>2875</v>
      </c>
      <c r="L17" s="32">
        <f t="shared" si="1"/>
        <v>2.3416666666666668</v>
      </c>
      <c r="M17" s="30" t="s">
        <v>30</v>
      </c>
      <c r="N17" s="30" t="s">
        <v>31</v>
      </c>
      <c r="O17" s="21"/>
      <c r="P17" s="21"/>
      <c r="Q17" s="21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5" customHeight="1">
      <c r="A18" s="33" t="s">
        <v>46</v>
      </c>
      <c r="B18" s="29">
        <v>46080</v>
      </c>
      <c r="C18" s="29">
        <v>46568</v>
      </c>
      <c r="D18" s="30" t="s">
        <v>26</v>
      </c>
      <c r="E18" s="30" t="s">
        <v>27</v>
      </c>
      <c r="F18" s="30" t="s">
        <v>28</v>
      </c>
      <c r="G18" s="33" t="s">
        <v>47</v>
      </c>
      <c r="H18" s="29">
        <v>46080</v>
      </c>
      <c r="I18" s="31">
        <v>118</v>
      </c>
      <c r="J18" s="31">
        <f t="shared" si="0"/>
        <v>106.672</v>
      </c>
      <c r="K18" s="31">
        <v>904</v>
      </c>
      <c r="L18" s="32">
        <f t="shared" si="1"/>
        <v>1.3416666666666666</v>
      </c>
      <c r="M18" s="30" t="s">
        <v>30</v>
      </c>
      <c r="N18" s="30">
        <v>11</v>
      </c>
      <c r="O18" s="21"/>
      <c r="P18" s="21"/>
      <c r="Q18" s="21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5.75" customHeight="1">
      <c r="A19" s="33" t="s">
        <v>48</v>
      </c>
      <c r="B19" s="29">
        <v>46080</v>
      </c>
      <c r="C19" s="29">
        <v>46689</v>
      </c>
      <c r="D19" s="30" t="s">
        <v>26</v>
      </c>
      <c r="E19" s="33" t="s">
        <v>27</v>
      </c>
      <c r="F19" s="33" t="s">
        <v>49</v>
      </c>
      <c r="G19" s="33" t="s">
        <v>47</v>
      </c>
      <c r="H19" s="29">
        <v>46080</v>
      </c>
      <c r="I19" s="31">
        <v>150</v>
      </c>
      <c r="J19" s="31">
        <f t="shared" si="0"/>
        <v>150.67500000000001</v>
      </c>
      <c r="K19" s="31">
        <v>1004.5</v>
      </c>
      <c r="L19" s="32">
        <f t="shared" si="1"/>
        <v>1.6722222222222223</v>
      </c>
      <c r="M19" s="30" t="s">
        <v>30</v>
      </c>
      <c r="N19" s="30">
        <v>11</v>
      </c>
      <c r="O19" s="21"/>
      <c r="P19" s="21"/>
      <c r="Q19" s="21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5" customHeight="1">
      <c r="A20" s="33" t="s">
        <v>48</v>
      </c>
      <c r="B20" s="29">
        <v>46080</v>
      </c>
      <c r="C20" s="29">
        <v>46689</v>
      </c>
      <c r="D20" s="30" t="s">
        <v>26</v>
      </c>
      <c r="E20" s="33" t="s">
        <v>27</v>
      </c>
      <c r="F20" s="33" t="s">
        <v>49</v>
      </c>
      <c r="G20" s="33" t="s">
        <v>47</v>
      </c>
      <c r="H20" s="29">
        <v>46080</v>
      </c>
      <c r="I20" s="31">
        <v>100.45</v>
      </c>
      <c r="J20" s="31">
        <f t="shared" si="0"/>
        <v>100.90202500000001</v>
      </c>
      <c r="K20" s="31">
        <v>1004.5</v>
      </c>
      <c r="L20" s="32">
        <f t="shared" si="1"/>
        <v>1.6722222222222223</v>
      </c>
      <c r="M20" s="30" t="s">
        <v>30</v>
      </c>
      <c r="N20" s="30">
        <v>11</v>
      </c>
      <c r="O20" s="21"/>
      <c r="P20" s="21"/>
      <c r="Q20" s="21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5" customHeight="1">
      <c r="A21" s="33" t="s">
        <v>39</v>
      </c>
      <c r="B21" s="29">
        <v>46066</v>
      </c>
      <c r="C21" s="29">
        <v>46444</v>
      </c>
      <c r="D21" s="30" t="s">
        <v>40</v>
      </c>
      <c r="E21" s="33" t="s">
        <v>27</v>
      </c>
      <c r="F21" s="33" t="s">
        <v>28</v>
      </c>
      <c r="G21" s="33" t="s">
        <v>35</v>
      </c>
      <c r="H21" s="29">
        <v>46097</v>
      </c>
      <c r="I21" s="31">
        <v>397417.80006899999</v>
      </c>
      <c r="J21" s="31">
        <f t="shared" si="0"/>
        <v>418480.94347265695</v>
      </c>
      <c r="K21" s="31">
        <v>1053</v>
      </c>
      <c r="L21" s="32">
        <f t="shared" si="1"/>
        <v>0.94444444444444442</v>
      </c>
      <c r="M21" s="30" t="s">
        <v>30</v>
      </c>
      <c r="N21" s="33" t="s">
        <v>50</v>
      </c>
      <c r="O21" s="21"/>
      <c r="P21" s="21"/>
      <c r="Q21" s="21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5" customHeight="1">
      <c r="A22" s="33" t="s">
        <v>51</v>
      </c>
      <c r="B22" s="29">
        <v>45432</v>
      </c>
      <c r="C22" s="29">
        <v>46477</v>
      </c>
      <c r="D22" s="30" t="s">
        <v>26</v>
      </c>
      <c r="E22" s="33" t="s">
        <v>27</v>
      </c>
      <c r="F22" s="33" t="s">
        <v>28</v>
      </c>
      <c r="G22" s="33" t="s">
        <v>29</v>
      </c>
      <c r="H22" s="29">
        <v>46097</v>
      </c>
      <c r="I22" s="31">
        <v>462796.541975</v>
      </c>
      <c r="J22" s="31">
        <f t="shared" si="0"/>
        <v>854553.81475683744</v>
      </c>
      <c r="K22" s="31">
        <v>1846.5</v>
      </c>
      <c r="L22" s="32">
        <f t="shared" si="1"/>
        <v>1.0416666666666667</v>
      </c>
      <c r="M22" s="30" t="s">
        <v>30</v>
      </c>
      <c r="N22" s="33" t="s">
        <v>52</v>
      </c>
      <c r="O22" s="21"/>
      <c r="P22" s="21"/>
      <c r="Q22" s="21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5.75" customHeight="1">
      <c r="A23" s="33" t="s">
        <v>48</v>
      </c>
      <c r="B23" s="29">
        <v>46080</v>
      </c>
      <c r="C23" s="29">
        <v>46689</v>
      </c>
      <c r="D23" s="30" t="s">
        <v>26</v>
      </c>
      <c r="E23" s="33" t="s">
        <v>27</v>
      </c>
      <c r="F23" s="33" t="s">
        <v>49</v>
      </c>
      <c r="G23" s="33" t="s">
        <v>47</v>
      </c>
      <c r="H23" s="29">
        <v>46097</v>
      </c>
      <c r="I23" s="31">
        <v>150</v>
      </c>
      <c r="J23" s="31">
        <f t="shared" si="0"/>
        <v>151.797</v>
      </c>
      <c r="K23" s="31">
        <v>1011.98</v>
      </c>
      <c r="L23" s="32">
        <f t="shared" si="1"/>
        <v>1.6194444444444445</v>
      </c>
      <c r="M23" s="30" t="s">
        <v>30</v>
      </c>
      <c r="N23" s="33" t="s">
        <v>53</v>
      </c>
      <c r="O23" s="21"/>
      <c r="P23" s="21"/>
      <c r="Q23" s="21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5" customHeight="1">
      <c r="A24" s="33" t="s">
        <v>48</v>
      </c>
      <c r="B24" s="29">
        <v>46080</v>
      </c>
      <c r="C24" s="29">
        <v>46689</v>
      </c>
      <c r="D24" s="30" t="s">
        <v>26</v>
      </c>
      <c r="E24" s="33" t="s">
        <v>27</v>
      </c>
      <c r="F24" s="33" t="s">
        <v>49</v>
      </c>
      <c r="G24" s="33" t="s">
        <v>47</v>
      </c>
      <c r="H24" s="29">
        <v>46097</v>
      </c>
      <c r="I24" s="31">
        <v>100</v>
      </c>
      <c r="J24" s="31">
        <f t="shared" si="0"/>
        <v>101.19799999999999</v>
      </c>
      <c r="K24" s="31">
        <v>1011.98</v>
      </c>
      <c r="L24" s="32">
        <f t="shared" si="1"/>
        <v>1.6194444444444445</v>
      </c>
      <c r="M24" s="30" t="s">
        <v>30</v>
      </c>
      <c r="N24" s="33" t="s">
        <v>53</v>
      </c>
      <c r="O24" s="21"/>
      <c r="P24" s="21"/>
      <c r="Q24" s="21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5" customHeight="1">
      <c r="A25" s="33" t="s">
        <v>25</v>
      </c>
      <c r="B25" s="29">
        <v>45323</v>
      </c>
      <c r="C25" s="29">
        <v>46934</v>
      </c>
      <c r="D25" s="30" t="s">
        <v>26</v>
      </c>
      <c r="E25" s="33" t="s">
        <v>27</v>
      </c>
      <c r="F25" s="33" t="s">
        <v>28</v>
      </c>
      <c r="G25" s="33" t="s">
        <v>29</v>
      </c>
      <c r="H25" s="29">
        <v>46097</v>
      </c>
      <c r="I25" s="31">
        <v>632971.87299499998</v>
      </c>
      <c r="J25" s="31">
        <f t="shared" si="0"/>
        <v>1865684.5956527623</v>
      </c>
      <c r="K25" s="31">
        <v>2947.5</v>
      </c>
      <c r="L25" s="32">
        <f t="shared" si="1"/>
        <v>2.2888888888888888</v>
      </c>
      <c r="M25" s="30" t="s">
        <v>30</v>
      </c>
      <c r="N25" s="33" t="s">
        <v>31</v>
      </c>
      <c r="O25" s="21"/>
      <c r="P25" s="21"/>
      <c r="Q25" s="21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5" customHeight="1">
      <c r="A26" s="33" t="s">
        <v>54</v>
      </c>
      <c r="B26" s="29">
        <v>46112</v>
      </c>
      <c r="C26" s="29">
        <f t="shared" ref="C26:C32" si="2">+RIGHT(A26,10)*1</f>
        <v>46660</v>
      </c>
      <c r="D26" s="30" t="s">
        <v>26</v>
      </c>
      <c r="E26" s="30" t="s">
        <v>27</v>
      </c>
      <c r="F26" s="30" t="s">
        <v>28</v>
      </c>
      <c r="G26" s="30" t="s">
        <v>29</v>
      </c>
      <c r="H26" s="29">
        <v>46112</v>
      </c>
      <c r="I26" s="31">
        <v>1218540.75</v>
      </c>
      <c r="J26" s="31">
        <f t="shared" si="0"/>
        <v>1141163.4123750001</v>
      </c>
      <c r="K26" s="31">
        <v>936.5</v>
      </c>
      <c r="L26" s="32">
        <f t="shared" si="1"/>
        <v>1.5</v>
      </c>
      <c r="M26" s="30" t="s">
        <v>30</v>
      </c>
      <c r="N26" s="33">
        <v>16</v>
      </c>
      <c r="O26" s="21"/>
      <c r="P26" s="21"/>
      <c r="Q26" s="21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5" customHeight="1">
      <c r="A27" s="33" t="s">
        <v>55</v>
      </c>
      <c r="B27" s="29">
        <v>46112</v>
      </c>
      <c r="C27" s="29">
        <f t="shared" si="2"/>
        <v>47025</v>
      </c>
      <c r="D27" s="30" t="s">
        <v>26</v>
      </c>
      <c r="E27" s="30" t="s">
        <v>27</v>
      </c>
      <c r="F27" s="30" t="s">
        <v>28</v>
      </c>
      <c r="G27" s="30" t="s">
        <v>29</v>
      </c>
      <c r="H27" s="29">
        <v>46112</v>
      </c>
      <c r="I27" s="31">
        <v>5757083.6600000001</v>
      </c>
      <c r="J27" s="31">
        <f t="shared" si="0"/>
        <v>4778379.4378000004</v>
      </c>
      <c r="K27" s="31">
        <v>830</v>
      </c>
      <c r="L27" s="32">
        <f t="shared" si="1"/>
        <v>2.4972222222222222</v>
      </c>
      <c r="M27" s="30" t="s">
        <v>30</v>
      </c>
      <c r="N27" s="33">
        <v>16</v>
      </c>
      <c r="O27" s="21"/>
      <c r="P27" s="21"/>
      <c r="Q27" s="21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5" customHeight="1">
      <c r="A28" s="33" t="s">
        <v>56</v>
      </c>
      <c r="B28" s="29">
        <v>46112</v>
      </c>
      <c r="C28" s="29">
        <f t="shared" si="2"/>
        <v>46934</v>
      </c>
      <c r="D28" s="30" t="s">
        <v>26</v>
      </c>
      <c r="E28" s="33" t="s">
        <v>27</v>
      </c>
      <c r="F28" s="33" t="s">
        <v>28</v>
      </c>
      <c r="G28" s="33" t="s">
        <v>47</v>
      </c>
      <c r="H28" s="29">
        <v>46112</v>
      </c>
      <c r="I28" s="31">
        <v>230.47</v>
      </c>
      <c r="J28" s="31">
        <f t="shared" si="0"/>
        <v>191.98151000000001</v>
      </c>
      <c r="K28" s="31">
        <v>833</v>
      </c>
      <c r="L28" s="32">
        <f t="shared" si="1"/>
        <v>2.25</v>
      </c>
      <c r="M28" s="30" t="s">
        <v>30</v>
      </c>
      <c r="N28" s="33">
        <v>16</v>
      </c>
      <c r="O28" s="21"/>
      <c r="P28" s="21"/>
      <c r="Q28" s="21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5" customHeight="1">
      <c r="A29" s="33" t="s">
        <v>57</v>
      </c>
      <c r="B29" s="29">
        <v>46112</v>
      </c>
      <c r="C29" s="29">
        <f t="shared" si="2"/>
        <v>47057</v>
      </c>
      <c r="D29" s="30" t="s">
        <v>26</v>
      </c>
      <c r="E29" s="33" t="s">
        <v>27</v>
      </c>
      <c r="F29" s="33" t="s">
        <v>49</v>
      </c>
      <c r="G29" s="33" t="s">
        <v>47</v>
      </c>
      <c r="H29" s="29">
        <v>46112</v>
      </c>
      <c r="I29" s="31">
        <v>150</v>
      </c>
      <c r="J29" s="31">
        <f t="shared" si="0"/>
        <v>141.30000000000001</v>
      </c>
      <c r="K29" s="31">
        <v>942</v>
      </c>
      <c r="L29" s="32">
        <f t="shared" si="1"/>
        <v>2.5833333333333335</v>
      </c>
      <c r="M29" s="30" t="s">
        <v>30</v>
      </c>
      <c r="N29" s="33">
        <v>16</v>
      </c>
      <c r="O29" s="21"/>
      <c r="P29" s="21"/>
      <c r="Q29" s="21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5" customHeight="1">
      <c r="A30" s="33" t="s">
        <v>57</v>
      </c>
      <c r="B30" s="29">
        <v>46112</v>
      </c>
      <c r="C30" s="29">
        <f t="shared" si="2"/>
        <v>47057</v>
      </c>
      <c r="D30" s="30" t="s">
        <v>26</v>
      </c>
      <c r="E30" s="33" t="s">
        <v>27</v>
      </c>
      <c r="F30" s="33" t="s">
        <v>49</v>
      </c>
      <c r="G30" s="33" t="s">
        <v>47</v>
      </c>
      <c r="H30" s="29">
        <v>46112</v>
      </c>
      <c r="I30" s="31">
        <v>36.154488000000001</v>
      </c>
      <c r="J30" s="31">
        <f t="shared" si="0"/>
        <v>34.057527695999994</v>
      </c>
      <c r="K30" s="31">
        <v>942</v>
      </c>
      <c r="L30" s="32">
        <f t="shared" si="1"/>
        <v>2.5833333333333335</v>
      </c>
      <c r="M30" s="30" t="s">
        <v>30</v>
      </c>
      <c r="N30" s="33">
        <v>16</v>
      </c>
      <c r="O30" s="21"/>
      <c r="P30" s="21"/>
      <c r="Q30" s="21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5" customHeight="1">
      <c r="A31" s="33" t="s">
        <v>48</v>
      </c>
      <c r="B31" s="29">
        <v>46080</v>
      </c>
      <c r="C31" s="29">
        <f t="shared" si="2"/>
        <v>46689</v>
      </c>
      <c r="D31" s="30" t="s">
        <v>26</v>
      </c>
      <c r="E31" s="33" t="s">
        <v>27</v>
      </c>
      <c r="F31" s="33" t="s">
        <v>49</v>
      </c>
      <c r="G31" s="33" t="s">
        <v>47</v>
      </c>
      <c r="H31" s="29">
        <v>46112</v>
      </c>
      <c r="I31" s="31">
        <v>150</v>
      </c>
      <c r="J31" s="31">
        <f t="shared" si="0"/>
        <v>152.29949999999999</v>
      </c>
      <c r="K31" s="31">
        <v>1015.33</v>
      </c>
      <c r="L31" s="32">
        <f t="shared" si="1"/>
        <v>1.5805555555555555</v>
      </c>
      <c r="M31" s="30" t="s">
        <v>30</v>
      </c>
      <c r="N31" s="33" t="s">
        <v>58</v>
      </c>
      <c r="O31" s="21"/>
      <c r="P31" s="21"/>
      <c r="Q31" s="21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5" customHeight="1">
      <c r="A32" s="33" t="s">
        <v>48</v>
      </c>
      <c r="B32" s="29">
        <v>46080</v>
      </c>
      <c r="C32" s="29">
        <f t="shared" si="2"/>
        <v>46689</v>
      </c>
      <c r="D32" s="30" t="s">
        <v>26</v>
      </c>
      <c r="E32" s="33" t="s">
        <v>27</v>
      </c>
      <c r="F32" s="33" t="s">
        <v>49</v>
      </c>
      <c r="G32" s="33" t="s">
        <v>47</v>
      </c>
      <c r="H32" s="29">
        <v>46112</v>
      </c>
      <c r="I32" s="31">
        <v>95.370497</v>
      </c>
      <c r="J32" s="31">
        <f t="shared" si="0"/>
        <v>96.832526719010005</v>
      </c>
      <c r="K32" s="31">
        <v>1015.33</v>
      </c>
      <c r="L32" s="32">
        <f t="shared" si="1"/>
        <v>1.5805555555555555</v>
      </c>
      <c r="M32" s="30" t="s">
        <v>30</v>
      </c>
      <c r="N32" s="33" t="s">
        <v>58</v>
      </c>
      <c r="O32" s="21"/>
      <c r="P32" s="21"/>
      <c r="Q32" s="21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5" customHeight="1">
      <c r="A33" s="33" t="s">
        <v>39</v>
      </c>
      <c r="B33" s="29">
        <v>46066</v>
      </c>
      <c r="C33" s="29">
        <v>46444</v>
      </c>
      <c r="D33" s="30" t="s">
        <v>40</v>
      </c>
      <c r="E33" s="33" t="s">
        <v>27</v>
      </c>
      <c r="F33" s="33" t="s">
        <v>28</v>
      </c>
      <c r="G33" s="33" t="s">
        <v>35</v>
      </c>
      <c r="H33" s="29">
        <v>46112</v>
      </c>
      <c r="I33" s="31">
        <v>1978633.65</v>
      </c>
      <c r="J33" s="31">
        <f t="shared" si="0"/>
        <v>2108234.154075</v>
      </c>
      <c r="K33" s="31">
        <v>1065.5</v>
      </c>
      <c r="L33" s="32">
        <f t="shared" si="1"/>
        <v>0.90555555555555556</v>
      </c>
      <c r="M33" s="30" t="s">
        <v>30</v>
      </c>
      <c r="N33" s="33">
        <v>9</v>
      </c>
      <c r="O33" s="21"/>
      <c r="P33" s="21"/>
      <c r="Q33" s="21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5" customHeight="1">
      <c r="A34" s="119" t="s">
        <v>55</v>
      </c>
      <c r="B34" s="29">
        <v>46112</v>
      </c>
      <c r="C34" s="29">
        <f t="shared" ref="C34:C35" si="3">+RIGHT(A34,10)*1</f>
        <v>47025</v>
      </c>
      <c r="D34" s="30" t="s">
        <v>26</v>
      </c>
      <c r="E34" s="30" t="s">
        <v>27</v>
      </c>
      <c r="F34" s="30" t="s">
        <v>28</v>
      </c>
      <c r="G34" s="30" t="s">
        <v>29</v>
      </c>
      <c r="H34" s="118">
        <v>46129</v>
      </c>
      <c r="I34" s="31">
        <v>1931247.649344</v>
      </c>
      <c r="J34" s="31">
        <f t="shared" si="0"/>
        <v>1642719.2505320066</v>
      </c>
      <c r="K34" s="31">
        <v>850.6</v>
      </c>
      <c r="L34" s="32">
        <f t="shared" si="1"/>
        <v>2.4500000000000002</v>
      </c>
      <c r="M34" s="30" t="s">
        <v>30</v>
      </c>
      <c r="N34" s="33" t="s">
        <v>59</v>
      </c>
      <c r="O34" s="21"/>
      <c r="P34" s="21"/>
      <c r="Q34" s="21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5" customHeight="1">
      <c r="A35" s="119" t="s">
        <v>60</v>
      </c>
      <c r="B35" s="29">
        <v>46113</v>
      </c>
      <c r="C35" s="29">
        <f t="shared" si="3"/>
        <v>47205</v>
      </c>
      <c r="D35" s="30" t="s">
        <v>26</v>
      </c>
      <c r="E35" s="30" t="s">
        <v>27</v>
      </c>
      <c r="F35" s="30" t="s">
        <v>28</v>
      </c>
      <c r="G35" s="30" t="s">
        <v>29</v>
      </c>
      <c r="H35" s="118">
        <v>46129</v>
      </c>
      <c r="I35" s="31">
        <v>652007.44994399999</v>
      </c>
      <c r="J35" s="31">
        <f t="shared" si="0"/>
        <v>528126.03445464</v>
      </c>
      <c r="K35" s="31">
        <v>810</v>
      </c>
      <c r="L35" s="32">
        <f t="shared" si="1"/>
        <v>2.9472222222222224</v>
      </c>
      <c r="M35" s="30" t="s">
        <v>30</v>
      </c>
      <c r="N35" s="33" t="s">
        <v>59</v>
      </c>
      <c r="O35" s="21"/>
      <c r="P35" s="21"/>
      <c r="Q35" s="21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5" customHeight="1">
      <c r="A36" s="119" t="s">
        <v>39</v>
      </c>
      <c r="B36" s="29">
        <v>46066</v>
      </c>
      <c r="C36" s="29">
        <v>46444</v>
      </c>
      <c r="D36" s="30" t="s">
        <v>40</v>
      </c>
      <c r="E36" s="33" t="s">
        <v>27</v>
      </c>
      <c r="F36" s="33" t="s">
        <v>28</v>
      </c>
      <c r="G36" s="33" t="s">
        <v>35</v>
      </c>
      <c r="H36" s="118">
        <v>46129</v>
      </c>
      <c r="I36" s="31">
        <v>1833543.162911</v>
      </c>
      <c r="J36" s="31">
        <f t="shared" si="0"/>
        <v>1980226.6159438798</v>
      </c>
      <c r="K36" s="31">
        <v>1080</v>
      </c>
      <c r="L36" s="32">
        <f t="shared" si="1"/>
        <v>0.85833333333333328</v>
      </c>
      <c r="M36" s="30" t="s">
        <v>30</v>
      </c>
      <c r="N36" s="33" t="s">
        <v>61</v>
      </c>
      <c r="O36" s="21"/>
      <c r="P36" s="21"/>
      <c r="Q36" s="21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5" customHeight="1">
      <c r="A37" s="119" t="s">
        <v>62</v>
      </c>
      <c r="B37" s="29">
        <v>46113</v>
      </c>
      <c r="C37" s="29">
        <f t="shared" ref="C37:C38" si="4">+RIGHT(A37,10)*1</f>
        <v>46630</v>
      </c>
      <c r="D37" s="30" t="s">
        <v>40</v>
      </c>
      <c r="E37" s="30" t="s">
        <v>27</v>
      </c>
      <c r="F37" s="30" t="s">
        <v>28</v>
      </c>
      <c r="G37" s="30" t="s">
        <v>35</v>
      </c>
      <c r="H37" s="118">
        <v>46129</v>
      </c>
      <c r="I37" s="31">
        <v>779065.60933400004</v>
      </c>
      <c r="J37" s="31">
        <f t="shared" si="0"/>
        <v>802437.57761401997</v>
      </c>
      <c r="K37" s="31">
        <v>1030</v>
      </c>
      <c r="L37" s="32">
        <f t="shared" si="1"/>
        <v>1.3722222222222222</v>
      </c>
      <c r="M37" s="30" t="s">
        <v>30</v>
      </c>
      <c r="N37" s="33" t="s">
        <v>59</v>
      </c>
      <c r="O37" s="21"/>
      <c r="P37" s="21"/>
      <c r="Q37" s="21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5" customHeight="1">
      <c r="A38" s="119" t="s">
        <v>56</v>
      </c>
      <c r="B38" s="29">
        <v>46112</v>
      </c>
      <c r="C38" s="29">
        <f t="shared" si="4"/>
        <v>46934</v>
      </c>
      <c r="D38" s="30" t="s">
        <v>26</v>
      </c>
      <c r="E38" s="33" t="s">
        <v>27</v>
      </c>
      <c r="F38" s="33" t="s">
        <v>28</v>
      </c>
      <c r="G38" s="33" t="s">
        <v>47</v>
      </c>
      <c r="H38" s="118">
        <v>46129</v>
      </c>
      <c r="I38" s="31">
        <v>457.74829299999999</v>
      </c>
      <c r="J38" s="31">
        <f t="shared" si="0"/>
        <v>382.44869880149997</v>
      </c>
      <c r="K38" s="31">
        <v>835.5</v>
      </c>
      <c r="L38" s="32">
        <f t="shared" si="1"/>
        <v>2.2027777777777779</v>
      </c>
      <c r="M38" s="30" t="s">
        <v>30</v>
      </c>
      <c r="N38" s="33" t="s">
        <v>59</v>
      </c>
      <c r="O38" s="21"/>
      <c r="P38" s="21"/>
      <c r="Q38" s="21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5.75" customHeight="1">
      <c r="A39" s="119" t="s">
        <v>48</v>
      </c>
      <c r="B39" s="29">
        <v>46080</v>
      </c>
      <c r="C39" s="29">
        <v>46689</v>
      </c>
      <c r="D39" s="30" t="s">
        <v>26</v>
      </c>
      <c r="E39" s="33" t="s">
        <v>27</v>
      </c>
      <c r="F39" s="33" t="s">
        <v>49</v>
      </c>
      <c r="G39" s="33" t="s">
        <v>47</v>
      </c>
      <c r="H39" s="118">
        <v>46129</v>
      </c>
      <c r="I39" s="31">
        <v>150</v>
      </c>
      <c r="J39" s="31">
        <f t="shared" si="0"/>
        <v>152.65799999999999</v>
      </c>
      <c r="K39" s="31">
        <v>1017.72</v>
      </c>
      <c r="L39" s="32">
        <f t="shared" si="1"/>
        <v>1.5333333333333334</v>
      </c>
      <c r="M39" s="30" t="s">
        <v>30</v>
      </c>
      <c r="N39" s="33" t="s">
        <v>59</v>
      </c>
      <c r="O39" s="21"/>
      <c r="P39" s="21"/>
      <c r="Q39" s="21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5" customHeight="1">
      <c r="A40" s="119" t="s">
        <v>48</v>
      </c>
      <c r="B40" s="29">
        <v>46080</v>
      </c>
      <c r="C40" s="29">
        <v>46689</v>
      </c>
      <c r="D40" s="30" t="s">
        <v>26</v>
      </c>
      <c r="E40" s="33" t="s">
        <v>27</v>
      </c>
      <c r="F40" s="33" t="s">
        <v>49</v>
      </c>
      <c r="G40" s="33" t="s">
        <v>47</v>
      </c>
      <c r="H40" s="118">
        <v>46129</v>
      </c>
      <c r="I40" s="31">
        <v>100</v>
      </c>
      <c r="J40" s="31">
        <f t="shared" si="0"/>
        <v>101.77200000000001</v>
      </c>
      <c r="K40" s="31">
        <v>1017.72</v>
      </c>
      <c r="L40" s="32">
        <f t="shared" si="1"/>
        <v>1.5333333333333334</v>
      </c>
      <c r="M40" s="30" t="s">
        <v>30</v>
      </c>
      <c r="N40" s="33" t="s">
        <v>59</v>
      </c>
      <c r="O40" s="21"/>
      <c r="P40" s="21"/>
      <c r="Q40" s="21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5" customHeight="1">
      <c r="A41" s="119" t="s">
        <v>57</v>
      </c>
      <c r="B41" s="29">
        <v>46112</v>
      </c>
      <c r="C41" s="29">
        <f t="shared" ref="C41:C45" si="5">+RIGHT(A41,10)*1</f>
        <v>47057</v>
      </c>
      <c r="D41" s="30" t="s">
        <v>26</v>
      </c>
      <c r="E41" s="33" t="s">
        <v>27</v>
      </c>
      <c r="F41" s="33" t="s">
        <v>49</v>
      </c>
      <c r="G41" s="33" t="s">
        <v>47</v>
      </c>
      <c r="H41" s="118">
        <v>46129</v>
      </c>
      <c r="I41" s="31">
        <v>150</v>
      </c>
      <c r="J41" s="31">
        <f t="shared" si="0"/>
        <v>142.91249999999999</v>
      </c>
      <c r="K41" s="31">
        <v>952.75</v>
      </c>
      <c r="L41" s="32">
        <f t="shared" si="1"/>
        <v>2.5388888888888888</v>
      </c>
      <c r="M41" s="30" t="s">
        <v>30</v>
      </c>
      <c r="N41" s="33" t="s">
        <v>59</v>
      </c>
      <c r="O41" s="21"/>
      <c r="P41" s="21"/>
      <c r="Q41" s="21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5" customHeight="1">
      <c r="A42" s="119" t="s">
        <v>57</v>
      </c>
      <c r="B42" s="29">
        <v>46112</v>
      </c>
      <c r="C42" s="29">
        <f t="shared" si="5"/>
        <v>47057</v>
      </c>
      <c r="D42" s="30" t="s">
        <v>26</v>
      </c>
      <c r="E42" s="33" t="s">
        <v>27</v>
      </c>
      <c r="F42" s="33" t="s">
        <v>49</v>
      </c>
      <c r="G42" s="33" t="s">
        <v>47</v>
      </c>
      <c r="H42" s="118">
        <v>46129</v>
      </c>
      <c r="I42" s="31">
        <v>100</v>
      </c>
      <c r="J42" s="31">
        <f t="shared" si="0"/>
        <v>95.275000000000006</v>
      </c>
      <c r="K42" s="31">
        <v>952.75</v>
      </c>
      <c r="L42" s="32">
        <f t="shared" si="1"/>
        <v>2.5388888888888888</v>
      </c>
      <c r="M42" s="30" t="s">
        <v>30</v>
      </c>
      <c r="N42" s="33" t="s">
        <v>59</v>
      </c>
      <c r="O42" s="21"/>
      <c r="P42" s="21"/>
      <c r="Q42" s="21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5" customHeight="1">
      <c r="A43" s="119" t="s">
        <v>63</v>
      </c>
      <c r="B43" s="29">
        <v>46142</v>
      </c>
      <c r="C43" s="29">
        <f t="shared" si="5"/>
        <v>46996</v>
      </c>
      <c r="D43" s="30" t="s">
        <v>40</v>
      </c>
      <c r="E43" s="30" t="s">
        <v>27</v>
      </c>
      <c r="F43" s="30" t="s">
        <v>28</v>
      </c>
      <c r="G43" s="30" t="s">
        <v>35</v>
      </c>
      <c r="H43" s="118">
        <v>46142</v>
      </c>
      <c r="I43" s="31">
        <v>1026516.983401</v>
      </c>
      <c r="J43" s="31">
        <f t="shared" si="0"/>
        <v>1026516.983401</v>
      </c>
      <c r="K43" s="44">
        <v>1000</v>
      </c>
      <c r="L43" s="32">
        <f t="shared" si="1"/>
        <v>2.3333333333333335</v>
      </c>
      <c r="M43" s="30" t="s">
        <v>30</v>
      </c>
      <c r="N43" s="33">
        <v>23</v>
      </c>
      <c r="O43" s="21"/>
      <c r="P43" s="21"/>
      <c r="Q43" s="21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5" customHeight="1">
      <c r="A44" s="119" t="s">
        <v>64</v>
      </c>
      <c r="B44" s="29">
        <v>46142</v>
      </c>
      <c r="C44" s="29">
        <f t="shared" si="5"/>
        <v>47298</v>
      </c>
      <c r="D44" s="30" t="s">
        <v>40</v>
      </c>
      <c r="E44" s="30" t="s">
        <v>27</v>
      </c>
      <c r="F44" s="30" t="s">
        <v>28</v>
      </c>
      <c r="G44" s="30" t="s">
        <v>35</v>
      </c>
      <c r="H44" s="118">
        <v>46142</v>
      </c>
      <c r="I44" s="31">
        <v>1186482.9043159999</v>
      </c>
      <c r="J44" s="31">
        <f t="shared" si="0"/>
        <v>949186.32345279993</v>
      </c>
      <c r="K44" s="44">
        <v>800</v>
      </c>
      <c r="L44" s="32">
        <f t="shared" si="1"/>
        <v>3.1638888888888888</v>
      </c>
      <c r="M44" s="30" t="s">
        <v>30</v>
      </c>
      <c r="N44" s="33">
        <v>23</v>
      </c>
      <c r="O44" s="21"/>
      <c r="P44" s="21"/>
      <c r="Q44" s="21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5" customHeight="1">
      <c r="A45" s="119" t="s">
        <v>55</v>
      </c>
      <c r="B45" s="29">
        <v>46112</v>
      </c>
      <c r="C45" s="29">
        <f t="shared" si="5"/>
        <v>47025</v>
      </c>
      <c r="D45" s="30" t="s">
        <v>26</v>
      </c>
      <c r="E45" s="30" t="s">
        <v>27</v>
      </c>
      <c r="F45" s="30" t="s">
        <v>28</v>
      </c>
      <c r="G45" s="30" t="s">
        <v>29</v>
      </c>
      <c r="H45" s="118">
        <v>46142</v>
      </c>
      <c r="I45" s="31">
        <v>1220149.1321729999</v>
      </c>
      <c r="J45" s="31">
        <f t="shared" si="0"/>
        <v>1036516.6877809634</v>
      </c>
      <c r="K45" s="31">
        <v>849.5</v>
      </c>
      <c r="L45" s="32">
        <f t="shared" si="1"/>
        <v>2.4138888888888888</v>
      </c>
      <c r="M45" s="30" t="s">
        <v>30</v>
      </c>
      <c r="N45" s="33" t="s">
        <v>65</v>
      </c>
      <c r="O45" s="21"/>
      <c r="P45" s="21"/>
      <c r="Q45" s="21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5" customHeight="1">
      <c r="A46" s="119" t="s">
        <v>48</v>
      </c>
      <c r="B46" s="29">
        <v>46080</v>
      </c>
      <c r="C46" s="29">
        <v>46689</v>
      </c>
      <c r="D46" s="30" t="s">
        <v>26</v>
      </c>
      <c r="E46" s="30" t="s">
        <v>27</v>
      </c>
      <c r="F46" s="30" t="s">
        <v>49</v>
      </c>
      <c r="G46" s="30" t="s">
        <v>47</v>
      </c>
      <c r="H46" s="118">
        <v>46142</v>
      </c>
      <c r="I46" s="31">
        <v>350</v>
      </c>
      <c r="J46" s="31">
        <f t="shared" si="0"/>
        <v>354.9</v>
      </c>
      <c r="K46" s="44">
        <v>1014</v>
      </c>
      <c r="L46" s="32">
        <f t="shared" si="1"/>
        <v>1.4972222222222222</v>
      </c>
      <c r="M46" s="30" t="s">
        <v>30</v>
      </c>
      <c r="N46" s="33" t="s">
        <v>65</v>
      </c>
      <c r="O46" s="21"/>
      <c r="P46" s="21"/>
      <c r="Q46" s="21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5" customHeight="1">
      <c r="A47" s="119" t="s">
        <v>48</v>
      </c>
      <c r="B47" s="29">
        <v>46080</v>
      </c>
      <c r="C47" s="29">
        <v>46689</v>
      </c>
      <c r="D47" s="30" t="s">
        <v>26</v>
      </c>
      <c r="E47" s="30" t="s">
        <v>27</v>
      </c>
      <c r="F47" s="30" t="s">
        <v>49</v>
      </c>
      <c r="G47" s="30" t="s">
        <v>47</v>
      </c>
      <c r="H47" s="118">
        <v>46142</v>
      </c>
      <c r="I47" s="31">
        <v>100</v>
      </c>
      <c r="J47" s="31">
        <f t="shared" si="0"/>
        <v>101.4</v>
      </c>
      <c r="K47" s="44">
        <v>1014</v>
      </c>
      <c r="L47" s="32">
        <f t="shared" si="1"/>
        <v>1.4972222222222222</v>
      </c>
      <c r="M47" s="30" t="s">
        <v>30</v>
      </c>
      <c r="N47" s="33" t="s">
        <v>65</v>
      </c>
      <c r="O47" s="21"/>
      <c r="P47" s="21"/>
      <c r="Q47" s="21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5" customHeight="1">
      <c r="A48" s="119" t="s">
        <v>57</v>
      </c>
      <c r="B48" s="29">
        <v>46112</v>
      </c>
      <c r="C48" s="29">
        <f t="shared" ref="C48:C49" si="6">+RIGHT(A48,10)*1</f>
        <v>47057</v>
      </c>
      <c r="D48" s="30" t="s">
        <v>26</v>
      </c>
      <c r="E48" s="30" t="s">
        <v>27</v>
      </c>
      <c r="F48" s="30" t="s">
        <v>49</v>
      </c>
      <c r="G48" s="30" t="s">
        <v>47</v>
      </c>
      <c r="H48" s="118">
        <v>46142</v>
      </c>
      <c r="I48" s="31">
        <v>350</v>
      </c>
      <c r="J48" s="31">
        <f t="shared" si="0"/>
        <v>330.92849999999999</v>
      </c>
      <c r="K48" s="44">
        <v>945.51</v>
      </c>
      <c r="L48" s="32">
        <f t="shared" si="1"/>
        <v>2.5</v>
      </c>
      <c r="M48" s="30" t="s">
        <v>30</v>
      </c>
      <c r="N48" s="33" t="s">
        <v>65</v>
      </c>
      <c r="O48" s="21"/>
      <c r="P48" s="21"/>
      <c r="Q48" s="21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5" customHeight="1">
      <c r="A49" s="119" t="s">
        <v>57</v>
      </c>
      <c r="B49" s="29">
        <v>46112</v>
      </c>
      <c r="C49" s="29">
        <f t="shared" si="6"/>
        <v>47057</v>
      </c>
      <c r="D49" s="30" t="s">
        <v>26</v>
      </c>
      <c r="E49" s="30" t="s">
        <v>27</v>
      </c>
      <c r="F49" s="30" t="s">
        <v>49</v>
      </c>
      <c r="G49" s="30" t="s">
        <v>47</v>
      </c>
      <c r="H49" s="118">
        <v>46142</v>
      </c>
      <c r="I49" s="31">
        <v>48.215197000000003</v>
      </c>
      <c r="J49" s="31">
        <f t="shared" si="0"/>
        <v>45.587950915470003</v>
      </c>
      <c r="K49" s="44">
        <v>945.51</v>
      </c>
      <c r="L49" s="32">
        <f t="shared" si="1"/>
        <v>2.5</v>
      </c>
      <c r="M49" s="30" t="s">
        <v>30</v>
      </c>
      <c r="N49" s="33" t="s">
        <v>65</v>
      </c>
      <c r="O49" s="21"/>
      <c r="P49" s="21"/>
      <c r="Q49" s="21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33.75" customHeight="1">
      <c r="A50" s="45"/>
      <c r="B50" s="45"/>
      <c r="C50" s="45"/>
      <c r="D50" s="23"/>
      <c r="E50" s="46"/>
      <c r="F50" s="46"/>
      <c r="G50" s="46"/>
      <c r="H50" s="46"/>
      <c r="I50" s="47"/>
      <c r="J50" s="48"/>
      <c r="K50" s="47"/>
      <c r="L50" s="49"/>
      <c r="M50" s="23"/>
      <c r="N50" s="46"/>
      <c r="O50" s="21"/>
      <c r="P50" s="21"/>
      <c r="Q50" s="21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22.5" customHeight="1">
      <c r="A51" s="45"/>
      <c r="B51" s="45"/>
      <c r="C51" s="45"/>
      <c r="D51" s="23"/>
      <c r="E51" s="46"/>
      <c r="F51" s="46"/>
      <c r="G51" s="46"/>
      <c r="H51" s="46"/>
      <c r="I51" s="47"/>
      <c r="J51" s="50"/>
      <c r="K51" s="47"/>
      <c r="L51" s="49"/>
      <c r="M51" s="23"/>
      <c r="N51" s="46"/>
      <c r="O51" s="21"/>
      <c r="P51" s="21"/>
      <c r="Q51" s="21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5" customHeight="1">
      <c r="A52" s="46"/>
      <c r="B52" s="45"/>
      <c r="C52" s="45"/>
      <c r="D52" s="23"/>
      <c r="E52" s="46"/>
      <c r="F52" s="46"/>
      <c r="G52" s="46"/>
      <c r="H52" s="45"/>
      <c r="I52" s="47"/>
      <c r="J52" s="50"/>
      <c r="K52" s="47"/>
      <c r="L52" s="49"/>
      <c r="M52" s="23"/>
      <c r="N52" s="46"/>
      <c r="O52" s="21"/>
      <c r="P52" s="21"/>
      <c r="Q52" s="21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5.75" customHeight="1">
      <c r="A53" s="51" t="s">
        <v>66</v>
      </c>
      <c r="B53" s="22"/>
      <c r="C53" s="22"/>
      <c r="D53" s="23"/>
      <c r="E53" s="21"/>
      <c r="F53" s="21"/>
      <c r="G53" s="21"/>
      <c r="H53" s="22"/>
      <c r="I53" s="21"/>
      <c r="J53" s="21"/>
      <c r="K53" s="21"/>
      <c r="L53" s="21"/>
      <c r="M53" s="21"/>
      <c r="N53" s="21"/>
      <c r="O53" s="21"/>
      <c r="P53" s="21"/>
      <c r="Q53" s="21"/>
    </row>
    <row r="54" spans="1:26" ht="15.75" customHeight="1">
      <c r="A54" s="21" t="s">
        <v>67</v>
      </c>
      <c r="B54" s="22"/>
      <c r="C54" s="22"/>
      <c r="D54" s="23"/>
      <c r="E54" s="21"/>
      <c r="F54" s="21"/>
      <c r="G54" s="21"/>
      <c r="H54" s="22"/>
      <c r="I54" s="21"/>
      <c r="J54" s="21"/>
      <c r="K54" s="21"/>
      <c r="L54" s="52"/>
      <c r="M54" s="21"/>
      <c r="N54" s="21"/>
      <c r="O54" s="21"/>
      <c r="P54" s="21"/>
      <c r="Q54" s="21"/>
    </row>
    <row r="55" spans="1:26" ht="15.75" customHeight="1">
      <c r="A55" s="21" t="s">
        <v>68</v>
      </c>
      <c r="B55" s="22"/>
      <c r="C55" s="22"/>
      <c r="D55" s="23"/>
      <c r="E55" s="21"/>
      <c r="F55" s="21"/>
      <c r="G55" s="21"/>
      <c r="H55" s="22"/>
      <c r="I55" s="21"/>
      <c r="J55" s="21"/>
      <c r="K55" s="53"/>
      <c r="L55" s="21"/>
      <c r="M55" s="21"/>
      <c r="N55" s="21"/>
      <c r="O55" s="21"/>
      <c r="P55" s="21"/>
      <c r="Q55" s="21"/>
    </row>
    <row r="56" spans="1:26" ht="15.75" customHeight="1">
      <c r="B56" s="54"/>
      <c r="C56" s="54"/>
      <c r="D56" s="55"/>
      <c r="E56" s="51"/>
      <c r="F56" s="51"/>
      <c r="G56" s="51"/>
      <c r="H56" s="54"/>
      <c r="I56" s="51"/>
      <c r="J56" s="51"/>
      <c r="K56" s="51"/>
      <c r="L56" s="21"/>
      <c r="M56" s="51"/>
      <c r="N56" s="51"/>
      <c r="O56" s="21"/>
      <c r="P56" s="21"/>
      <c r="Q56" s="21"/>
    </row>
    <row r="57" spans="1:26" ht="15.75" customHeight="1">
      <c r="B57" s="22"/>
      <c r="C57" s="22"/>
      <c r="D57" s="23"/>
      <c r="E57" s="21"/>
      <c r="F57" s="21"/>
      <c r="G57" s="21"/>
      <c r="H57" s="22"/>
      <c r="I57" s="21"/>
      <c r="J57" s="21"/>
      <c r="K57" s="53"/>
      <c r="L57" s="21"/>
      <c r="M57" s="21"/>
      <c r="N57" s="21"/>
      <c r="O57" s="21"/>
      <c r="P57" s="21"/>
      <c r="Q57" s="21"/>
    </row>
    <row r="58" spans="1:26" ht="15.75" customHeight="1">
      <c r="B58" s="22"/>
      <c r="C58" s="22"/>
      <c r="D58" s="23"/>
      <c r="E58" s="21"/>
      <c r="F58" s="21"/>
      <c r="G58" s="21"/>
      <c r="H58" s="22"/>
      <c r="I58" s="21"/>
      <c r="J58" s="21"/>
      <c r="K58" s="53"/>
      <c r="L58" s="21"/>
      <c r="M58" s="21"/>
      <c r="N58" s="21"/>
      <c r="O58" s="21"/>
      <c r="P58" s="21"/>
      <c r="Q58" s="21"/>
    </row>
    <row r="59" spans="1:26" ht="15.75" customHeight="1">
      <c r="B59" s="22"/>
      <c r="C59" s="22"/>
      <c r="D59" s="23"/>
      <c r="E59" s="21"/>
      <c r="F59" s="21"/>
      <c r="G59" s="21"/>
      <c r="H59" s="22"/>
      <c r="I59" s="21"/>
      <c r="J59" s="21"/>
      <c r="K59" s="21"/>
      <c r="L59" s="21"/>
      <c r="M59" s="21"/>
      <c r="N59" s="21"/>
      <c r="O59" s="21"/>
      <c r="P59" s="21"/>
      <c r="Q59" s="21"/>
    </row>
    <row r="60" spans="1:26" ht="15.75" customHeight="1">
      <c r="B60" s="22"/>
      <c r="C60" s="22"/>
      <c r="D60" s="23"/>
      <c r="E60" s="21"/>
      <c r="F60" s="21"/>
      <c r="G60" s="21"/>
      <c r="H60" s="22"/>
      <c r="I60" s="21"/>
      <c r="J60" s="21"/>
      <c r="K60" s="21"/>
      <c r="L60" s="21"/>
      <c r="M60" s="21"/>
      <c r="N60" s="21"/>
      <c r="O60" s="21"/>
      <c r="P60" s="21"/>
      <c r="Q60" s="21"/>
    </row>
    <row r="61" spans="1:26" ht="15.75" customHeight="1">
      <c r="B61" s="22"/>
      <c r="C61" s="56"/>
      <c r="D61" s="23"/>
      <c r="E61" s="21"/>
      <c r="F61" s="21"/>
      <c r="G61" s="21"/>
      <c r="H61" s="22"/>
      <c r="I61" s="21"/>
      <c r="J61" s="21"/>
      <c r="K61" s="21"/>
      <c r="L61" s="21"/>
      <c r="M61" s="21"/>
      <c r="N61" s="21"/>
      <c r="O61" s="21"/>
      <c r="P61" s="21"/>
      <c r="Q61" s="21"/>
    </row>
    <row r="62" spans="1:26" ht="15.75" customHeight="1">
      <c r="B62" s="22"/>
      <c r="C62" s="57"/>
      <c r="D62" s="23"/>
      <c r="E62" s="21"/>
      <c r="F62" s="21"/>
      <c r="G62" s="21"/>
      <c r="H62" s="22"/>
      <c r="I62" s="21"/>
      <c r="J62" s="21"/>
      <c r="K62" s="21"/>
      <c r="L62" s="21"/>
      <c r="M62" s="21"/>
      <c r="N62" s="21"/>
      <c r="O62" s="21"/>
      <c r="P62" s="21"/>
      <c r="Q62" s="21"/>
    </row>
    <row r="63" spans="1:26" ht="15.75" customHeight="1">
      <c r="A63" s="22"/>
      <c r="B63" s="22"/>
      <c r="C63" s="57"/>
      <c r="D63" s="23"/>
      <c r="E63" s="21"/>
      <c r="F63" s="21"/>
      <c r="G63" s="21"/>
      <c r="H63" s="22"/>
      <c r="I63" s="21"/>
      <c r="J63" s="21"/>
      <c r="K63" s="21"/>
      <c r="L63" s="21"/>
      <c r="M63" s="21"/>
      <c r="N63" s="21"/>
      <c r="O63" s="21"/>
      <c r="P63" s="21"/>
      <c r="Q63" s="21"/>
    </row>
    <row r="64" spans="1:26" ht="15.75" customHeight="1">
      <c r="A64" s="21"/>
      <c r="B64" s="22"/>
      <c r="C64" s="57"/>
      <c r="D64" s="23"/>
      <c r="E64" s="21"/>
      <c r="F64" s="21"/>
      <c r="G64" s="21"/>
      <c r="H64" s="22"/>
      <c r="I64" s="21"/>
      <c r="J64" s="21"/>
      <c r="K64" s="21"/>
      <c r="L64" s="21"/>
      <c r="M64" s="21"/>
      <c r="N64" s="21"/>
      <c r="O64" s="21"/>
      <c r="P64" s="21"/>
      <c r="Q64" s="21"/>
    </row>
    <row r="65" spans="1:17" ht="15.75" customHeight="1">
      <c r="A65" s="21"/>
      <c r="B65" s="22"/>
      <c r="C65" s="57"/>
      <c r="D65" s="23"/>
      <c r="E65" s="21"/>
      <c r="F65" s="21"/>
      <c r="G65" s="21"/>
      <c r="H65" s="22"/>
      <c r="I65" s="21"/>
      <c r="J65" s="21"/>
      <c r="K65" s="21"/>
      <c r="L65" s="21"/>
      <c r="M65" s="21"/>
      <c r="N65" s="21"/>
      <c r="O65" s="21"/>
      <c r="P65" s="21"/>
      <c r="Q65" s="21"/>
    </row>
    <row r="66" spans="1:17" ht="15.75" customHeight="1">
      <c r="A66" s="21"/>
      <c r="B66" s="22"/>
      <c r="C66" s="22"/>
      <c r="D66" s="23"/>
      <c r="E66" s="21"/>
      <c r="F66" s="21"/>
      <c r="G66" s="21"/>
      <c r="H66" s="22"/>
      <c r="I66" s="21"/>
      <c r="J66" s="21"/>
      <c r="K66" s="21"/>
      <c r="L66" s="21"/>
      <c r="M66" s="21"/>
      <c r="N66" s="21"/>
      <c r="O66" s="21"/>
      <c r="P66" s="21"/>
      <c r="Q66" s="21"/>
    </row>
    <row r="67" spans="1:17" ht="15.75" customHeight="1">
      <c r="A67" s="21"/>
      <c r="B67" s="22"/>
      <c r="C67" s="22"/>
      <c r="D67" s="23"/>
      <c r="E67" s="21"/>
      <c r="F67" s="21"/>
      <c r="G67" s="21"/>
      <c r="H67" s="22"/>
      <c r="I67" s="21"/>
      <c r="J67" s="21"/>
      <c r="K67" s="21"/>
      <c r="L67" s="21"/>
      <c r="M67" s="21"/>
      <c r="N67" s="21"/>
      <c r="O67" s="21"/>
      <c r="P67" s="21"/>
      <c r="Q67" s="21"/>
    </row>
    <row r="68" spans="1:17" ht="15.75" customHeight="1">
      <c r="A68" s="21"/>
      <c r="B68" s="22"/>
      <c r="C68" s="22"/>
      <c r="D68" s="23"/>
      <c r="E68" s="21"/>
      <c r="F68" s="21"/>
      <c r="G68" s="21"/>
      <c r="H68" s="22"/>
      <c r="I68" s="21"/>
      <c r="J68" s="21"/>
      <c r="K68" s="21"/>
      <c r="L68" s="21"/>
      <c r="M68" s="21"/>
      <c r="N68" s="21"/>
      <c r="O68" s="21"/>
      <c r="P68" s="21"/>
      <c r="Q68" s="21"/>
    </row>
    <row r="69" spans="1:17" ht="15.75" customHeight="1">
      <c r="A69" s="21"/>
      <c r="B69" s="22"/>
      <c r="C69" s="22"/>
      <c r="D69" s="23"/>
      <c r="E69" s="21"/>
      <c r="F69" s="21"/>
      <c r="G69" s="21"/>
      <c r="H69" s="22"/>
      <c r="I69" s="21"/>
      <c r="J69" s="21"/>
      <c r="K69" s="21"/>
      <c r="L69" s="21"/>
      <c r="M69" s="21"/>
      <c r="N69" s="21"/>
      <c r="O69" s="21"/>
      <c r="P69" s="21"/>
      <c r="Q69" s="21"/>
    </row>
    <row r="70" spans="1:17" ht="15.75" customHeight="1">
      <c r="A70" s="21"/>
      <c r="B70" s="22"/>
      <c r="C70" s="22"/>
      <c r="D70" s="23"/>
      <c r="E70" s="21"/>
      <c r="F70" s="21"/>
      <c r="G70" s="21"/>
      <c r="H70" s="22"/>
      <c r="I70" s="21"/>
      <c r="J70" s="21"/>
      <c r="K70" s="21"/>
      <c r="L70" s="21"/>
      <c r="M70" s="21"/>
      <c r="N70" s="21"/>
      <c r="O70" s="21"/>
      <c r="P70" s="21"/>
      <c r="Q70" s="21"/>
    </row>
    <row r="71" spans="1:17" ht="15.75" customHeight="1">
      <c r="A71" s="21"/>
      <c r="B71" s="22"/>
      <c r="C71" s="22"/>
      <c r="D71" s="23"/>
      <c r="E71" s="21"/>
      <c r="F71" s="21"/>
      <c r="G71" s="21"/>
      <c r="H71" s="22"/>
      <c r="I71" s="21"/>
      <c r="J71" s="21"/>
      <c r="K71" s="21"/>
      <c r="L71" s="21"/>
      <c r="M71" s="21"/>
      <c r="N71" s="21"/>
      <c r="O71" s="21"/>
      <c r="P71" s="21"/>
      <c r="Q71" s="21"/>
    </row>
    <row r="72" spans="1:17" ht="15.75" customHeight="1">
      <c r="A72" s="21"/>
      <c r="B72" s="22"/>
      <c r="C72" s="22"/>
      <c r="D72" s="23"/>
      <c r="E72" s="21"/>
      <c r="F72" s="21"/>
      <c r="G72" s="21"/>
      <c r="H72" s="22"/>
      <c r="I72" s="21"/>
      <c r="J72" s="21"/>
      <c r="K72" s="21"/>
      <c r="L72" s="21"/>
      <c r="M72" s="21"/>
      <c r="N72" s="21"/>
      <c r="O72" s="21"/>
      <c r="P72" s="21"/>
      <c r="Q72" s="21"/>
    </row>
    <row r="73" spans="1:17" ht="15.75" customHeight="1">
      <c r="A73" s="21"/>
      <c r="B73" s="22"/>
      <c r="C73" s="22"/>
      <c r="D73" s="23"/>
      <c r="E73" s="21"/>
      <c r="F73" s="21"/>
      <c r="G73" s="21"/>
      <c r="H73" s="22"/>
      <c r="I73" s="21"/>
      <c r="J73" s="21"/>
      <c r="K73" s="21"/>
      <c r="L73" s="21"/>
      <c r="M73" s="21"/>
      <c r="N73" s="21"/>
      <c r="O73" s="21"/>
      <c r="P73" s="21"/>
      <c r="Q73" s="21"/>
    </row>
    <row r="74" spans="1:17" ht="15.75" customHeight="1">
      <c r="A74" s="21"/>
      <c r="B74" s="22"/>
      <c r="C74" s="22"/>
      <c r="D74" s="23"/>
      <c r="E74" s="21"/>
      <c r="F74" s="21"/>
      <c r="G74" s="21"/>
      <c r="H74" s="22"/>
      <c r="I74" s="21"/>
      <c r="J74" s="21"/>
      <c r="K74" s="21"/>
      <c r="L74" s="21"/>
      <c r="M74" s="21"/>
      <c r="N74" s="21"/>
      <c r="O74" s="21"/>
      <c r="P74" s="21"/>
      <c r="Q74" s="21"/>
    </row>
    <row r="75" spans="1:17" ht="15.75" customHeight="1">
      <c r="A75" s="21"/>
      <c r="B75" s="22"/>
      <c r="C75" s="22"/>
      <c r="D75" s="23"/>
      <c r="E75" s="21"/>
      <c r="F75" s="21"/>
      <c r="G75" s="21"/>
      <c r="H75" s="22"/>
      <c r="I75" s="21"/>
      <c r="J75" s="21"/>
      <c r="K75" s="21"/>
      <c r="L75" s="21"/>
      <c r="M75" s="21"/>
      <c r="N75" s="21"/>
      <c r="O75" s="21"/>
      <c r="P75" s="21"/>
      <c r="Q75" s="21"/>
    </row>
    <row r="76" spans="1:17" ht="15.75" customHeight="1">
      <c r="A76" s="21"/>
      <c r="B76" s="22"/>
      <c r="C76" s="22"/>
      <c r="D76" s="23"/>
      <c r="E76" s="21"/>
      <c r="F76" s="21"/>
      <c r="G76" s="21"/>
      <c r="H76" s="22"/>
      <c r="I76" s="21"/>
      <c r="J76" s="21"/>
      <c r="K76" s="21"/>
      <c r="L76" s="21"/>
      <c r="M76" s="21"/>
      <c r="N76" s="21"/>
      <c r="O76" s="21"/>
      <c r="P76" s="21"/>
      <c r="Q76" s="21"/>
    </row>
    <row r="77" spans="1:17" ht="15.75" customHeight="1">
      <c r="A77" s="21"/>
      <c r="B77" s="22"/>
      <c r="C77" s="22"/>
      <c r="D77" s="23"/>
      <c r="E77" s="21"/>
      <c r="F77" s="21"/>
      <c r="G77" s="21"/>
      <c r="H77" s="22"/>
      <c r="I77" s="21"/>
      <c r="J77" s="21"/>
      <c r="K77" s="21"/>
      <c r="L77" s="21"/>
      <c r="M77" s="21"/>
      <c r="N77" s="21"/>
      <c r="O77" s="21"/>
      <c r="P77" s="21"/>
      <c r="Q77" s="21"/>
    </row>
    <row r="78" spans="1:17" ht="15.75" customHeight="1">
      <c r="A78" s="21"/>
      <c r="B78" s="22"/>
      <c r="C78" s="22"/>
      <c r="D78" s="23"/>
      <c r="E78" s="21"/>
      <c r="F78" s="21"/>
      <c r="G78" s="21"/>
      <c r="H78" s="22"/>
      <c r="I78" s="21"/>
      <c r="J78" s="21"/>
      <c r="K78" s="21"/>
      <c r="L78" s="21"/>
      <c r="M78" s="21"/>
      <c r="N78" s="21"/>
      <c r="O78" s="21"/>
      <c r="P78" s="21"/>
      <c r="Q78" s="21"/>
    </row>
    <row r="79" spans="1:17" ht="15.75" customHeight="1">
      <c r="A79" s="21"/>
      <c r="B79" s="22"/>
      <c r="C79" s="22"/>
      <c r="D79" s="23"/>
      <c r="E79" s="21"/>
      <c r="F79" s="21"/>
      <c r="G79" s="21"/>
      <c r="H79" s="22"/>
      <c r="I79" s="21"/>
      <c r="J79" s="21"/>
      <c r="K79" s="21"/>
      <c r="L79" s="21"/>
      <c r="M79" s="21"/>
      <c r="N79" s="21"/>
      <c r="O79" s="21"/>
      <c r="P79" s="21"/>
      <c r="Q79" s="21"/>
    </row>
    <row r="80" spans="1:17" ht="15.75" customHeight="1">
      <c r="A80" s="21"/>
      <c r="B80" s="22"/>
      <c r="C80" s="22"/>
      <c r="D80" s="23"/>
      <c r="E80" s="21"/>
      <c r="F80" s="21"/>
      <c r="G80" s="21"/>
      <c r="H80" s="22"/>
      <c r="I80" s="21"/>
      <c r="J80" s="21"/>
      <c r="K80" s="21"/>
      <c r="L80" s="21"/>
      <c r="M80" s="21"/>
      <c r="N80" s="21"/>
      <c r="O80" s="21"/>
      <c r="P80" s="21"/>
      <c r="Q80" s="21"/>
    </row>
    <row r="81" spans="1:17" ht="15.75" customHeight="1">
      <c r="A81" s="21"/>
      <c r="B81" s="22"/>
      <c r="C81" s="22"/>
      <c r="D81" s="23"/>
      <c r="E81" s="21"/>
      <c r="F81" s="21"/>
      <c r="G81" s="21"/>
      <c r="H81" s="22"/>
      <c r="I81" s="21"/>
      <c r="J81" s="21"/>
      <c r="K81" s="21"/>
      <c r="L81" s="21"/>
      <c r="M81" s="21"/>
      <c r="N81" s="21"/>
      <c r="O81" s="21"/>
      <c r="P81" s="21"/>
      <c r="Q81" s="21"/>
    </row>
    <row r="82" spans="1:17" ht="15.75" customHeight="1">
      <c r="A82" s="21"/>
      <c r="B82" s="22"/>
      <c r="C82" s="22"/>
      <c r="D82" s="23"/>
      <c r="E82" s="21"/>
      <c r="F82" s="21"/>
      <c r="G82" s="21"/>
      <c r="H82" s="22"/>
      <c r="I82" s="21"/>
      <c r="J82" s="21"/>
      <c r="K82" s="21"/>
      <c r="L82" s="21"/>
      <c r="M82" s="21"/>
      <c r="N82" s="21"/>
      <c r="O82" s="21"/>
      <c r="P82" s="21"/>
      <c r="Q82" s="21"/>
    </row>
    <row r="83" spans="1:17" ht="15.75" customHeight="1">
      <c r="A83" s="21"/>
      <c r="B83" s="22"/>
      <c r="C83" s="22"/>
      <c r="D83" s="23"/>
      <c r="E83" s="21"/>
      <c r="F83" s="21"/>
      <c r="G83" s="21"/>
      <c r="H83" s="22"/>
      <c r="I83" s="21"/>
      <c r="J83" s="21"/>
      <c r="K83" s="21"/>
      <c r="L83" s="21"/>
      <c r="M83" s="21"/>
      <c r="N83" s="21"/>
      <c r="O83" s="21"/>
      <c r="P83" s="21"/>
      <c r="Q83" s="21"/>
    </row>
    <row r="84" spans="1:17" ht="15.75" customHeight="1">
      <c r="A84" s="21"/>
      <c r="B84" s="22"/>
      <c r="C84" s="22"/>
      <c r="D84" s="23"/>
      <c r="E84" s="21"/>
      <c r="F84" s="21"/>
      <c r="G84" s="21"/>
      <c r="H84" s="22"/>
      <c r="I84" s="21"/>
      <c r="J84" s="21"/>
      <c r="K84" s="21"/>
      <c r="L84" s="21"/>
      <c r="M84" s="21"/>
      <c r="N84" s="21"/>
      <c r="O84" s="21"/>
      <c r="P84" s="21"/>
      <c r="Q84" s="21"/>
    </row>
    <row r="85" spans="1:17" ht="15.75" customHeight="1">
      <c r="A85" s="21"/>
      <c r="B85" s="22"/>
      <c r="C85" s="22"/>
      <c r="D85" s="23"/>
      <c r="E85" s="21"/>
      <c r="F85" s="21"/>
      <c r="G85" s="21"/>
      <c r="H85" s="22"/>
      <c r="I85" s="21"/>
      <c r="J85" s="21"/>
      <c r="K85" s="21"/>
      <c r="L85" s="21"/>
      <c r="M85" s="21"/>
      <c r="N85" s="21"/>
      <c r="O85" s="21"/>
      <c r="P85" s="21"/>
      <c r="Q85" s="21"/>
    </row>
    <row r="86" spans="1:17" ht="15.75" customHeight="1">
      <c r="A86" s="21"/>
      <c r="B86" s="22"/>
      <c r="C86" s="22"/>
      <c r="D86" s="23"/>
      <c r="E86" s="21"/>
      <c r="F86" s="21"/>
      <c r="G86" s="21"/>
      <c r="H86" s="22"/>
      <c r="I86" s="21"/>
      <c r="J86" s="21"/>
      <c r="K86" s="21"/>
      <c r="L86" s="21"/>
      <c r="M86" s="21"/>
      <c r="N86" s="21"/>
      <c r="O86" s="21"/>
      <c r="P86" s="21"/>
      <c r="Q86" s="21"/>
    </row>
    <row r="87" spans="1:17" ht="15.75" customHeight="1">
      <c r="A87" s="21"/>
      <c r="B87" s="22"/>
      <c r="C87" s="22"/>
      <c r="D87" s="23"/>
      <c r="E87" s="21"/>
      <c r="F87" s="21"/>
      <c r="G87" s="21"/>
      <c r="H87" s="22"/>
      <c r="I87" s="21"/>
      <c r="J87" s="21"/>
      <c r="K87" s="21"/>
      <c r="L87" s="21"/>
      <c r="M87" s="21"/>
      <c r="N87" s="21"/>
      <c r="O87" s="21"/>
      <c r="P87" s="21"/>
      <c r="Q87" s="21"/>
    </row>
    <row r="88" spans="1:17" ht="15.75" customHeight="1">
      <c r="A88" s="21"/>
      <c r="B88" s="22"/>
      <c r="C88" s="22"/>
      <c r="D88" s="23"/>
      <c r="E88" s="21"/>
      <c r="F88" s="21"/>
      <c r="G88" s="21"/>
      <c r="H88" s="22"/>
      <c r="I88" s="21"/>
      <c r="J88" s="21"/>
      <c r="K88" s="21"/>
      <c r="L88" s="21"/>
      <c r="M88" s="21"/>
      <c r="N88" s="21"/>
      <c r="O88" s="21"/>
      <c r="P88" s="21"/>
      <c r="Q88" s="21"/>
    </row>
    <row r="89" spans="1:17" ht="15.75" customHeight="1">
      <c r="A89" s="21"/>
      <c r="B89" s="22"/>
      <c r="C89" s="22"/>
      <c r="D89" s="23"/>
      <c r="E89" s="21"/>
      <c r="F89" s="21"/>
      <c r="G89" s="21"/>
      <c r="H89" s="22"/>
      <c r="I89" s="21"/>
      <c r="J89" s="21"/>
      <c r="K89" s="21"/>
      <c r="L89" s="21"/>
      <c r="M89" s="21"/>
      <c r="N89" s="21"/>
      <c r="O89" s="21"/>
      <c r="P89" s="21"/>
      <c r="Q89" s="21"/>
    </row>
    <row r="90" spans="1:17" ht="15.75" customHeight="1">
      <c r="A90" s="21"/>
      <c r="B90" s="22"/>
      <c r="C90" s="22"/>
      <c r="D90" s="23"/>
      <c r="E90" s="21"/>
      <c r="F90" s="21"/>
      <c r="G90" s="21"/>
      <c r="H90" s="22"/>
      <c r="I90" s="21"/>
      <c r="J90" s="21"/>
      <c r="K90" s="21"/>
      <c r="L90" s="21"/>
      <c r="M90" s="21"/>
      <c r="N90" s="21"/>
      <c r="O90" s="21"/>
      <c r="P90" s="21"/>
      <c r="Q90" s="21"/>
    </row>
    <row r="91" spans="1:17" ht="15.75" customHeight="1">
      <c r="A91" s="21"/>
      <c r="B91" s="22"/>
      <c r="C91" s="22"/>
      <c r="D91" s="23"/>
      <c r="E91" s="21"/>
      <c r="F91" s="21"/>
      <c r="G91" s="21"/>
      <c r="H91" s="22"/>
      <c r="I91" s="21"/>
      <c r="J91" s="21"/>
      <c r="K91" s="21"/>
      <c r="L91" s="21"/>
      <c r="M91" s="21"/>
      <c r="N91" s="21"/>
      <c r="O91" s="21"/>
      <c r="P91" s="21"/>
      <c r="Q91" s="21"/>
    </row>
    <row r="92" spans="1:17" ht="15.75" customHeight="1">
      <c r="A92" s="21"/>
      <c r="B92" s="22"/>
      <c r="C92" s="22"/>
      <c r="D92" s="23"/>
      <c r="E92" s="21"/>
      <c r="F92" s="21"/>
      <c r="G92" s="21"/>
      <c r="H92" s="22"/>
      <c r="I92" s="21"/>
      <c r="J92" s="21"/>
      <c r="K92" s="21"/>
      <c r="L92" s="21"/>
      <c r="M92" s="21"/>
      <c r="N92" s="21"/>
      <c r="O92" s="21"/>
      <c r="P92" s="21"/>
      <c r="Q92" s="21"/>
    </row>
    <row r="93" spans="1:17" ht="15.75" customHeight="1">
      <c r="A93" s="21"/>
      <c r="B93" s="22"/>
      <c r="C93" s="22"/>
      <c r="D93" s="23"/>
      <c r="E93" s="21"/>
      <c r="F93" s="21"/>
      <c r="G93" s="21"/>
      <c r="H93" s="22"/>
      <c r="I93" s="21"/>
      <c r="J93" s="21"/>
      <c r="K93" s="21"/>
      <c r="L93" s="21"/>
      <c r="M93" s="21"/>
      <c r="N93" s="21"/>
      <c r="O93" s="21"/>
      <c r="P93" s="21"/>
      <c r="Q93" s="21"/>
    </row>
    <row r="94" spans="1:17" ht="15.75" customHeight="1">
      <c r="A94" s="21"/>
      <c r="B94" s="22"/>
      <c r="C94" s="22"/>
      <c r="D94" s="23"/>
      <c r="E94" s="21"/>
      <c r="F94" s="21"/>
      <c r="G94" s="21"/>
      <c r="H94" s="22"/>
      <c r="I94" s="21"/>
      <c r="J94" s="21"/>
      <c r="K94" s="21"/>
      <c r="L94" s="21"/>
      <c r="M94" s="21"/>
      <c r="N94" s="21"/>
      <c r="O94" s="21"/>
      <c r="P94" s="21"/>
      <c r="Q94" s="21"/>
    </row>
    <row r="95" spans="1:17" ht="15.75" customHeight="1">
      <c r="A95" s="21"/>
      <c r="B95" s="22"/>
      <c r="C95" s="22"/>
      <c r="D95" s="23"/>
      <c r="E95" s="21"/>
      <c r="F95" s="21"/>
      <c r="G95" s="21"/>
      <c r="H95" s="22"/>
      <c r="I95" s="21"/>
      <c r="J95" s="21"/>
      <c r="K95" s="21"/>
      <c r="L95" s="21"/>
      <c r="M95" s="21"/>
      <c r="N95" s="21"/>
      <c r="O95" s="21"/>
      <c r="P95" s="21"/>
      <c r="Q95" s="21"/>
    </row>
    <row r="96" spans="1:17" ht="15.75" customHeight="1">
      <c r="A96" s="21"/>
      <c r="B96" s="22"/>
      <c r="C96" s="22"/>
      <c r="D96" s="23"/>
      <c r="E96" s="21"/>
      <c r="F96" s="21"/>
      <c r="G96" s="21"/>
      <c r="H96" s="22"/>
      <c r="I96" s="21"/>
      <c r="J96" s="21"/>
      <c r="K96" s="21"/>
      <c r="L96" s="21"/>
      <c r="M96" s="21"/>
      <c r="N96" s="21"/>
      <c r="O96" s="21"/>
      <c r="P96" s="21"/>
      <c r="Q96" s="21"/>
    </row>
    <row r="97" spans="1:17" ht="15.75" customHeight="1">
      <c r="A97" s="21"/>
      <c r="B97" s="22"/>
      <c r="C97" s="22"/>
      <c r="D97" s="23"/>
      <c r="E97" s="21"/>
      <c r="F97" s="21"/>
      <c r="G97" s="21"/>
      <c r="H97" s="22"/>
      <c r="I97" s="21"/>
      <c r="J97" s="21"/>
      <c r="K97" s="21"/>
      <c r="L97" s="21"/>
      <c r="M97" s="21"/>
      <c r="N97" s="21"/>
      <c r="O97" s="21"/>
      <c r="P97" s="21"/>
      <c r="Q97" s="21"/>
    </row>
    <row r="98" spans="1:17" ht="15.75" customHeight="1">
      <c r="A98" s="21"/>
      <c r="B98" s="22"/>
      <c r="C98" s="22"/>
      <c r="D98" s="23"/>
      <c r="E98" s="21"/>
      <c r="F98" s="21"/>
      <c r="G98" s="21"/>
      <c r="H98" s="22"/>
      <c r="I98" s="21"/>
      <c r="J98" s="21"/>
      <c r="K98" s="21"/>
      <c r="L98" s="21"/>
      <c r="M98" s="21"/>
      <c r="N98" s="21"/>
      <c r="O98" s="21"/>
      <c r="P98" s="21"/>
      <c r="Q98" s="21"/>
    </row>
    <row r="99" spans="1:17" ht="15.75" customHeight="1">
      <c r="A99" s="21"/>
      <c r="B99" s="22"/>
      <c r="C99" s="22"/>
      <c r="D99" s="23"/>
      <c r="E99" s="21"/>
      <c r="F99" s="21"/>
      <c r="G99" s="21"/>
      <c r="H99" s="22"/>
      <c r="I99" s="21"/>
      <c r="J99" s="21"/>
      <c r="K99" s="21"/>
      <c r="L99" s="21"/>
      <c r="M99" s="21"/>
      <c r="N99" s="21"/>
      <c r="O99" s="21"/>
      <c r="P99" s="21"/>
      <c r="Q99" s="21"/>
    </row>
    <row r="100" spans="1:17" ht="15.75" customHeight="1">
      <c r="A100" s="21"/>
      <c r="B100" s="22"/>
      <c r="C100" s="22"/>
      <c r="D100" s="23"/>
      <c r="E100" s="21"/>
      <c r="F100" s="21"/>
      <c r="G100" s="21"/>
      <c r="H100" s="22"/>
      <c r="I100" s="21"/>
      <c r="J100" s="21"/>
      <c r="K100" s="21"/>
      <c r="L100" s="21"/>
      <c r="M100" s="21"/>
      <c r="N100" s="21"/>
      <c r="O100" s="21"/>
      <c r="P100" s="21"/>
      <c r="Q100" s="21"/>
    </row>
    <row r="101" spans="1:17" ht="15.75" customHeight="1">
      <c r="A101" s="21"/>
      <c r="B101" s="22"/>
      <c r="C101" s="22"/>
      <c r="D101" s="23"/>
      <c r="E101" s="21"/>
      <c r="F101" s="21"/>
      <c r="G101" s="21"/>
      <c r="H101" s="22"/>
      <c r="I101" s="21"/>
      <c r="J101" s="21"/>
      <c r="K101" s="21"/>
      <c r="L101" s="21"/>
      <c r="M101" s="21"/>
      <c r="N101" s="21"/>
      <c r="O101" s="21"/>
      <c r="P101" s="21"/>
      <c r="Q101" s="21"/>
    </row>
    <row r="102" spans="1:17" ht="15.75" customHeight="1">
      <c r="A102" s="21"/>
      <c r="B102" s="22"/>
      <c r="C102" s="22"/>
      <c r="D102" s="23"/>
      <c r="E102" s="21"/>
      <c r="F102" s="21"/>
      <c r="G102" s="21"/>
      <c r="H102" s="22"/>
      <c r="I102" s="21"/>
      <c r="J102" s="21"/>
      <c r="K102" s="21"/>
      <c r="L102" s="21"/>
      <c r="M102" s="21"/>
      <c r="N102" s="21"/>
      <c r="O102" s="21"/>
      <c r="P102" s="21"/>
      <c r="Q102" s="21"/>
    </row>
    <row r="103" spans="1:17" ht="15.75" customHeight="1">
      <c r="A103" s="21"/>
      <c r="B103" s="22"/>
      <c r="C103" s="22"/>
      <c r="D103" s="23"/>
      <c r="E103" s="21"/>
      <c r="F103" s="21"/>
      <c r="G103" s="21"/>
      <c r="H103" s="22"/>
      <c r="I103" s="21"/>
      <c r="J103" s="21"/>
      <c r="K103" s="21"/>
      <c r="L103" s="21"/>
      <c r="M103" s="21"/>
      <c r="N103" s="21"/>
      <c r="O103" s="21"/>
      <c r="P103" s="21"/>
      <c r="Q103" s="21"/>
    </row>
    <row r="104" spans="1:17" ht="15.75" customHeight="1">
      <c r="A104" s="21"/>
      <c r="B104" s="22"/>
      <c r="C104" s="22"/>
      <c r="D104" s="23"/>
      <c r="E104" s="21"/>
      <c r="F104" s="21"/>
      <c r="G104" s="21"/>
      <c r="H104" s="22"/>
      <c r="I104" s="21"/>
      <c r="J104" s="21"/>
      <c r="K104" s="21"/>
      <c r="L104" s="21"/>
      <c r="M104" s="21"/>
      <c r="N104" s="21"/>
      <c r="O104" s="21"/>
      <c r="P104" s="21"/>
      <c r="Q104" s="21"/>
    </row>
    <row r="105" spans="1:17" ht="15.75" customHeight="1">
      <c r="A105" s="21"/>
      <c r="B105" s="22"/>
      <c r="C105" s="22"/>
      <c r="D105" s="23"/>
      <c r="E105" s="21"/>
      <c r="F105" s="21"/>
      <c r="G105" s="21"/>
      <c r="H105" s="22"/>
      <c r="I105" s="21"/>
      <c r="J105" s="21"/>
      <c r="K105" s="21"/>
      <c r="L105" s="21"/>
      <c r="M105" s="21"/>
      <c r="N105" s="21"/>
      <c r="O105" s="21"/>
      <c r="P105" s="21"/>
      <c r="Q105" s="21"/>
    </row>
    <row r="106" spans="1:17" ht="15.75" customHeight="1">
      <c r="A106" s="21"/>
      <c r="B106" s="22"/>
      <c r="C106" s="22"/>
      <c r="D106" s="23"/>
      <c r="E106" s="21"/>
      <c r="F106" s="21"/>
      <c r="G106" s="21"/>
      <c r="H106" s="22"/>
      <c r="I106" s="21"/>
      <c r="J106" s="21"/>
      <c r="K106" s="21"/>
      <c r="L106" s="21"/>
      <c r="M106" s="21"/>
      <c r="N106" s="21"/>
      <c r="O106" s="21"/>
      <c r="P106" s="21"/>
      <c r="Q106" s="21"/>
    </row>
    <row r="107" spans="1:17" ht="15.75" customHeight="1">
      <c r="A107" s="21"/>
      <c r="B107" s="22"/>
      <c r="C107" s="22"/>
      <c r="D107" s="23"/>
      <c r="E107" s="21"/>
      <c r="F107" s="21"/>
      <c r="G107" s="21"/>
      <c r="H107" s="22"/>
      <c r="I107" s="21"/>
      <c r="J107" s="21"/>
      <c r="K107" s="21"/>
      <c r="L107" s="21"/>
      <c r="M107" s="21"/>
      <c r="N107" s="21"/>
      <c r="O107" s="21"/>
      <c r="P107" s="21"/>
      <c r="Q107" s="21"/>
    </row>
    <row r="108" spans="1:17" ht="15.75" customHeight="1">
      <c r="A108" s="21"/>
      <c r="B108" s="22"/>
      <c r="C108" s="22"/>
      <c r="D108" s="23"/>
      <c r="E108" s="21"/>
      <c r="F108" s="21"/>
      <c r="G108" s="21"/>
      <c r="H108" s="22"/>
      <c r="I108" s="21"/>
      <c r="J108" s="21"/>
      <c r="K108" s="21"/>
      <c r="L108" s="21"/>
      <c r="M108" s="21"/>
      <c r="N108" s="21"/>
      <c r="O108" s="21"/>
      <c r="P108" s="21"/>
      <c r="Q108" s="21"/>
    </row>
    <row r="109" spans="1:17" ht="15.75" customHeight="1">
      <c r="A109" s="21"/>
      <c r="B109" s="22"/>
      <c r="C109" s="22"/>
      <c r="D109" s="23"/>
      <c r="E109" s="21"/>
      <c r="F109" s="21"/>
      <c r="G109" s="21"/>
      <c r="H109" s="22"/>
      <c r="I109" s="21"/>
      <c r="J109" s="21"/>
      <c r="K109" s="21"/>
      <c r="L109" s="21"/>
      <c r="M109" s="21"/>
      <c r="N109" s="21"/>
      <c r="O109" s="21"/>
      <c r="P109" s="21"/>
      <c r="Q109" s="21"/>
    </row>
    <row r="110" spans="1:17" ht="15.75" customHeight="1">
      <c r="A110" s="21"/>
      <c r="B110" s="22"/>
      <c r="C110" s="22"/>
      <c r="D110" s="23"/>
      <c r="E110" s="21"/>
      <c r="F110" s="21"/>
      <c r="G110" s="21"/>
      <c r="H110" s="22"/>
      <c r="I110" s="21"/>
      <c r="J110" s="21"/>
      <c r="K110" s="21"/>
      <c r="L110" s="21"/>
      <c r="M110" s="21"/>
      <c r="N110" s="21"/>
      <c r="O110" s="21"/>
      <c r="P110" s="21"/>
      <c r="Q110" s="21"/>
    </row>
    <row r="111" spans="1:17" ht="15.75" customHeight="1">
      <c r="A111" s="21"/>
      <c r="B111" s="22"/>
      <c r="C111" s="22"/>
      <c r="D111" s="23"/>
      <c r="E111" s="21"/>
      <c r="F111" s="21"/>
      <c r="G111" s="21"/>
      <c r="H111" s="22"/>
      <c r="I111" s="21"/>
      <c r="J111" s="21"/>
      <c r="K111" s="21"/>
      <c r="L111" s="21"/>
      <c r="M111" s="21"/>
      <c r="N111" s="21"/>
      <c r="O111" s="21"/>
      <c r="P111" s="21"/>
      <c r="Q111" s="21"/>
    </row>
    <row r="112" spans="1:17" ht="15.75" customHeight="1">
      <c r="A112" s="21"/>
      <c r="B112" s="22"/>
      <c r="C112" s="22"/>
      <c r="D112" s="23"/>
      <c r="E112" s="21"/>
      <c r="F112" s="21"/>
      <c r="G112" s="21"/>
      <c r="H112" s="22"/>
      <c r="I112" s="21"/>
      <c r="J112" s="21"/>
      <c r="K112" s="21"/>
      <c r="L112" s="21"/>
      <c r="M112" s="21"/>
      <c r="N112" s="21"/>
      <c r="O112" s="21"/>
      <c r="P112" s="21"/>
      <c r="Q112" s="21"/>
    </row>
    <row r="113" spans="1:17" ht="15.75" customHeight="1">
      <c r="A113" s="21"/>
      <c r="B113" s="22"/>
      <c r="C113" s="22"/>
      <c r="D113" s="23"/>
      <c r="E113" s="21"/>
      <c r="F113" s="21"/>
      <c r="G113" s="21"/>
      <c r="H113" s="22"/>
      <c r="I113" s="21"/>
      <c r="J113" s="21"/>
      <c r="K113" s="21"/>
      <c r="L113" s="21"/>
      <c r="M113" s="21"/>
      <c r="N113" s="21"/>
      <c r="O113" s="21"/>
      <c r="P113" s="21"/>
      <c r="Q113" s="21"/>
    </row>
    <row r="114" spans="1:17" ht="15.75" customHeight="1">
      <c r="A114" s="21"/>
      <c r="B114" s="22"/>
      <c r="C114" s="22"/>
      <c r="D114" s="23"/>
      <c r="E114" s="21"/>
      <c r="F114" s="21"/>
      <c r="G114" s="21"/>
      <c r="H114" s="22"/>
      <c r="I114" s="21"/>
      <c r="J114" s="21"/>
      <c r="K114" s="21"/>
      <c r="L114" s="21"/>
      <c r="M114" s="21"/>
      <c r="N114" s="21"/>
      <c r="O114" s="21"/>
      <c r="P114" s="21"/>
      <c r="Q114" s="21"/>
    </row>
    <row r="115" spans="1:17" ht="15.75" customHeight="1">
      <c r="A115" s="21"/>
      <c r="B115" s="22"/>
      <c r="C115" s="22"/>
      <c r="D115" s="23"/>
      <c r="E115" s="21"/>
      <c r="F115" s="21"/>
      <c r="G115" s="21"/>
      <c r="H115" s="22"/>
      <c r="I115" s="21"/>
      <c r="J115" s="21"/>
      <c r="K115" s="21"/>
      <c r="L115" s="21"/>
      <c r="M115" s="21"/>
      <c r="N115" s="21"/>
      <c r="O115" s="21"/>
      <c r="P115" s="21"/>
      <c r="Q115" s="21"/>
    </row>
    <row r="116" spans="1:17" ht="15.75" customHeight="1">
      <c r="A116" s="21"/>
      <c r="B116" s="22"/>
      <c r="C116" s="22"/>
      <c r="D116" s="23"/>
      <c r="E116" s="21"/>
      <c r="F116" s="21"/>
      <c r="G116" s="21"/>
      <c r="H116" s="22"/>
      <c r="I116" s="21"/>
      <c r="J116" s="21"/>
      <c r="K116" s="21"/>
      <c r="L116" s="21"/>
      <c r="M116" s="21"/>
      <c r="N116" s="21"/>
      <c r="O116" s="21"/>
      <c r="P116" s="21"/>
      <c r="Q116" s="21"/>
    </row>
    <row r="117" spans="1:17" ht="15.75" customHeight="1">
      <c r="A117" s="21"/>
      <c r="B117" s="22"/>
      <c r="C117" s="22"/>
      <c r="D117" s="23"/>
      <c r="E117" s="21"/>
      <c r="F117" s="21"/>
      <c r="G117" s="21"/>
      <c r="H117" s="22"/>
      <c r="I117" s="21"/>
      <c r="J117" s="21"/>
      <c r="K117" s="21"/>
      <c r="L117" s="21"/>
      <c r="M117" s="21"/>
      <c r="N117" s="21"/>
      <c r="O117" s="21"/>
      <c r="P117" s="21"/>
      <c r="Q117" s="21"/>
    </row>
    <row r="118" spans="1:17" ht="15.75" customHeight="1">
      <c r="A118" s="21"/>
      <c r="B118" s="22"/>
      <c r="C118" s="22"/>
      <c r="D118" s="23"/>
      <c r="E118" s="21"/>
      <c r="F118" s="21"/>
      <c r="G118" s="21"/>
      <c r="H118" s="22"/>
      <c r="I118" s="21"/>
      <c r="J118" s="21"/>
      <c r="K118" s="21"/>
      <c r="L118" s="21"/>
      <c r="M118" s="21"/>
      <c r="N118" s="21"/>
      <c r="O118" s="21"/>
      <c r="P118" s="21"/>
      <c r="Q118" s="21"/>
    </row>
    <row r="119" spans="1:17" ht="15.75" customHeight="1">
      <c r="A119" s="21"/>
      <c r="B119" s="22"/>
      <c r="C119" s="22"/>
      <c r="D119" s="23"/>
      <c r="E119" s="21"/>
      <c r="F119" s="21"/>
      <c r="G119" s="21"/>
      <c r="H119" s="22"/>
      <c r="I119" s="21"/>
      <c r="J119" s="21"/>
      <c r="K119" s="21"/>
      <c r="L119" s="21"/>
      <c r="M119" s="21"/>
      <c r="N119" s="21"/>
      <c r="O119" s="21"/>
      <c r="P119" s="21"/>
      <c r="Q119" s="21"/>
    </row>
    <row r="120" spans="1:17" ht="15.75" customHeight="1">
      <c r="A120" s="21"/>
      <c r="B120" s="22"/>
      <c r="C120" s="22"/>
      <c r="D120" s="23"/>
      <c r="E120" s="21"/>
      <c r="F120" s="21"/>
      <c r="G120" s="21"/>
      <c r="H120" s="22"/>
      <c r="I120" s="21"/>
      <c r="J120" s="21"/>
      <c r="K120" s="21"/>
      <c r="L120" s="21"/>
      <c r="M120" s="21"/>
      <c r="N120" s="21"/>
      <c r="O120" s="21"/>
      <c r="P120" s="21"/>
      <c r="Q120" s="21"/>
    </row>
    <row r="121" spans="1:17" ht="15.75" customHeight="1">
      <c r="A121" s="21"/>
      <c r="B121" s="22"/>
      <c r="C121" s="22"/>
      <c r="D121" s="23"/>
      <c r="E121" s="21"/>
      <c r="F121" s="21"/>
      <c r="G121" s="21"/>
      <c r="H121" s="22"/>
      <c r="I121" s="21"/>
      <c r="J121" s="21"/>
      <c r="K121" s="21"/>
      <c r="L121" s="21"/>
      <c r="M121" s="21"/>
      <c r="N121" s="21"/>
      <c r="O121" s="21"/>
      <c r="P121" s="21"/>
      <c r="Q121" s="21"/>
    </row>
    <row r="122" spans="1:17" ht="15.75" customHeight="1">
      <c r="A122" s="21"/>
      <c r="B122" s="22"/>
      <c r="C122" s="22"/>
      <c r="D122" s="23"/>
      <c r="E122" s="21"/>
      <c r="F122" s="21"/>
      <c r="G122" s="21"/>
      <c r="H122" s="22"/>
      <c r="I122" s="21"/>
      <c r="J122" s="21"/>
      <c r="K122" s="21"/>
      <c r="L122" s="21"/>
      <c r="M122" s="21"/>
      <c r="N122" s="21"/>
      <c r="O122" s="21"/>
      <c r="P122" s="21"/>
      <c r="Q122" s="21"/>
    </row>
    <row r="123" spans="1:17" ht="15.75" customHeight="1">
      <c r="A123" s="21"/>
      <c r="B123" s="22"/>
      <c r="C123" s="22"/>
      <c r="D123" s="23"/>
      <c r="E123" s="21"/>
      <c r="F123" s="21"/>
      <c r="G123" s="21"/>
      <c r="H123" s="22"/>
      <c r="I123" s="21"/>
      <c r="J123" s="21"/>
      <c r="K123" s="21"/>
      <c r="L123" s="21"/>
      <c r="M123" s="21"/>
      <c r="N123" s="21"/>
      <c r="O123" s="21"/>
      <c r="P123" s="21"/>
      <c r="Q123" s="21"/>
    </row>
    <row r="124" spans="1:17" ht="15.75" customHeight="1">
      <c r="A124" s="21"/>
      <c r="B124" s="22"/>
      <c r="C124" s="22"/>
      <c r="D124" s="23"/>
      <c r="E124" s="21"/>
      <c r="F124" s="21"/>
      <c r="G124" s="21"/>
      <c r="H124" s="22"/>
      <c r="I124" s="21"/>
      <c r="J124" s="21"/>
      <c r="K124" s="21"/>
      <c r="L124" s="21"/>
      <c r="M124" s="21"/>
      <c r="N124" s="21"/>
      <c r="O124" s="21"/>
      <c r="P124" s="21"/>
      <c r="Q124" s="21"/>
    </row>
    <row r="125" spans="1:17" ht="15.75" customHeight="1">
      <c r="A125" s="21"/>
      <c r="B125" s="22"/>
      <c r="C125" s="22"/>
      <c r="D125" s="23"/>
      <c r="E125" s="21"/>
      <c r="F125" s="21"/>
      <c r="G125" s="21"/>
      <c r="H125" s="22"/>
      <c r="I125" s="21"/>
      <c r="J125" s="21"/>
      <c r="K125" s="21"/>
      <c r="L125" s="21"/>
      <c r="M125" s="21"/>
      <c r="N125" s="21"/>
      <c r="O125" s="21"/>
      <c r="P125" s="21"/>
      <c r="Q125" s="21"/>
    </row>
    <row r="126" spans="1:17" ht="15.75" customHeight="1">
      <c r="A126" s="21"/>
      <c r="B126" s="22"/>
      <c r="C126" s="22"/>
      <c r="D126" s="23"/>
      <c r="E126" s="21"/>
      <c r="F126" s="21"/>
      <c r="G126" s="21"/>
      <c r="H126" s="22"/>
      <c r="I126" s="21"/>
      <c r="J126" s="21"/>
      <c r="K126" s="21"/>
      <c r="L126" s="21"/>
      <c r="M126" s="21"/>
      <c r="N126" s="21"/>
      <c r="O126" s="21"/>
      <c r="P126" s="21"/>
      <c r="Q126" s="21"/>
    </row>
    <row r="127" spans="1:17" ht="15.75" customHeight="1">
      <c r="A127" s="21"/>
      <c r="B127" s="22"/>
      <c r="C127" s="22"/>
      <c r="D127" s="23"/>
      <c r="E127" s="21"/>
      <c r="F127" s="21"/>
      <c r="G127" s="21"/>
      <c r="H127" s="22"/>
      <c r="I127" s="21"/>
      <c r="J127" s="21"/>
      <c r="K127" s="21"/>
      <c r="L127" s="21"/>
      <c r="M127" s="21"/>
      <c r="N127" s="21"/>
      <c r="O127" s="21"/>
      <c r="P127" s="21"/>
      <c r="Q127" s="21"/>
    </row>
    <row r="128" spans="1:17" ht="15.75" customHeight="1">
      <c r="A128" s="21"/>
      <c r="B128" s="22"/>
      <c r="C128" s="22"/>
      <c r="D128" s="23"/>
      <c r="E128" s="21"/>
      <c r="F128" s="21"/>
      <c r="G128" s="21"/>
      <c r="H128" s="22"/>
      <c r="I128" s="21"/>
      <c r="J128" s="21"/>
      <c r="K128" s="21"/>
      <c r="L128" s="21"/>
      <c r="M128" s="21"/>
      <c r="N128" s="21"/>
      <c r="O128" s="21"/>
      <c r="P128" s="21"/>
      <c r="Q128" s="21"/>
    </row>
    <row r="129" spans="1:17" ht="15.75" customHeight="1">
      <c r="A129" s="21"/>
      <c r="B129" s="22"/>
      <c r="C129" s="22"/>
      <c r="D129" s="23"/>
      <c r="E129" s="21"/>
      <c r="F129" s="21"/>
      <c r="G129" s="21"/>
      <c r="H129" s="22"/>
      <c r="I129" s="21"/>
      <c r="J129" s="21"/>
      <c r="K129" s="21"/>
      <c r="L129" s="21"/>
      <c r="M129" s="21"/>
      <c r="N129" s="21"/>
      <c r="O129" s="21"/>
      <c r="P129" s="21"/>
      <c r="Q129" s="21"/>
    </row>
    <row r="130" spans="1:17" ht="15.75" customHeight="1">
      <c r="A130" s="21"/>
      <c r="B130" s="22"/>
      <c r="C130" s="22"/>
      <c r="D130" s="23"/>
      <c r="E130" s="21"/>
      <c r="F130" s="21"/>
      <c r="G130" s="21"/>
      <c r="H130" s="22"/>
      <c r="I130" s="21"/>
      <c r="J130" s="21"/>
      <c r="K130" s="21"/>
      <c r="L130" s="21"/>
      <c r="M130" s="21"/>
      <c r="N130" s="21"/>
      <c r="O130" s="21"/>
      <c r="P130" s="21"/>
      <c r="Q130" s="21"/>
    </row>
    <row r="131" spans="1:17" ht="15.75" customHeight="1">
      <c r="A131" s="21"/>
      <c r="B131" s="22"/>
      <c r="C131" s="22"/>
      <c r="D131" s="23"/>
      <c r="E131" s="21"/>
      <c r="F131" s="21"/>
      <c r="G131" s="21"/>
      <c r="H131" s="22"/>
      <c r="I131" s="21"/>
      <c r="J131" s="21"/>
      <c r="K131" s="21"/>
      <c r="L131" s="21"/>
      <c r="M131" s="21"/>
      <c r="N131" s="21"/>
      <c r="O131" s="21"/>
      <c r="P131" s="21"/>
      <c r="Q131" s="21"/>
    </row>
    <row r="132" spans="1:17" ht="15.75" customHeight="1">
      <c r="A132" s="21"/>
      <c r="B132" s="22"/>
      <c r="C132" s="22"/>
      <c r="D132" s="23"/>
      <c r="E132" s="21"/>
      <c r="F132" s="21"/>
      <c r="G132" s="21"/>
      <c r="H132" s="22"/>
      <c r="I132" s="21"/>
      <c r="J132" s="21"/>
      <c r="K132" s="21"/>
      <c r="L132" s="21"/>
      <c r="M132" s="21"/>
      <c r="N132" s="21"/>
      <c r="O132" s="21"/>
      <c r="P132" s="21"/>
      <c r="Q132" s="21"/>
    </row>
    <row r="133" spans="1:17" ht="15.75" customHeight="1">
      <c r="A133" s="21"/>
      <c r="B133" s="22"/>
      <c r="C133" s="22"/>
      <c r="D133" s="23"/>
      <c r="E133" s="21"/>
      <c r="F133" s="21"/>
      <c r="G133" s="21"/>
      <c r="H133" s="22"/>
      <c r="I133" s="21"/>
      <c r="J133" s="21"/>
      <c r="K133" s="21"/>
      <c r="L133" s="21"/>
      <c r="M133" s="21"/>
      <c r="N133" s="21"/>
      <c r="O133" s="21"/>
      <c r="P133" s="21"/>
      <c r="Q133" s="21"/>
    </row>
    <row r="134" spans="1:17" ht="15.75" customHeight="1">
      <c r="A134" s="21"/>
      <c r="B134" s="22"/>
      <c r="C134" s="22"/>
      <c r="D134" s="23"/>
      <c r="E134" s="21"/>
      <c r="F134" s="21"/>
      <c r="G134" s="21"/>
      <c r="H134" s="22"/>
      <c r="I134" s="21"/>
      <c r="J134" s="21"/>
      <c r="K134" s="21"/>
      <c r="L134" s="21"/>
      <c r="M134" s="21"/>
      <c r="N134" s="21"/>
      <c r="O134" s="21"/>
      <c r="P134" s="21"/>
      <c r="Q134" s="21"/>
    </row>
    <row r="135" spans="1:17" ht="15.75" customHeight="1">
      <c r="A135" s="21"/>
      <c r="B135" s="22"/>
      <c r="C135" s="22"/>
      <c r="D135" s="23"/>
      <c r="E135" s="21"/>
      <c r="F135" s="21"/>
      <c r="G135" s="21"/>
      <c r="H135" s="22"/>
      <c r="I135" s="21"/>
      <c r="J135" s="21"/>
      <c r="K135" s="21"/>
      <c r="L135" s="21"/>
      <c r="M135" s="21"/>
      <c r="N135" s="21"/>
      <c r="O135" s="21"/>
      <c r="P135" s="21"/>
      <c r="Q135" s="21"/>
    </row>
    <row r="136" spans="1:17" ht="15.75" customHeight="1">
      <c r="A136" s="21"/>
      <c r="B136" s="22"/>
      <c r="C136" s="22"/>
      <c r="D136" s="23"/>
      <c r="E136" s="21"/>
      <c r="F136" s="21"/>
      <c r="G136" s="21"/>
      <c r="H136" s="22"/>
      <c r="I136" s="21"/>
      <c r="J136" s="21"/>
      <c r="K136" s="21"/>
      <c r="L136" s="21"/>
      <c r="M136" s="21"/>
      <c r="N136" s="21"/>
      <c r="O136" s="21"/>
      <c r="P136" s="21"/>
      <c r="Q136" s="21"/>
    </row>
    <row r="137" spans="1:17" ht="15.75" customHeight="1">
      <c r="A137" s="21"/>
      <c r="B137" s="22"/>
      <c r="C137" s="22"/>
      <c r="D137" s="23"/>
      <c r="E137" s="21"/>
      <c r="F137" s="21"/>
      <c r="G137" s="21"/>
      <c r="H137" s="22"/>
      <c r="I137" s="21"/>
      <c r="J137" s="21"/>
      <c r="K137" s="21"/>
      <c r="L137" s="21"/>
      <c r="M137" s="21"/>
      <c r="N137" s="21"/>
      <c r="O137" s="21"/>
      <c r="P137" s="21"/>
      <c r="Q137" s="21"/>
    </row>
    <row r="138" spans="1:17" ht="15.75" customHeight="1">
      <c r="A138" s="21"/>
      <c r="B138" s="22"/>
      <c r="C138" s="22"/>
      <c r="D138" s="23"/>
      <c r="E138" s="21"/>
      <c r="F138" s="21"/>
      <c r="G138" s="21"/>
      <c r="H138" s="22"/>
      <c r="I138" s="21"/>
      <c r="J138" s="21"/>
      <c r="K138" s="21"/>
      <c r="L138" s="21"/>
      <c r="M138" s="21"/>
      <c r="N138" s="21"/>
      <c r="O138" s="21"/>
      <c r="P138" s="21"/>
      <c r="Q138" s="21"/>
    </row>
    <row r="139" spans="1:17" ht="15.75" customHeight="1">
      <c r="A139" s="21"/>
      <c r="B139" s="22"/>
      <c r="C139" s="22"/>
      <c r="D139" s="23"/>
      <c r="E139" s="21"/>
      <c r="F139" s="21"/>
      <c r="G139" s="21"/>
      <c r="H139" s="22"/>
      <c r="I139" s="21"/>
      <c r="J139" s="21"/>
      <c r="K139" s="21"/>
      <c r="L139" s="21"/>
      <c r="M139" s="21"/>
      <c r="N139" s="21"/>
      <c r="O139" s="21"/>
      <c r="P139" s="21"/>
      <c r="Q139" s="21"/>
    </row>
    <row r="140" spans="1:17" ht="15.75" customHeight="1">
      <c r="A140" s="21"/>
      <c r="B140" s="22"/>
      <c r="C140" s="22"/>
      <c r="D140" s="23"/>
      <c r="E140" s="21"/>
      <c r="F140" s="21"/>
      <c r="G140" s="21"/>
      <c r="H140" s="22"/>
      <c r="I140" s="21"/>
      <c r="J140" s="21"/>
      <c r="K140" s="21"/>
      <c r="L140" s="21"/>
      <c r="M140" s="21"/>
      <c r="N140" s="21"/>
      <c r="O140" s="21"/>
      <c r="P140" s="21"/>
      <c r="Q140" s="21"/>
    </row>
    <row r="141" spans="1:17" ht="15.75" customHeight="1">
      <c r="A141" s="21"/>
      <c r="B141" s="22"/>
      <c r="C141" s="22"/>
      <c r="D141" s="23"/>
      <c r="E141" s="21"/>
      <c r="F141" s="21"/>
      <c r="G141" s="21"/>
      <c r="H141" s="22"/>
      <c r="I141" s="21"/>
      <c r="J141" s="21"/>
      <c r="K141" s="21"/>
      <c r="L141" s="21"/>
      <c r="M141" s="21"/>
      <c r="N141" s="21"/>
      <c r="O141" s="21"/>
      <c r="P141" s="21"/>
      <c r="Q141" s="21"/>
    </row>
    <row r="142" spans="1:17" ht="15.75" customHeight="1">
      <c r="A142" s="21"/>
      <c r="B142" s="22"/>
      <c r="C142" s="22"/>
      <c r="D142" s="23"/>
      <c r="E142" s="21"/>
      <c r="F142" s="21"/>
      <c r="G142" s="21"/>
      <c r="H142" s="22"/>
      <c r="I142" s="21"/>
      <c r="J142" s="21"/>
      <c r="K142" s="21"/>
      <c r="L142" s="21"/>
      <c r="M142" s="21"/>
      <c r="N142" s="21"/>
      <c r="O142" s="21"/>
      <c r="P142" s="21"/>
      <c r="Q142" s="21"/>
    </row>
    <row r="143" spans="1:17" ht="15.75" customHeight="1">
      <c r="A143" s="21"/>
      <c r="B143" s="22"/>
      <c r="C143" s="22"/>
      <c r="D143" s="23"/>
      <c r="E143" s="21"/>
      <c r="F143" s="21"/>
      <c r="G143" s="21"/>
      <c r="H143" s="22"/>
      <c r="I143" s="21"/>
      <c r="J143" s="21"/>
      <c r="K143" s="21"/>
      <c r="L143" s="21"/>
      <c r="M143" s="21"/>
      <c r="N143" s="21"/>
      <c r="O143" s="21"/>
      <c r="P143" s="21"/>
      <c r="Q143" s="21"/>
    </row>
    <row r="144" spans="1:17" ht="15.75" customHeight="1">
      <c r="A144" s="21"/>
      <c r="B144" s="22"/>
      <c r="C144" s="22"/>
      <c r="D144" s="23"/>
      <c r="E144" s="21"/>
      <c r="F144" s="21"/>
      <c r="G144" s="21"/>
      <c r="H144" s="22"/>
      <c r="I144" s="21"/>
      <c r="J144" s="21"/>
      <c r="K144" s="21"/>
      <c r="L144" s="21"/>
      <c r="M144" s="21"/>
      <c r="N144" s="21"/>
      <c r="O144" s="21"/>
      <c r="P144" s="21"/>
      <c r="Q144" s="21"/>
    </row>
    <row r="145" spans="1:17" ht="15.75" customHeight="1">
      <c r="A145" s="21"/>
      <c r="B145" s="22"/>
      <c r="C145" s="22"/>
      <c r="D145" s="23"/>
      <c r="E145" s="21"/>
      <c r="F145" s="21"/>
      <c r="G145" s="21"/>
      <c r="H145" s="22"/>
      <c r="I145" s="21"/>
      <c r="J145" s="21"/>
      <c r="K145" s="21"/>
      <c r="L145" s="21"/>
      <c r="M145" s="21"/>
      <c r="N145" s="21"/>
      <c r="O145" s="21"/>
      <c r="P145" s="21"/>
      <c r="Q145" s="21"/>
    </row>
    <row r="146" spans="1:17" ht="15.75" customHeight="1">
      <c r="A146" s="21"/>
      <c r="B146" s="22"/>
      <c r="C146" s="22"/>
      <c r="D146" s="23"/>
      <c r="E146" s="21"/>
      <c r="F146" s="21"/>
      <c r="G146" s="21"/>
      <c r="H146" s="22"/>
      <c r="I146" s="21"/>
      <c r="J146" s="21"/>
      <c r="K146" s="21"/>
      <c r="L146" s="21"/>
      <c r="M146" s="21"/>
      <c r="N146" s="21"/>
      <c r="O146" s="21"/>
      <c r="P146" s="21"/>
      <c r="Q146" s="21"/>
    </row>
    <row r="147" spans="1:17" ht="15.75" customHeight="1">
      <c r="A147" s="21"/>
      <c r="B147" s="22"/>
      <c r="C147" s="22"/>
      <c r="D147" s="23"/>
      <c r="E147" s="21"/>
      <c r="F147" s="21"/>
      <c r="G147" s="21"/>
      <c r="H147" s="22"/>
      <c r="I147" s="21"/>
      <c r="J147" s="21"/>
      <c r="K147" s="21"/>
      <c r="L147" s="21"/>
      <c r="M147" s="21"/>
      <c r="N147" s="21"/>
      <c r="O147" s="21"/>
      <c r="P147" s="21"/>
      <c r="Q147" s="21"/>
    </row>
    <row r="148" spans="1:17" ht="15.75" customHeight="1">
      <c r="A148" s="21"/>
      <c r="B148" s="22"/>
      <c r="C148" s="22"/>
      <c r="D148" s="23"/>
      <c r="E148" s="21"/>
      <c r="F148" s="21"/>
      <c r="G148" s="21"/>
      <c r="H148" s="22"/>
      <c r="I148" s="21"/>
      <c r="J148" s="21"/>
      <c r="K148" s="21"/>
      <c r="L148" s="21"/>
      <c r="M148" s="21"/>
      <c r="N148" s="21"/>
      <c r="O148" s="21"/>
      <c r="P148" s="21"/>
      <c r="Q148" s="21"/>
    </row>
    <row r="149" spans="1:17" ht="15.75" customHeight="1">
      <c r="A149" s="21"/>
      <c r="B149" s="22"/>
      <c r="C149" s="22"/>
      <c r="D149" s="23"/>
      <c r="E149" s="21"/>
      <c r="F149" s="21"/>
      <c r="G149" s="21"/>
      <c r="H149" s="22"/>
      <c r="I149" s="21"/>
      <c r="J149" s="21"/>
      <c r="K149" s="21"/>
      <c r="L149" s="21"/>
      <c r="M149" s="21"/>
      <c r="N149" s="21"/>
      <c r="O149" s="21"/>
      <c r="P149" s="21"/>
      <c r="Q149" s="21"/>
    </row>
    <row r="150" spans="1:17" ht="15.75" customHeight="1">
      <c r="A150" s="21"/>
      <c r="B150" s="22"/>
      <c r="C150" s="22"/>
      <c r="D150" s="23"/>
      <c r="E150" s="21"/>
      <c r="F150" s="21"/>
      <c r="G150" s="21"/>
      <c r="H150" s="22"/>
      <c r="I150" s="21"/>
      <c r="J150" s="21"/>
      <c r="K150" s="21"/>
      <c r="L150" s="21"/>
      <c r="M150" s="21"/>
      <c r="N150" s="21"/>
      <c r="O150" s="21"/>
      <c r="P150" s="21"/>
      <c r="Q150" s="21"/>
    </row>
    <row r="151" spans="1:17" ht="15.75" customHeight="1">
      <c r="A151" s="21"/>
      <c r="B151" s="22"/>
      <c r="C151" s="22"/>
      <c r="D151" s="23"/>
      <c r="E151" s="21"/>
      <c r="F151" s="21"/>
      <c r="G151" s="21"/>
      <c r="H151" s="22"/>
      <c r="I151" s="21"/>
      <c r="J151" s="21"/>
      <c r="K151" s="21"/>
      <c r="L151" s="21"/>
      <c r="M151" s="21"/>
      <c r="N151" s="21"/>
      <c r="O151" s="21"/>
      <c r="P151" s="21"/>
      <c r="Q151" s="21"/>
    </row>
    <row r="152" spans="1:17" ht="15.75" customHeight="1">
      <c r="A152" s="21"/>
      <c r="B152" s="22"/>
      <c r="C152" s="22"/>
      <c r="D152" s="23"/>
      <c r="E152" s="21"/>
      <c r="F152" s="21"/>
      <c r="G152" s="21"/>
      <c r="H152" s="22"/>
      <c r="I152" s="21"/>
      <c r="J152" s="21"/>
      <c r="K152" s="21"/>
      <c r="L152" s="21"/>
      <c r="M152" s="21"/>
      <c r="N152" s="21"/>
      <c r="O152" s="21"/>
      <c r="P152" s="21"/>
      <c r="Q152" s="21"/>
    </row>
    <row r="153" spans="1:17" ht="15.75" customHeight="1">
      <c r="A153" s="21"/>
      <c r="B153" s="22"/>
      <c r="C153" s="22"/>
      <c r="D153" s="23"/>
      <c r="E153" s="21"/>
      <c r="F153" s="21"/>
      <c r="G153" s="21"/>
      <c r="H153" s="22"/>
      <c r="I153" s="21"/>
      <c r="J153" s="21"/>
      <c r="K153" s="21"/>
      <c r="L153" s="21"/>
      <c r="M153" s="21"/>
      <c r="N153" s="21"/>
      <c r="O153" s="21"/>
      <c r="P153" s="21"/>
      <c r="Q153" s="21"/>
    </row>
    <row r="154" spans="1:17" ht="15.75" customHeight="1">
      <c r="A154" s="21"/>
      <c r="B154" s="22"/>
      <c r="C154" s="22"/>
      <c r="D154" s="23"/>
      <c r="E154" s="21"/>
      <c r="F154" s="21"/>
      <c r="G154" s="21"/>
      <c r="H154" s="22"/>
      <c r="I154" s="21"/>
      <c r="J154" s="21"/>
      <c r="K154" s="21"/>
      <c r="L154" s="21"/>
      <c r="M154" s="21"/>
      <c r="N154" s="21"/>
      <c r="O154" s="21"/>
      <c r="P154" s="21"/>
      <c r="Q154" s="21"/>
    </row>
    <row r="155" spans="1:17" ht="15.75" customHeight="1">
      <c r="A155" s="21"/>
      <c r="B155" s="22"/>
      <c r="C155" s="22"/>
      <c r="D155" s="23"/>
      <c r="E155" s="21"/>
      <c r="F155" s="21"/>
      <c r="G155" s="21"/>
      <c r="H155" s="22"/>
      <c r="I155" s="21"/>
      <c r="J155" s="21"/>
      <c r="K155" s="21"/>
      <c r="L155" s="21"/>
      <c r="M155" s="21"/>
      <c r="N155" s="21"/>
      <c r="O155" s="21"/>
      <c r="P155" s="21"/>
      <c r="Q155" s="21"/>
    </row>
    <row r="156" spans="1:17" ht="15.75" customHeight="1">
      <c r="A156" s="21"/>
      <c r="B156" s="22"/>
      <c r="C156" s="22"/>
      <c r="D156" s="23"/>
      <c r="E156" s="21"/>
      <c r="F156" s="21"/>
      <c r="G156" s="21"/>
      <c r="H156" s="22"/>
      <c r="I156" s="21"/>
      <c r="J156" s="21"/>
      <c r="K156" s="21"/>
      <c r="L156" s="21"/>
      <c r="M156" s="21"/>
      <c r="N156" s="21"/>
      <c r="O156" s="21"/>
      <c r="P156" s="21"/>
      <c r="Q156" s="21"/>
    </row>
    <row r="157" spans="1:17" ht="15.75" customHeight="1">
      <c r="A157" s="21"/>
      <c r="B157" s="22"/>
      <c r="C157" s="22"/>
      <c r="D157" s="23"/>
      <c r="E157" s="21"/>
      <c r="F157" s="21"/>
      <c r="G157" s="21"/>
      <c r="H157" s="22"/>
      <c r="I157" s="21"/>
      <c r="J157" s="21"/>
      <c r="K157" s="21"/>
      <c r="L157" s="21"/>
      <c r="M157" s="21"/>
      <c r="N157" s="21"/>
      <c r="O157" s="21"/>
      <c r="P157" s="21"/>
      <c r="Q157" s="21"/>
    </row>
    <row r="158" spans="1:17" ht="15.75" customHeight="1">
      <c r="A158" s="21"/>
      <c r="B158" s="22"/>
      <c r="C158" s="22"/>
      <c r="D158" s="23"/>
      <c r="E158" s="21"/>
      <c r="F158" s="21"/>
      <c r="G158" s="21"/>
      <c r="H158" s="22"/>
      <c r="I158" s="21"/>
      <c r="J158" s="21"/>
      <c r="K158" s="21"/>
      <c r="L158" s="21"/>
      <c r="M158" s="21"/>
      <c r="N158" s="21"/>
      <c r="O158" s="21"/>
      <c r="P158" s="21"/>
      <c r="Q158" s="21"/>
    </row>
    <row r="159" spans="1:17" ht="15.75" customHeight="1">
      <c r="A159" s="21"/>
      <c r="B159" s="22"/>
      <c r="C159" s="22"/>
      <c r="D159" s="23"/>
      <c r="E159" s="21"/>
      <c r="F159" s="21"/>
      <c r="G159" s="21"/>
      <c r="H159" s="22"/>
      <c r="I159" s="21"/>
      <c r="J159" s="21"/>
      <c r="K159" s="21"/>
      <c r="L159" s="21"/>
      <c r="M159" s="21"/>
      <c r="N159" s="21"/>
      <c r="O159" s="21"/>
      <c r="P159" s="21"/>
      <c r="Q159" s="21"/>
    </row>
    <row r="160" spans="1:17" ht="15.75" customHeight="1">
      <c r="A160" s="21"/>
      <c r="B160" s="22"/>
      <c r="C160" s="22"/>
      <c r="D160" s="23"/>
      <c r="E160" s="21"/>
      <c r="F160" s="21"/>
      <c r="G160" s="21"/>
      <c r="H160" s="22"/>
      <c r="I160" s="21"/>
      <c r="J160" s="21"/>
      <c r="K160" s="21"/>
      <c r="L160" s="21"/>
      <c r="M160" s="21"/>
      <c r="N160" s="21"/>
      <c r="O160" s="21"/>
      <c r="P160" s="21"/>
      <c r="Q160" s="21"/>
    </row>
    <row r="161" spans="1:17" ht="15.75" customHeight="1">
      <c r="A161" s="21"/>
      <c r="B161" s="22"/>
      <c r="C161" s="22"/>
      <c r="D161" s="23"/>
      <c r="E161" s="21"/>
      <c r="F161" s="21"/>
      <c r="G161" s="21"/>
      <c r="H161" s="22"/>
      <c r="I161" s="21"/>
      <c r="J161" s="21"/>
      <c r="K161" s="21"/>
      <c r="L161" s="21"/>
      <c r="M161" s="21"/>
      <c r="N161" s="21"/>
      <c r="O161" s="21"/>
      <c r="P161" s="21"/>
      <c r="Q161" s="21"/>
    </row>
    <row r="162" spans="1:17" ht="15.75" customHeight="1">
      <c r="A162" s="21"/>
      <c r="B162" s="22"/>
      <c r="C162" s="22"/>
      <c r="D162" s="23"/>
      <c r="E162" s="21"/>
      <c r="F162" s="21"/>
      <c r="G162" s="21"/>
      <c r="H162" s="22"/>
      <c r="I162" s="21"/>
      <c r="J162" s="21"/>
      <c r="K162" s="21"/>
      <c r="L162" s="21"/>
      <c r="M162" s="21"/>
      <c r="N162" s="21"/>
      <c r="O162" s="21"/>
      <c r="P162" s="21"/>
      <c r="Q162" s="21"/>
    </row>
    <row r="163" spans="1:17" ht="15.75" customHeight="1">
      <c r="A163" s="21"/>
      <c r="B163" s="22"/>
      <c r="C163" s="22"/>
      <c r="D163" s="23"/>
      <c r="E163" s="21"/>
      <c r="F163" s="21"/>
      <c r="G163" s="21"/>
      <c r="H163" s="22"/>
      <c r="I163" s="21"/>
      <c r="J163" s="21"/>
      <c r="K163" s="21"/>
      <c r="L163" s="21"/>
      <c r="M163" s="21"/>
      <c r="N163" s="21"/>
      <c r="O163" s="21"/>
      <c r="P163" s="21"/>
      <c r="Q163" s="21"/>
    </row>
    <row r="164" spans="1:17" ht="15.75" customHeight="1">
      <c r="A164" s="21"/>
      <c r="B164" s="22"/>
      <c r="C164" s="22"/>
      <c r="D164" s="23"/>
      <c r="E164" s="21"/>
      <c r="F164" s="21"/>
      <c r="G164" s="21"/>
      <c r="H164" s="22"/>
      <c r="I164" s="21"/>
      <c r="J164" s="21"/>
      <c r="K164" s="21"/>
      <c r="L164" s="21"/>
      <c r="M164" s="21"/>
      <c r="N164" s="21"/>
      <c r="O164" s="21"/>
      <c r="P164" s="21"/>
      <c r="Q164" s="21"/>
    </row>
    <row r="165" spans="1:17" ht="15.75" customHeight="1">
      <c r="A165" s="21"/>
      <c r="B165" s="22"/>
      <c r="C165" s="22"/>
      <c r="D165" s="23"/>
      <c r="E165" s="21"/>
      <c r="F165" s="21"/>
      <c r="G165" s="21"/>
      <c r="H165" s="22"/>
      <c r="I165" s="21"/>
      <c r="J165" s="21"/>
      <c r="K165" s="21"/>
      <c r="L165" s="21"/>
      <c r="M165" s="21"/>
      <c r="N165" s="21"/>
      <c r="O165" s="21"/>
      <c r="P165" s="21"/>
      <c r="Q165" s="21"/>
    </row>
    <row r="166" spans="1:17" ht="15.75" customHeight="1">
      <c r="A166" s="21"/>
      <c r="B166" s="22"/>
      <c r="C166" s="22"/>
      <c r="D166" s="23"/>
      <c r="E166" s="21"/>
      <c r="F166" s="21"/>
      <c r="G166" s="21"/>
      <c r="H166" s="22"/>
      <c r="I166" s="21"/>
      <c r="J166" s="21"/>
      <c r="K166" s="21"/>
      <c r="L166" s="21"/>
      <c r="M166" s="21"/>
      <c r="N166" s="21"/>
      <c r="O166" s="21"/>
      <c r="P166" s="21"/>
      <c r="Q166" s="21"/>
    </row>
    <row r="167" spans="1:17" ht="15.75" customHeight="1">
      <c r="A167" s="21"/>
      <c r="B167" s="22"/>
      <c r="C167" s="22"/>
      <c r="D167" s="23"/>
      <c r="E167" s="21"/>
      <c r="F167" s="21"/>
      <c r="G167" s="21"/>
      <c r="H167" s="22"/>
      <c r="I167" s="21"/>
      <c r="J167" s="21"/>
      <c r="K167" s="21"/>
      <c r="L167" s="21"/>
      <c r="M167" s="21"/>
      <c r="N167" s="21"/>
      <c r="O167" s="21"/>
      <c r="P167" s="21"/>
      <c r="Q167" s="21"/>
    </row>
    <row r="168" spans="1:17" ht="15.75" customHeight="1">
      <c r="A168" s="21"/>
      <c r="B168" s="22"/>
      <c r="C168" s="22"/>
      <c r="D168" s="23"/>
      <c r="E168" s="21"/>
      <c r="F168" s="21"/>
      <c r="G168" s="21"/>
      <c r="H168" s="22"/>
      <c r="I168" s="21"/>
      <c r="J168" s="21"/>
      <c r="K168" s="21"/>
      <c r="L168" s="21"/>
      <c r="M168" s="21"/>
      <c r="N168" s="21"/>
      <c r="O168" s="21"/>
      <c r="P168" s="21"/>
      <c r="Q168" s="21"/>
    </row>
    <row r="169" spans="1:17" ht="15.75" customHeight="1">
      <c r="A169" s="21"/>
      <c r="B169" s="22"/>
      <c r="C169" s="22"/>
      <c r="D169" s="23"/>
      <c r="E169" s="21"/>
      <c r="F169" s="21"/>
      <c r="G169" s="21"/>
      <c r="H169" s="22"/>
      <c r="I169" s="21"/>
      <c r="J169" s="21"/>
      <c r="K169" s="21"/>
      <c r="L169" s="21"/>
      <c r="M169" s="21"/>
      <c r="N169" s="21"/>
      <c r="O169" s="21"/>
      <c r="P169" s="21"/>
      <c r="Q169" s="21"/>
    </row>
    <row r="170" spans="1:17" ht="15.75" customHeight="1">
      <c r="A170" s="21"/>
      <c r="B170" s="22"/>
      <c r="C170" s="22"/>
      <c r="D170" s="23"/>
      <c r="E170" s="21"/>
      <c r="F170" s="21"/>
      <c r="G170" s="21"/>
      <c r="H170" s="22"/>
      <c r="I170" s="21"/>
      <c r="J170" s="21"/>
      <c r="K170" s="21"/>
      <c r="L170" s="21"/>
      <c r="M170" s="21"/>
      <c r="N170" s="21"/>
      <c r="O170" s="21"/>
      <c r="P170" s="21"/>
      <c r="Q170" s="21"/>
    </row>
    <row r="171" spans="1:17" ht="15.75" customHeight="1">
      <c r="A171" s="21"/>
      <c r="B171" s="22"/>
      <c r="C171" s="22"/>
      <c r="D171" s="23"/>
      <c r="E171" s="21"/>
      <c r="F171" s="21"/>
      <c r="G171" s="21"/>
      <c r="H171" s="22"/>
      <c r="I171" s="21"/>
      <c r="J171" s="21"/>
      <c r="K171" s="21"/>
      <c r="L171" s="21"/>
      <c r="M171" s="21"/>
      <c r="N171" s="21"/>
      <c r="O171" s="21"/>
      <c r="P171" s="21"/>
      <c r="Q171" s="21"/>
    </row>
    <row r="172" spans="1:17" ht="15.75" customHeight="1">
      <c r="A172" s="21"/>
      <c r="B172" s="22"/>
      <c r="C172" s="22"/>
      <c r="D172" s="23"/>
      <c r="E172" s="21"/>
      <c r="F172" s="21"/>
      <c r="G172" s="21"/>
      <c r="H172" s="22"/>
      <c r="I172" s="21"/>
      <c r="J172" s="21"/>
      <c r="K172" s="21"/>
      <c r="L172" s="21"/>
      <c r="M172" s="21"/>
      <c r="N172" s="21"/>
      <c r="O172" s="21"/>
      <c r="P172" s="21"/>
      <c r="Q172" s="21"/>
    </row>
    <row r="173" spans="1:17" ht="15.75" customHeight="1">
      <c r="A173" s="21"/>
      <c r="B173" s="22"/>
      <c r="C173" s="22"/>
      <c r="D173" s="23"/>
      <c r="E173" s="21"/>
      <c r="F173" s="21"/>
      <c r="G173" s="21"/>
      <c r="H173" s="22"/>
      <c r="I173" s="21"/>
      <c r="J173" s="21"/>
      <c r="K173" s="21"/>
      <c r="L173" s="21"/>
      <c r="M173" s="21"/>
      <c r="N173" s="21"/>
      <c r="O173" s="21"/>
      <c r="P173" s="21"/>
      <c r="Q173" s="21"/>
    </row>
    <row r="174" spans="1:17" ht="15.75" customHeight="1">
      <c r="A174" s="21"/>
      <c r="B174" s="22"/>
      <c r="C174" s="22"/>
      <c r="D174" s="23"/>
      <c r="E174" s="21"/>
      <c r="F174" s="21"/>
      <c r="G174" s="21"/>
      <c r="H174" s="22"/>
      <c r="I174" s="21"/>
      <c r="J174" s="21"/>
      <c r="K174" s="21"/>
      <c r="L174" s="21"/>
      <c r="M174" s="21"/>
      <c r="N174" s="21"/>
      <c r="O174" s="21"/>
      <c r="P174" s="21"/>
      <c r="Q174" s="21"/>
    </row>
    <row r="175" spans="1:17" ht="15.75" customHeight="1">
      <c r="A175" s="21"/>
      <c r="B175" s="22"/>
      <c r="C175" s="22"/>
      <c r="D175" s="23"/>
      <c r="E175" s="21"/>
      <c r="F175" s="21"/>
      <c r="G175" s="21"/>
      <c r="H175" s="22"/>
      <c r="I175" s="21"/>
      <c r="J175" s="21"/>
      <c r="K175" s="21"/>
      <c r="L175" s="21"/>
      <c r="M175" s="21"/>
      <c r="N175" s="21"/>
      <c r="O175" s="21"/>
      <c r="P175" s="21"/>
      <c r="Q175" s="21"/>
    </row>
    <row r="176" spans="1:17" ht="15.75" customHeight="1">
      <c r="A176" s="21"/>
      <c r="B176" s="22"/>
      <c r="C176" s="22"/>
      <c r="D176" s="23"/>
      <c r="E176" s="21"/>
      <c r="F176" s="21"/>
      <c r="G176" s="21"/>
      <c r="H176" s="22"/>
      <c r="I176" s="21"/>
      <c r="J176" s="21"/>
      <c r="K176" s="21"/>
      <c r="L176" s="21"/>
      <c r="M176" s="21"/>
      <c r="N176" s="21"/>
      <c r="O176" s="21"/>
      <c r="P176" s="21"/>
      <c r="Q176" s="21"/>
    </row>
    <row r="177" spans="1:17" ht="15.75" customHeight="1">
      <c r="A177" s="21"/>
      <c r="B177" s="22"/>
      <c r="C177" s="22"/>
      <c r="D177" s="23"/>
      <c r="E177" s="21"/>
      <c r="F177" s="21"/>
      <c r="G177" s="21"/>
      <c r="H177" s="22"/>
      <c r="I177" s="21"/>
      <c r="J177" s="21"/>
      <c r="K177" s="21"/>
      <c r="L177" s="21"/>
      <c r="M177" s="21"/>
      <c r="N177" s="21"/>
      <c r="O177" s="21"/>
      <c r="P177" s="21"/>
      <c r="Q177" s="21"/>
    </row>
    <row r="178" spans="1:17" ht="15.75" customHeight="1">
      <c r="A178" s="21"/>
      <c r="B178" s="22"/>
      <c r="C178" s="22"/>
      <c r="D178" s="23"/>
      <c r="E178" s="21"/>
      <c r="F178" s="21"/>
      <c r="G178" s="21"/>
      <c r="H178" s="22"/>
      <c r="I178" s="21"/>
      <c r="J178" s="21"/>
      <c r="K178" s="21"/>
      <c r="L178" s="21"/>
      <c r="M178" s="21"/>
      <c r="N178" s="21"/>
      <c r="O178" s="21"/>
      <c r="P178" s="21"/>
      <c r="Q178" s="21"/>
    </row>
    <row r="179" spans="1:17" ht="15.75" customHeight="1">
      <c r="A179" s="21"/>
      <c r="B179" s="22"/>
      <c r="C179" s="22"/>
      <c r="D179" s="23"/>
      <c r="E179" s="21"/>
      <c r="F179" s="21"/>
      <c r="G179" s="21"/>
      <c r="H179" s="22"/>
      <c r="I179" s="21"/>
      <c r="J179" s="21"/>
      <c r="K179" s="21"/>
      <c r="L179" s="21"/>
      <c r="M179" s="21"/>
      <c r="N179" s="21"/>
      <c r="O179" s="21"/>
      <c r="P179" s="21"/>
      <c r="Q179" s="21"/>
    </row>
    <row r="180" spans="1:17" ht="15.75" customHeight="1">
      <c r="A180" s="21"/>
      <c r="B180" s="22"/>
      <c r="C180" s="22"/>
      <c r="D180" s="23"/>
      <c r="E180" s="21"/>
      <c r="F180" s="21"/>
      <c r="G180" s="21"/>
      <c r="H180" s="22"/>
      <c r="I180" s="21"/>
      <c r="J180" s="21"/>
      <c r="K180" s="21"/>
      <c r="L180" s="21"/>
      <c r="M180" s="21"/>
      <c r="N180" s="21"/>
      <c r="O180" s="21"/>
      <c r="P180" s="21"/>
      <c r="Q180" s="21"/>
    </row>
    <row r="181" spans="1:17" ht="15.75" customHeight="1">
      <c r="A181" s="21"/>
      <c r="B181" s="22"/>
      <c r="C181" s="22"/>
      <c r="D181" s="23"/>
      <c r="E181" s="21"/>
      <c r="F181" s="21"/>
      <c r="G181" s="21"/>
      <c r="H181" s="22"/>
      <c r="I181" s="21"/>
      <c r="J181" s="21"/>
      <c r="K181" s="21"/>
      <c r="L181" s="21"/>
      <c r="M181" s="21"/>
      <c r="N181" s="21"/>
      <c r="O181" s="21"/>
      <c r="P181" s="21"/>
      <c r="Q181" s="21"/>
    </row>
    <row r="182" spans="1:17" ht="15.75" customHeight="1">
      <c r="A182" s="21"/>
      <c r="B182" s="22"/>
      <c r="C182" s="22"/>
      <c r="D182" s="23"/>
      <c r="E182" s="21"/>
      <c r="F182" s="21"/>
      <c r="G182" s="21"/>
      <c r="H182" s="22"/>
      <c r="I182" s="21"/>
      <c r="J182" s="21"/>
      <c r="K182" s="21"/>
      <c r="L182" s="21"/>
      <c r="M182" s="21"/>
      <c r="N182" s="21"/>
      <c r="O182" s="21"/>
      <c r="P182" s="21"/>
      <c r="Q182" s="21"/>
    </row>
    <row r="183" spans="1:17" ht="15.75" customHeight="1">
      <c r="A183" s="21"/>
      <c r="B183" s="22"/>
      <c r="C183" s="22"/>
      <c r="D183" s="23"/>
      <c r="E183" s="21"/>
      <c r="F183" s="21"/>
      <c r="G183" s="21"/>
      <c r="H183" s="22"/>
      <c r="I183" s="21"/>
      <c r="J183" s="21"/>
      <c r="K183" s="21"/>
      <c r="L183" s="21"/>
      <c r="M183" s="21"/>
      <c r="N183" s="21"/>
      <c r="O183" s="21"/>
      <c r="P183" s="21"/>
      <c r="Q183" s="21"/>
    </row>
    <row r="184" spans="1:17" ht="15.75" customHeight="1">
      <c r="A184" s="21"/>
      <c r="B184" s="22"/>
      <c r="C184" s="22"/>
      <c r="D184" s="23"/>
      <c r="E184" s="21"/>
      <c r="F184" s="21"/>
      <c r="G184" s="21"/>
      <c r="H184" s="22"/>
      <c r="I184" s="21"/>
      <c r="J184" s="21"/>
      <c r="K184" s="21"/>
      <c r="L184" s="21"/>
      <c r="M184" s="21"/>
      <c r="N184" s="21"/>
      <c r="O184" s="21"/>
      <c r="P184" s="21"/>
      <c r="Q184" s="21"/>
    </row>
    <row r="185" spans="1:17" ht="15.75" customHeight="1">
      <c r="A185" s="21"/>
      <c r="B185" s="22"/>
      <c r="C185" s="22"/>
      <c r="D185" s="23"/>
      <c r="E185" s="21"/>
      <c r="F185" s="21"/>
      <c r="G185" s="21"/>
      <c r="H185" s="22"/>
      <c r="I185" s="21"/>
      <c r="J185" s="21"/>
      <c r="K185" s="21"/>
      <c r="L185" s="21"/>
      <c r="M185" s="21"/>
      <c r="N185" s="21"/>
      <c r="O185" s="21"/>
      <c r="P185" s="21"/>
      <c r="Q185" s="21"/>
    </row>
    <row r="186" spans="1:17" ht="15.75" customHeight="1">
      <c r="A186" s="21"/>
      <c r="B186" s="22"/>
      <c r="C186" s="22"/>
      <c r="D186" s="23"/>
      <c r="E186" s="21"/>
      <c r="F186" s="21"/>
      <c r="G186" s="21"/>
      <c r="H186" s="22"/>
      <c r="I186" s="21"/>
      <c r="J186" s="21"/>
      <c r="K186" s="21"/>
      <c r="L186" s="21"/>
      <c r="M186" s="21"/>
      <c r="N186" s="21"/>
      <c r="O186" s="21"/>
      <c r="P186" s="21"/>
      <c r="Q186" s="21"/>
    </row>
    <row r="187" spans="1:17" ht="15.75" customHeight="1">
      <c r="A187" s="21"/>
      <c r="B187" s="22"/>
      <c r="C187" s="22"/>
      <c r="D187" s="23"/>
      <c r="E187" s="21"/>
      <c r="F187" s="21"/>
      <c r="G187" s="21"/>
      <c r="H187" s="22"/>
      <c r="I187" s="21"/>
      <c r="J187" s="21"/>
      <c r="K187" s="21"/>
      <c r="L187" s="21"/>
      <c r="M187" s="21"/>
      <c r="N187" s="21"/>
      <c r="O187" s="21"/>
      <c r="P187" s="21"/>
      <c r="Q187" s="21"/>
    </row>
    <row r="188" spans="1:17" ht="15.75" customHeight="1">
      <c r="A188" s="21"/>
      <c r="B188" s="22"/>
      <c r="C188" s="22"/>
      <c r="D188" s="23"/>
      <c r="E188" s="21"/>
      <c r="F188" s="21"/>
      <c r="G188" s="21"/>
      <c r="H188" s="22"/>
      <c r="I188" s="21"/>
      <c r="J188" s="21"/>
      <c r="K188" s="21"/>
      <c r="L188" s="21"/>
      <c r="M188" s="21"/>
      <c r="N188" s="21"/>
      <c r="O188" s="21"/>
      <c r="P188" s="21"/>
      <c r="Q188" s="21"/>
    </row>
    <row r="189" spans="1:17" ht="15.75" customHeight="1">
      <c r="A189" s="21"/>
      <c r="B189" s="22"/>
      <c r="C189" s="22"/>
      <c r="D189" s="23"/>
      <c r="E189" s="21"/>
      <c r="F189" s="21"/>
      <c r="G189" s="21"/>
      <c r="H189" s="22"/>
      <c r="I189" s="21"/>
      <c r="J189" s="21"/>
      <c r="K189" s="21"/>
      <c r="L189" s="21"/>
      <c r="M189" s="21"/>
      <c r="N189" s="21"/>
      <c r="O189" s="21"/>
      <c r="P189" s="21"/>
      <c r="Q189" s="21"/>
    </row>
    <row r="190" spans="1:17" ht="15.75" customHeight="1">
      <c r="A190" s="21"/>
      <c r="B190" s="22"/>
      <c r="C190" s="22"/>
      <c r="D190" s="23"/>
      <c r="E190" s="21"/>
      <c r="F190" s="21"/>
      <c r="G190" s="21"/>
      <c r="H190" s="22"/>
      <c r="I190" s="21"/>
      <c r="J190" s="21"/>
      <c r="K190" s="21"/>
      <c r="L190" s="21"/>
      <c r="M190" s="21"/>
      <c r="N190" s="21"/>
      <c r="O190" s="21"/>
      <c r="P190" s="21"/>
      <c r="Q190" s="21"/>
    </row>
    <row r="191" spans="1:17" ht="15.75" customHeight="1">
      <c r="A191" s="21"/>
      <c r="B191" s="22"/>
      <c r="C191" s="22"/>
      <c r="D191" s="23"/>
      <c r="E191" s="21"/>
      <c r="F191" s="21"/>
      <c r="G191" s="21"/>
      <c r="H191" s="22"/>
      <c r="I191" s="21"/>
      <c r="J191" s="21"/>
      <c r="K191" s="21"/>
      <c r="L191" s="21"/>
      <c r="M191" s="21"/>
      <c r="N191" s="21"/>
      <c r="O191" s="21"/>
      <c r="P191" s="21"/>
      <c r="Q191" s="21"/>
    </row>
    <row r="192" spans="1:17" ht="15.75" customHeight="1">
      <c r="A192" s="21"/>
      <c r="B192" s="22"/>
      <c r="C192" s="22"/>
      <c r="D192" s="23"/>
      <c r="E192" s="21"/>
      <c r="F192" s="21"/>
      <c r="G192" s="21"/>
      <c r="H192" s="22"/>
      <c r="I192" s="21"/>
      <c r="J192" s="21"/>
      <c r="K192" s="21"/>
      <c r="L192" s="21"/>
      <c r="M192" s="21"/>
      <c r="N192" s="21"/>
      <c r="O192" s="21"/>
      <c r="P192" s="21"/>
      <c r="Q192" s="21"/>
    </row>
    <row r="193" spans="1:17" ht="15.75" customHeight="1">
      <c r="A193" s="21"/>
      <c r="B193" s="22"/>
      <c r="C193" s="22"/>
      <c r="D193" s="23"/>
      <c r="E193" s="21"/>
      <c r="F193" s="21"/>
      <c r="G193" s="21"/>
      <c r="H193" s="22"/>
      <c r="I193" s="21"/>
      <c r="J193" s="21"/>
      <c r="K193" s="21"/>
      <c r="L193" s="21"/>
      <c r="M193" s="21"/>
      <c r="N193" s="21"/>
      <c r="O193" s="21"/>
      <c r="P193" s="21"/>
      <c r="Q193" s="21"/>
    </row>
    <row r="194" spans="1:17" ht="15.75" customHeight="1">
      <c r="A194" s="21"/>
      <c r="B194" s="22"/>
      <c r="C194" s="22"/>
      <c r="D194" s="23"/>
      <c r="E194" s="21"/>
      <c r="F194" s="21"/>
      <c r="G194" s="21"/>
      <c r="H194" s="22"/>
      <c r="I194" s="21"/>
      <c r="J194" s="21"/>
      <c r="K194" s="21"/>
      <c r="L194" s="21"/>
      <c r="M194" s="21"/>
      <c r="N194" s="21"/>
      <c r="O194" s="21"/>
      <c r="P194" s="21"/>
      <c r="Q194" s="21"/>
    </row>
    <row r="195" spans="1:17" ht="15.75" customHeight="1">
      <c r="A195" s="21"/>
      <c r="B195" s="22"/>
      <c r="C195" s="22"/>
      <c r="D195" s="23"/>
      <c r="E195" s="21"/>
      <c r="F195" s="21"/>
      <c r="G195" s="21"/>
      <c r="H195" s="22"/>
      <c r="I195" s="21"/>
      <c r="J195" s="21"/>
      <c r="K195" s="21"/>
      <c r="L195" s="21"/>
      <c r="M195" s="21"/>
      <c r="N195" s="21"/>
      <c r="O195" s="21"/>
      <c r="P195" s="21"/>
      <c r="Q195" s="21"/>
    </row>
    <row r="196" spans="1:17" ht="15.75" customHeight="1">
      <c r="A196" s="21"/>
      <c r="B196" s="22"/>
      <c r="C196" s="22"/>
      <c r="D196" s="23"/>
      <c r="E196" s="21"/>
      <c r="F196" s="21"/>
      <c r="G196" s="21"/>
      <c r="H196" s="22"/>
      <c r="I196" s="21"/>
      <c r="J196" s="21"/>
      <c r="K196" s="21"/>
      <c r="L196" s="21"/>
      <c r="M196" s="21"/>
      <c r="N196" s="21"/>
      <c r="O196" s="21"/>
      <c r="P196" s="21"/>
      <c r="Q196" s="21"/>
    </row>
    <row r="197" spans="1:17" ht="15.75" customHeight="1">
      <c r="A197" s="21"/>
      <c r="B197" s="22"/>
      <c r="C197" s="22"/>
      <c r="D197" s="23"/>
      <c r="E197" s="21"/>
      <c r="F197" s="21"/>
      <c r="G197" s="21"/>
      <c r="H197" s="22"/>
      <c r="I197" s="21"/>
      <c r="J197" s="21"/>
      <c r="K197" s="21"/>
      <c r="L197" s="21"/>
      <c r="M197" s="21"/>
      <c r="N197" s="21"/>
      <c r="O197" s="21"/>
      <c r="P197" s="21"/>
      <c r="Q197" s="21"/>
    </row>
    <row r="198" spans="1:17" ht="15.75" customHeight="1">
      <c r="A198" s="21"/>
      <c r="B198" s="22"/>
      <c r="C198" s="22"/>
      <c r="D198" s="23"/>
      <c r="E198" s="21"/>
      <c r="F198" s="21"/>
      <c r="G198" s="21"/>
      <c r="H198" s="22"/>
      <c r="I198" s="21"/>
      <c r="J198" s="21"/>
      <c r="K198" s="21"/>
      <c r="L198" s="21"/>
      <c r="M198" s="21"/>
      <c r="N198" s="21"/>
      <c r="O198" s="21"/>
      <c r="P198" s="21"/>
      <c r="Q198" s="21"/>
    </row>
    <row r="199" spans="1:17" ht="15.75" customHeight="1">
      <c r="A199" s="21"/>
      <c r="B199" s="22"/>
      <c r="C199" s="22"/>
      <c r="D199" s="23"/>
      <c r="E199" s="21"/>
      <c r="F199" s="21"/>
      <c r="G199" s="21"/>
      <c r="H199" s="22"/>
      <c r="I199" s="21"/>
      <c r="J199" s="21"/>
      <c r="K199" s="21"/>
      <c r="L199" s="21"/>
      <c r="M199" s="21"/>
      <c r="N199" s="21"/>
      <c r="O199" s="21"/>
      <c r="P199" s="21"/>
      <c r="Q199" s="21"/>
    </row>
    <row r="200" spans="1:17" ht="15.75" customHeight="1">
      <c r="A200" s="21"/>
      <c r="B200" s="22"/>
      <c r="C200" s="22"/>
      <c r="D200" s="23"/>
      <c r="E200" s="21"/>
      <c r="F200" s="21"/>
      <c r="G200" s="21"/>
      <c r="H200" s="22"/>
      <c r="I200" s="21"/>
      <c r="J200" s="21"/>
      <c r="K200" s="21"/>
      <c r="L200" s="21"/>
      <c r="M200" s="21"/>
      <c r="N200" s="21"/>
      <c r="O200" s="21"/>
      <c r="P200" s="21"/>
      <c r="Q200" s="21"/>
    </row>
    <row r="201" spans="1:17" ht="15.75" customHeight="1">
      <c r="A201" s="21"/>
      <c r="B201" s="22"/>
      <c r="C201" s="22"/>
      <c r="D201" s="23"/>
      <c r="E201" s="21"/>
      <c r="F201" s="21"/>
      <c r="G201" s="21"/>
      <c r="H201" s="22"/>
      <c r="I201" s="21"/>
      <c r="J201" s="21"/>
      <c r="K201" s="21"/>
      <c r="L201" s="21"/>
      <c r="M201" s="21"/>
      <c r="N201" s="21"/>
      <c r="O201" s="21"/>
      <c r="P201" s="21"/>
      <c r="Q201" s="21"/>
    </row>
    <row r="202" spans="1:17" ht="15.75" customHeight="1">
      <c r="A202" s="21"/>
      <c r="B202" s="22"/>
      <c r="C202" s="22"/>
      <c r="D202" s="23"/>
      <c r="E202" s="21"/>
      <c r="F202" s="21"/>
      <c r="G202" s="21"/>
      <c r="H202" s="22"/>
      <c r="I202" s="21"/>
      <c r="J202" s="21"/>
      <c r="K202" s="21"/>
      <c r="L202" s="21"/>
      <c r="M202" s="21"/>
      <c r="N202" s="21"/>
      <c r="O202" s="21"/>
      <c r="P202" s="21"/>
      <c r="Q202" s="21"/>
    </row>
    <row r="203" spans="1:17" ht="15.75" customHeight="1">
      <c r="A203" s="21"/>
      <c r="B203" s="22"/>
      <c r="C203" s="22"/>
      <c r="D203" s="23"/>
      <c r="E203" s="21"/>
      <c r="F203" s="21"/>
      <c r="G203" s="21"/>
      <c r="H203" s="22"/>
      <c r="I203" s="21"/>
      <c r="J203" s="21"/>
      <c r="K203" s="21"/>
      <c r="L203" s="21"/>
      <c r="M203" s="21"/>
      <c r="N203" s="21"/>
      <c r="O203" s="21"/>
      <c r="P203" s="21"/>
      <c r="Q203" s="21"/>
    </row>
    <row r="204" spans="1:17" ht="15.75" customHeight="1">
      <c r="A204" s="21"/>
      <c r="B204" s="22"/>
      <c r="C204" s="22"/>
      <c r="D204" s="23"/>
      <c r="E204" s="21"/>
      <c r="F204" s="21"/>
      <c r="G204" s="21"/>
      <c r="H204" s="22"/>
      <c r="I204" s="21"/>
      <c r="J204" s="21"/>
      <c r="K204" s="21"/>
      <c r="L204" s="21"/>
      <c r="M204" s="21"/>
      <c r="N204" s="21"/>
      <c r="O204" s="21"/>
      <c r="P204" s="21"/>
      <c r="Q204" s="21"/>
    </row>
    <row r="205" spans="1:17" ht="15.75" customHeight="1">
      <c r="A205" s="21"/>
      <c r="B205" s="22"/>
      <c r="C205" s="22"/>
      <c r="D205" s="23"/>
      <c r="E205" s="21"/>
      <c r="F205" s="21"/>
      <c r="G205" s="21"/>
      <c r="H205" s="22"/>
      <c r="I205" s="21"/>
      <c r="J205" s="21"/>
      <c r="K205" s="21"/>
      <c r="L205" s="21"/>
      <c r="M205" s="21"/>
      <c r="N205" s="21"/>
      <c r="O205" s="21"/>
      <c r="P205" s="21"/>
      <c r="Q205" s="21"/>
    </row>
    <row r="206" spans="1:17" ht="15.75" customHeight="1">
      <c r="A206" s="21"/>
      <c r="B206" s="22"/>
      <c r="C206" s="22"/>
      <c r="D206" s="23"/>
      <c r="E206" s="21"/>
      <c r="F206" s="21"/>
      <c r="G206" s="21"/>
      <c r="H206" s="22"/>
      <c r="I206" s="21"/>
      <c r="J206" s="21"/>
      <c r="K206" s="21"/>
      <c r="L206" s="21"/>
      <c r="M206" s="21"/>
      <c r="N206" s="21"/>
      <c r="O206" s="21"/>
      <c r="P206" s="21"/>
      <c r="Q206" s="21"/>
    </row>
    <row r="207" spans="1:17" ht="15.75" customHeight="1">
      <c r="A207" s="21"/>
      <c r="B207" s="22"/>
      <c r="C207" s="22"/>
      <c r="D207" s="23"/>
      <c r="E207" s="21"/>
      <c r="F207" s="21"/>
      <c r="G207" s="21"/>
      <c r="H207" s="22"/>
      <c r="I207" s="21"/>
      <c r="J207" s="21"/>
      <c r="K207" s="21"/>
      <c r="L207" s="21"/>
      <c r="M207" s="21"/>
      <c r="N207" s="21"/>
      <c r="O207" s="21"/>
      <c r="P207" s="21"/>
      <c r="Q207" s="21"/>
    </row>
    <row r="208" spans="1:17" ht="15.75" customHeight="1">
      <c r="A208" s="21"/>
      <c r="B208" s="22"/>
      <c r="C208" s="22"/>
      <c r="D208" s="23"/>
      <c r="E208" s="21"/>
      <c r="F208" s="21"/>
      <c r="G208" s="21"/>
      <c r="H208" s="22"/>
      <c r="I208" s="21"/>
      <c r="J208" s="21"/>
      <c r="K208" s="21"/>
      <c r="L208" s="21"/>
      <c r="M208" s="21"/>
      <c r="N208" s="21"/>
      <c r="O208" s="21"/>
      <c r="P208" s="21"/>
      <c r="Q208" s="21"/>
    </row>
    <row r="209" spans="1:17" ht="15.75" customHeight="1">
      <c r="A209" s="21"/>
      <c r="B209" s="22"/>
      <c r="C209" s="22"/>
      <c r="D209" s="23"/>
      <c r="E209" s="21"/>
      <c r="F209" s="21"/>
      <c r="G209" s="21"/>
      <c r="H209" s="22"/>
      <c r="I209" s="21"/>
      <c r="J209" s="21"/>
      <c r="K209" s="21"/>
      <c r="L209" s="21"/>
      <c r="M209" s="21"/>
      <c r="N209" s="21"/>
      <c r="O209" s="21"/>
      <c r="P209" s="21"/>
      <c r="Q209" s="21"/>
    </row>
    <row r="210" spans="1:17" ht="15.75" customHeight="1">
      <c r="A210" s="21"/>
      <c r="B210" s="22"/>
      <c r="C210" s="22"/>
      <c r="D210" s="23"/>
      <c r="E210" s="21"/>
      <c r="F210" s="21"/>
      <c r="G210" s="21"/>
      <c r="H210" s="22"/>
      <c r="I210" s="21"/>
      <c r="J210" s="21"/>
      <c r="K210" s="21"/>
      <c r="L210" s="21"/>
      <c r="M210" s="21"/>
      <c r="N210" s="21"/>
      <c r="O210" s="21"/>
      <c r="P210" s="21"/>
      <c r="Q210" s="21"/>
    </row>
    <row r="211" spans="1:17" ht="15.75" customHeight="1">
      <c r="A211" s="21"/>
      <c r="B211" s="22"/>
      <c r="C211" s="22"/>
      <c r="D211" s="23"/>
      <c r="E211" s="21"/>
      <c r="F211" s="21"/>
      <c r="G211" s="21"/>
      <c r="H211" s="22"/>
      <c r="I211" s="21"/>
      <c r="J211" s="21"/>
      <c r="K211" s="21"/>
      <c r="L211" s="21"/>
      <c r="M211" s="21"/>
      <c r="N211" s="21"/>
      <c r="O211" s="21"/>
      <c r="P211" s="21"/>
      <c r="Q211" s="21"/>
    </row>
    <row r="212" spans="1:17" ht="15.75" customHeight="1">
      <c r="A212" s="21"/>
      <c r="B212" s="22"/>
      <c r="C212" s="22"/>
      <c r="D212" s="23"/>
      <c r="E212" s="21"/>
      <c r="F212" s="21"/>
      <c r="G212" s="21"/>
      <c r="H212" s="22"/>
      <c r="I212" s="21"/>
      <c r="J212" s="21"/>
      <c r="K212" s="21"/>
      <c r="L212" s="21"/>
      <c r="M212" s="21"/>
      <c r="N212" s="21"/>
      <c r="O212" s="21"/>
      <c r="P212" s="21"/>
      <c r="Q212" s="21"/>
    </row>
    <row r="213" spans="1:17" ht="15.75" customHeight="1">
      <c r="A213" s="21"/>
      <c r="B213" s="22"/>
      <c r="C213" s="22"/>
      <c r="D213" s="23"/>
      <c r="E213" s="21"/>
      <c r="F213" s="21"/>
      <c r="G213" s="21"/>
      <c r="H213" s="22"/>
      <c r="I213" s="21"/>
      <c r="J213" s="21"/>
      <c r="K213" s="21"/>
      <c r="L213" s="21"/>
      <c r="M213" s="21"/>
      <c r="N213" s="21"/>
      <c r="O213" s="21"/>
      <c r="P213" s="21"/>
      <c r="Q213" s="21"/>
    </row>
    <row r="214" spans="1:17" ht="15.75" customHeight="1">
      <c r="A214" s="21"/>
      <c r="B214" s="22"/>
      <c r="C214" s="22"/>
      <c r="D214" s="23"/>
      <c r="E214" s="21"/>
      <c r="F214" s="21"/>
      <c r="G214" s="21"/>
      <c r="H214" s="22"/>
      <c r="I214" s="21"/>
      <c r="J214" s="21"/>
      <c r="K214" s="21"/>
      <c r="L214" s="21"/>
      <c r="M214" s="21"/>
      <c r="N214" s="21"/>
      <c r="O214" s="21"/>
      <c r="P214" s="21"/>
      <c r="Q214" s="21"/>
    </row>
    <row r="215" spans="1:17" ht="15.75" customHeight="1">
      <c r="A215" s="21"/>
      <c r="B215" s="22"/>
      <c r="C215" s="22"/>
      <c r="D215" s="23"/>
      <c r="E215" s="21"/>
      <c r="F215" s="21"/>
      <c r="G215" s="21"/>
      <c r="H215" s="22"/>
      <c r="I215" s="21"/>
      <c r="J215" s="21"/>
      <c r="K215" s="21"/>
      <c r="L215" s="21"/>
      <c r="M215" s="21"/>
      <c r="N215" s="21"/>
      <c r="O215" s="21"/>
      <c r="P215" s="21"/>
      <c r="Q215" s="21"/>
    </row>
    <row r="216" spans="1:17" ht="15.75" customHeight="1">
      <c r="A216" s="21"/>
      <c r="B216" s="22"/>
      <c r="C216" s="22"/>
      <c r="D216" s="23"/>
      <c r="E216" s="21"/>
      <c r="F216" s="21"/>
      <c r="G216" s="21"/>
      <c r="H216" s="22"/>
      <c r="I216" s="21"/>
      <c r="J216" s="21"/>
      <c r="K216" s="21"/>
      <c r="L216" s="21"/>
      <c r="M216" s="21"/>
      <c r="N216" s="21"/>
      <c r="O216" s="21"/>
      <c r="P216" s="21"/>
      <c r="Q216" s="21"/>
    </row>
    <row r="217" spans="1:17" ht="15.75" customHeight="1">
      <c r="A217" s="21"/>
      <c r="B217" s="22"/>
      <c r="C217" s="22"/>
      <c r="D217" s="23"/>
      <c r="E217" s="21"/>
      <c r="F217" s="21"/>
      <c r="G217" s="21"/>
      <c r="H217" s="22"/>
      <c r="I217" s="21"/>
      <c r="J217" s="21"/>
      <c r="K217" s="21"/>
      <c r="L217" s="21"/>
      <c r="M217" s="21"/>
      <c r="N217" s="21"/>
      <c r="O217" s="21"/>
      <c r="P217" s="21"/>
      <c r="Q217" s="21"/>
    </row>
    <row r="218" spans="1:17" ht="15.75" customHeight="1">
      <c r="A218" s="21"/>
      <c r="B218" s="22"/>
      <c r="C218" s="22"/>
      <c r="D218" s="23"/>
      <c r="E218" s="21"/>
      <c r="F218" s="21"/>
      <c r="G218" s="21"/>
      <c r="H218" s="22"/>
      <c r="I218" s="21"/>
      <c r="J218" s="21"/>
      <c r="K218" s="21"/>
      <c r="L218" s="21"/>
      <c r="M218" s="21"/>
      <c r="N218" s="21"/>
      <c r="O218" s="21"/>
      <c r="P218" s="21"/>
      <c r="Q218" s="21"/>
    </row>
    <row r="219" spans="1:17" ht="15.75" customHeight="1">
      <c r="A219" s="21"/>
      <c r="B219" s="22"/>
      <c r="C219" s="22"/>
      <c r="D219" s="23"/>
      <c r="E219" s="21"/>
      <c r="F219" s="21"/>
      <c r="G219" s="21"/>
      <c r="H219" s="22"/>
      <c r="I219" s="21"/>
      <c r="J219" s="21"/>
      <c r="K219" s="21"/>
      <c r="L219" s="21"/>
      <c r="M219" s="21"/>
      <c r="N219" s="21"/>
      <c r="O219" s="21"/>
      <c r="P219" s="21"/>
      <c r="Q219" s="21"/>
    </row>
    <row r="220" spans="1:17" ht="15.75" customHeight="1">
      <c r="A220" s="21"/>
      <c r="B220" s="22"/>
      <c r="C220" s="22"/>
      <c r="D220" s="23"/>
      <c r="E220" s="21"/>
      <c r="F220" s="21"/>
      <c r="G220" s="21"/>
      <c r="H220" s="22"/>
      <c r="I220" s="21"/>
      <c r="J220" s="21"/>
      <c r="K220" s="21"/>
      <c r="L220" s="21"/>
      <c r="M220" s="21"/>
      <c r="N220" s="21"/>
      <c r="O220" s="21"/>
      <c r="P220" s="21"/>
      <c r="Q220" s="21"/>
    </row>
    <row r="221" spans="1:17" ht="15.75" customHeight="1">
      <c r="A221" s="21"/>
      <c r="B221" s="22"/>
      <c r="C221" s="22"/>
      <c r="D221" s="23"/>
      <c r="E221" s="21"/>
      <c r="F221" s="21"/>
      <c r="G221" s="21"/>
      <c r="H221" s="22"/>
      <c r="I221" s="21"/>
      <c r="J221" s="21"/>
      <c r="K221" s="21"/>
      <c r="L221" s="21"/>
      <c r="M221" s="21"/>
      <c r="N221" s="21"/>
      <c r="O221" s="21"/>
      <c r="P221" s="21"/>
      <c r="Q221" s="21"/>
    </row>
    <row r="222" spans="1:17" ht="15.75" customHeight="1">
      <c r="A222" s="21"/>
      <c r="B222" s="22"/>
      <c r="C222" s="22"/>
      <c r="D222" s="23"/>
      <c r="E222" s="21"/>
      <c r="F222" s="21"/>
      <c r="G222" s="21"/>
      <c r="H222" s="22"/>
      <c r="I222" s="21"/>
      <c r="J222" s="21"/>
      <c r="K222" s="21"/>
      <c r="L222" s="21"/>
      <c r="M222" s="21"/>
      <c r="N222" s="21"/>
      <c r="O222" s="21"/>
      <c r="P222" s="21"/>
      <c r="Q222" s="21"/>
    </row>
    <row r="223" spans="1:17" ht="15.75" customHeight="1">
      <c r="A223" s="21"/>
      <c r="B223" s="22"/>
      <c r="C223" s="22"/>
      <c r="D223" s="23"/>
      <c r="E223" s="21"/>
      <c r="F223" s="21"/>
      <c r="G223" s="21"/>
      <c r="H223" s="22"/>
      <c r="I223" s="21"/>
      <c r="J223" s="21"/>
      <c r="K223" s="21"/>
      <c r="L223" s="21"/>
      <c r="M223" s="21"/>
      <c r="N223" s="21"/>
      <c r="O223" s="21"/>
      <c r="P223" s="21"/>
      <c r="Q223" s="21"/>
    </row>
    <row r="224" spans="1:17" ht="15.75" customHeight="1">
      <c r="A224" s="21"/>
      <c r="B224" s="22"/>
      <c r="C224" s="22"/>
      <c r="D224" s="23"/>
      <c r="E224" s="21"/>
      <c r="F224" s="21"/>
      <c r="G224" s="21"/>
      <c r="H224" s="22"/>
      <c r="I224" s="21"/>
      <c r="J224" s="21"/>
      <c r="K224" s="21"/>
      <c r="L224" s="21"/>
      <c r="M224" s="21"/>
      <c r="N224" s="21"/>
      <c r="O224" s="21"/>
      <c r="P224" s="21"/>
      <c r="Q224" s="21"/>
    </row>
    <row r="225" spans="1:17" ht="15.75" customHeight="1">
      <c r="A225" s="21"/>
      <c r="B225" s="22"/>
      <c r="C225" s="22"/>
      <c r="D225" s="23"/>
      <c r="E225" s="21"/>
      <c r="F225" s="21"/>
      <c r="G225" s="21"/>
      <c r="H225" s="22"/>
      <c r="I225" s="21"/>
      <c r="J225" s="21"/>
      <c r="K225" s="21"/>
      <c r="L225" s="21"/>
      <c r="M225" s="21"/>
      <c r="N225" s="21"/>
      <c r="O225" s="21"/>
      <c r="P225" s="21"/>
      <c r="Q225" s="21"/>
    </row>
    <row r="226" spans="1:17" ht="15.75" customHeight="1">
      <c r="A226" s="21"/>
      <c r="B226" s="22"/>
      <c r="C226" s="22"/>
      <c r="D226" s="23"/>
      <c r="E226" s="21"/>
      <c r="F226" s="21"/>
      <c r="G226" s="21"/>
      <c r="H226" s="22"/>
      <c r="I226" s="21"/>
      <c r="J226" s="21"/>
      <c r="K226" s="21"/>
      <c r="L226" s="21"/>
      <c r="M226" s="21"/>
      <c r="N226" s="21"/>
      <c r="O226" s="21"/>
      <c r="P226" s="21"/>
      <c r="Q226" s="21"/>
    </row>
    <row r="227" spans="1:17" ht="15.75" customHeight="1">
      <c r="A227" s="21"/>
      <c r="B227" s="22"/>
      <c r="C227" s="22"/>
      <c r="D227" s="23"/>
      <c r="E227" s="21"/>
      <c r="F227" s="21"/>
      <c r="G227" s="21"/>
      <c r="H227" s="22"/>
      <c r="I227" s="21"/>
      <c r="J227" s="21"/>
      <c r="K227" s="21"/>
      <c r="L227" s="21"/>
      <c r="M227" s="21"/>
      <c r="N227" s="21"/>
      <c r="O227" s="21"/>
      <c r="P227" s="21"/>
      <c r="Q227" s="21"/>
    </row>
    <row r="228" spans="1:17" ht="15.75" customHeight="1">
      <c r="A228" s="21"/>
      <c r="B228" s="22"/>
      <c r="C228" s="22"/>
      <c r="D228" s="23"/>
      <c r="E228" s="21"/>
      <c r="F228" s="21"/>
      <c r="G228" s="21"/>
      <c r="H228" s="22"/>
      <c r="I228" s="21"/>
      <c r="J228" s="21"/>
      <c r="K228" s="21"/>
      <c r="L228" s="21"/>
      <c r="M228" s="21"/>
      <c r="N228" s="21"/>
      <c r="O228" s="21"/>
      <c r="P228" s="21"/>
      <c r="Q228" s="21"/>
    </row>
    <row r="229" spans="1:17" ht="15.75" customHeight="1">
      <c r="A229" s="21"/>
      <c r="B229" s="22"/>
      <c r="C229" s="22"/>
      <c r="D229" s="23"/>
      <c r="E229" s="21"/>
      <c r="F229" s="21"/>
      <c r="G229" s="21"/>
      <c r="H229" s="22"/>
      <c r="I229" s="21"/>
      <c r="J229" s="21"/>
      <c r="K229" s="21"/>
      <c r="L229" s="21"/>
      <c r="M229" s="21"/>
      <c r="N229" s="21"/>
      <c r="O229" s="21"/>
      <c r="P229" s="21"/>
      <c r="Q229" s="21"/>
    </row>
    <row r="230" spans="1:17" ht="15.75" customHeight="1">
      <c r="A230" s="21"/>
      <c r="B230" s="22"/>
      <c r="C230" s="22"/>
      <c r="D230" s="23"/>
      <c r="E230" s="21"/>
      <c r="F230" s="21"/>
      <c r="G230" s="21"/>
      <c r="H230" s="22"/>
      <c r="I230" s="21"/>
      <c r="J230" s="21"/>
      <c r="K230" s="21"/>
      <c r="L230" s="21"/>
      <c r="M230" s="21"/>
      <c r="N230" s="21"/>
      <c r="O230" s="21"/>
      <c r="P230" s="21"/>
      <c r="Q230" s="21"/>
    </row>
    <row r="231" spans="1:17" ht="15.75" customHeight="1">
      <c r="A231" s="21"/>
      <c r="B231" s="22"/>
      <c r="C231" s="22"/>
      <c r="D231" s="23"/>
      <c r="E231" s="21"/>
      <c r="F231" s="21"/>
      <c r="G231" s="21"/>
      <c r="H231" s="22"/>
      <c r="I231" s="21"/>
      <c r="J231" s="21"/>
      <c r="K231" s="21"/>
      <c r="L231" s="21"/>
      <c r="M231" s="21"/>
      <c r="N231" s="21"/>
      <c r="O231" s="21"/>
      <c r="P231" s="21"/>
      <c r="Q231" s="21"/>
    </row>
    <row r="232" spans="1:17" ht="15.75" customHeight="1">
      <c r="A232" s="21"/>
      <c r="B232" s="22"/>
      <c r="C232" s="22"/>
      <c r="D232" s="23"/>
      <c r="E232" s="21"/>
      <c r="F232" s="21"/>
      <c r="G232" s="21"/>
      <c r="H232" s="22"/>
      <c r="I232" s="21"/>
      <c r="J232" s="21"/>
      <c r="K232" s="21"/>
      <c r="L232" s="21"/>
      <c r="M232" s="21"/>
      <c r="N232" s="21"/>
      <c r="O232" s="21"/>
      <c r="P232" s="21"/>
      <c r="Q232" s="21"/>
    </row>
    <row r="233" spans="1:17" ht="15.75" customHeight="1">
      <c r="A233" s="21"/>
      <c r="B233" s="22"/>
      <c r="C233" s="22"/>
      <c r="D233" s="23"/>
      <c r="E233" s="21"/>
      <c r="F233" s="21"/>
      <c r="G233" s="21"/>
      <c r="H233" s="22"/>
      <c r="I233" s="21"/>
      <c r="J233" s="21"/>
      <c r="K233" s="21"/>
      <c r="L233" s="21"/>
      <c r="M233" s="21"/>
      <c r="N233" s="21"/>
      <c r="O233" s="21"/>
      <c r="P233" s="21"/>
      <c r="Q233" s="21"/>
    </row>
    <row r="234" spans="1:17" ht="15.75" customHeight="1">
      <c r="A234" s="21"/>
      <c r="B234" s="22"/>
      <c r="C234" s="22"/>
      <c r="D234" s="23"/>
      <c r="E234" s="21"/>
      <c r="F234" s="21"/>
      <c r="G234" s="21"/>
      <c r="H234" s="22"/>
      <c r="I234" s="21"/>
      <c r="J234" s="21"/>
      <c r="K234" s="21"/>
      <c r="L234" s="21"/>
      <c r="M234" s="21"/>
      <c r="N234" s="21"/>
      <c r="O234" s="21"/>
      <c r="P234" s="21"/>
      <c r="Q234" s="21"/>
    </row>
    <row r="235" spans="1:17" ht="15.75" customHeight="1">
      <c r="A235" s="21"/>
      <c r="B235" s="22"/>
      <c r="C235" s="22"/>
      <c r="D235" s="23"/>
      <c r="E235" s="21"/>
      <c r="F235" s="21"/>
      <c r="G235" s="21"/>
      <c r="H235" s="22"/>
      <c r="I235" s="21"/>
      <c r="J235" s="21"/>
      <c r="K235" s="21"/>
      <c r="L235" s="21"/>
      <c r="M235" s="21"/>
      <c r="N235" s="21"/>
      <c r="O235" s="21"/>
      <c r="P235" s="21"/>
      <c r="Q235" s="21"/>
    </row>
    <row r="236" spans="1:17" ht="15.75" customHeight="1">
      <c r="A236" s="21"/>
      <c r="B236" s="22"/>
      <c r="C236" s="22"/>
      <c r="D236" s="23"/>
      <c r="E236" s="21"/>
      <c r="F236" s="21"/>
      <c r="G236" s="21"/>
      <c r="H236" s="22"/>
      <c r="I236" s="21"/>
      <c r="J236" s="21"/>
      <c r="K236" s="21"/>
      <c r="L236" s="21"/>
      <c r="M236" s="21"/>
      <c r="N236" s="21"/>
      <c r="O236" s="21"/>
      <c r="P236" s="21"/>
      <c r="Q236" s="21"/>
    </row>
    <row r="237" spans="1:17" ht="15.75" customHeight="1">
      <c r="A237" s="21"/>
      <c r="B237" s="22"/>
      <c r="C237" s="22"/>
      <c r="D237" s="23"/>
      <c r="E237" s="21"/>
      <c r="F237" s="21"/>
      <c r="G237" s="21"/>
      <c r="H237" s="22"/>
      <c r="I237" s="21"/>
      <c r="J237" s="21"/>
      <c r="K237" s="21"/>
      <c r="L237" s="21"/>
      <c r="M237" s="21"/>
      <c r="N237" s="21"/>
      <c r="O237" s="21"/>
      <c r="P237" s="21"/>
      <c r="Q237" s="21"/>
    </row>
    <row r="238" spans="1:17" ht="15.75" customHeight="1">
      <c r="A238" s="21"/>
      <c r="B238" s="22"/>
      <c r="C238" s="22"/>
      <c r="D238" s="23"/>
      <c r="E238" s="21"/>
      <c r="F238" s="21"/>
      <c r="G238" s="21"/>
      <c r="H238" s="22"/>
      <c r="I238" s="21"/>
      <c r="J238" s="21"/>
      <c r="K238" s="21"/>
      <c r="L238" s="21"/>
      <c r="M238" s="21"/>
      <c r="N238" s="21"/>
      <c r="O238" s="21"/>
      <c r="P238" s="21"/>
      <c r="Q238" s="21"/>
    </row>
    <row r="239" spans="1:17" ht="15.75" customHeight="1">
      <c r="A239" s="21"/>
      <c r="B239" s="22"/>
      <c r="C239" s="22"/>
      <c r="D239" s="23"/>
      <c r="E239" s="21"/>
      <c r="F239" s="21"/>
      <c r="G239" s="21"/>
      <c r="H239" s="22"/>
      <c r="I239" s="21"/>
      <c r="J239" s="21"/>
      <c r="K239" s="21"/>
      <c r="L239" s="21"/>
      <c r="M239" s="21"/>
      <c r="N239" s="21"/>
      <c r="O239" s="21"/>
      <c r="P239" s="21"/>
      <c r="Q239" s="21"/>
    </row>
    <row r="240" spans="1:17" ht="15.75" customHeight="1">
      <c r="A240" s="21"/>
      <c r="B240" s="22"/>
      <c r="C240" s="22"/>
      <c r="D240" s="23"/>
      <c r="E240" s="21"/>
      <c r="F240" s="21"/>
      <c r="G240" s="21"/>
      <c r="H240" s="22"/>
      <c r="I240" s="21"/>
      <c r="J240" s="21"/>
      <c r="K240" s="21"/>
      <c r="L240" s="21"/>
      <c r="M240" s="21"/>
      <c r="N240" s="21"/>
      <c r="O240" s="21"/>
      <c r="P240" s="21"/>
      <c r="Q240" s="21"/>
    </row>
    <row r="241" spans="1:17" ht="15.75" customHeight="1">
      <c r="A241" s="21"/>
      <c r="B241" s="22"/>
      <c r="C241" s="22"/>
      <c r="D241" s="23"/>
      <c r="E241" s="21"/>
      <c r="F241" s="21"/>
      <c r="G241" s="21"/>
      <c r="H241" s="22"/>
      <c r="I241" s="21"/>
      <c r="J241" s="21"/>
      <c r="K241" s="21"/>
      <c r="L241" s="21"/>
      <c r="M241" s="21"/>
      <c r="N241" s="21"/>
      <c r="O241" s="21"/>
      <c r="P241" s="21"/>
      <c r="Q241" s="21"/>
    </row>
    <row r="242" spans="1:17" ht="15.75" customHeight="1">
      <c r="A242" s="21"/>
      <c r="B242" s="22"/>
      <c r="C242" s="22"/>
      <c r="D242" s="23"/>
      <c r="E242" s="21"/>
      <c r="F242" s="21"/>
      <c r="G242" s="21"/>
      <c r="H242" s="22"/>
      <c r="I242" s="21"/>
      <c r="J242" s="21"/>
      <c r="K242" s="21"/>
      <c r="L242" s="21"/>
      <c r="M242" s="21"/>
      <c r="N242" s="21"/>
      <c r="O242" s="21"/>
      <c r="P242" s="21"/>
      <c r="Q242" s="21"/>
    </row>
    <row r="243" spans="1:17" ht="15.75" customHeight="1">
      <c r="A243" s="21"/>
      <c r="B243" s="22"/>
      <c r="C243" s="22"/>
      <c r="D243" s="23"/>
      <c r="E243" s="21"/>
      <c r="F243" s="21"/>
      <c r="G243" s="21"/>
      <c r="H243" s="22"/>
      <c r="I243" s="21"/>
      <c r="J243" s="21"/>
      <c r="K243" s="21"/>
      <c r="L243" s="21"/>
      <c r="M243" s="21"/>
      <c r="N243" s="21"/>
      <c r="O243" s="21"/>
      <c r="P243" s="21"/>
      <c r="Q243" s="21"/>
    </row>
    <row r="244" spans="1:17" ht="15.75" customHeight="1">
      <c r="A244" s="21"/>
      <c r="B244" s="22"/>
      <c r="C244" s="22"/>
      <c r="D244" s="23"/>
      <c r="E244" s="21"/>
      <c r="F244" s="21"/>
      <c r="G244" s="21"/>
      <c r="H244" s="22"/>
      <c r="I244" s="21"/>
      <c r="J244" s="21"/>
      <c r="K244" s="21"/>
      <c r="L244" s="21"/>
      <c r="M244" s="21"/>
      <c r="N244" s="21"/>
      <c r="O244" s="21"/>
      <c r="P244" s="21"/>
      <c r="Q244" s="21"/>
    </row>
    <row r="245" spans="1:17" ht="15.75" customHeight="1">
      <c r="A245" s="21"/>
      <c r="B245" s="22"/>
      <c r="C245" s="22"/>
      <c r="D245" s="23"/>
      <c r="E245" s="21"/>
      <c r="F245" s="21"/>
      <c r="G245" s="21"/>
      <c r="H245" s="22"/>
      <c r="I245" s="21"/>
      <c r="J245" s="21"/>
      <c r="K245" s="21"/>
      <c r="L245" s="21"/>
      <c r="M245" s="21"/>
      <c r="N245" s="21"/>
      <c r="O245" s="21"/>
      <c r="P245" s="21"/>
      <c r="Q245" s="21"/>
    </row>
    <row r="246" spans="1:17" ht="15.75" customHeight="1">
      <c r="A246" s="21"/>
      <c r="B246" s="22"/>
      <c r="C246" s="22"/>
      <c r="D246" s="23"/>
      <c r="E246" s="21"/>
      <c r="F246" s="21"/>
      <c r="G246" s="21"/>
      <c r="H246" s="22"/>
      <c r="I246" s="21"/>
      <c r="J246" s="21"/>
      <c r="K246" s="21"/>
      <c r="L246" s="21"/>
      <c r="M246" s="21"/>
      <c r="N246" s="21"/>
      <c r="O246" s="21"/>
      <c r="P246" s="21"/>
      <c r="Q246" s="21"/>
    </row>
    <row r="247" spans="1:17" ht="15.75" customHeight="1">
      <c r="A247" s="21"/>
      <c r="B247" s="22"/>
      <c r="C247" s="22"/>
      <c r="D247" s="23"/>
      <c r="E247" s="21"/>
      <c r="F247" s="21"/>
      <c r="G247" s="21"/>
      <c r="H247" s="22"/>
      <c r="I247" s="21"/>
      <c r="J247" s="21"/>
      <c r="K247" s="21"/>
      <c r="L247" s="21"/>
      <c r="M247" s="21"/>
      <c r="N247" s="21"/>
      <c r="O247" s="21"/>
      <c r="P247" s="21"/>
      <c r="Q247" s="21"/>
    </row>
    <row r="248" spans="1:17" ht="15.75" customHeight="1">
      <c r="A248" s="21"/>
      <c r="B248" s="22"/>
      <c r="C248" s="22"/>
      <c r="D248" s="23"/>
      <c r="E248" s="21"/>
      <c r="F248" s="21"/>
      <c r="G248" s="21"/>
      <c r="H248" s="22"/>
      <c r="I248" s="21"/>
      <c r="J248" s="21"/>
      <c r="K248" s="21"/>
      <c r="L248" s="21"/>
      <c r="M248" s="21"/>
      <c r="N248" s="21"/>
      <c r="O248" s="21"/>
      <c r="P248" s="21"/>
      <c r="Q248" s="21"/>
    </row>
    <row r="249" spans="1:17" ht="15.75" customHeight="1">
      <c r="A249" s="21"/>
      <c r="B249" s="22"/>
      <c r="C249" s="22"/>
      <c r="D249" s="23"/>
      <c r="E249" s="21"/>
      <c r="F249" s="21"/>
      <c r="G249" s="21"/>
      <c r="H249" s="22"/>
      <c r="I249" s="21"/>
      <c r="J249" s="21"/>
      <c r="K249" s="21"/>
      <c r="L249" s="21"/>
      <c r="M249" s="21"/>
      <c r="N249" s="21"/>
      <c r="O249" s="21"/>
      <c r="P249" s="21"/>
      <c r="Q249" s="21"/>
    </row>
    <row r="250" spans="1:17" ht="15.75" customHeight="1">
      <c r="A250" s="21"/>
      <c r="B250" s="22"/>
      <c r="C250" s="22"/>
      <c r="D250" s="23"/>
      <c r="E250" s="21"/>
      <c r="F250" s="21"/>
      <c r="G250" s="21"/>
      <c r="H250" s="22"/>
      <c r="I250" s="21"/>
      <c r="J250" s="21"/>
      <c r="K250" s="21"/>
      <c r="L250" s="21"/>
      <c r="M250" s="21"/>
      <c r="N250" s="21"/>
      <c r="O250" s="21"/>
      <c r="P250" s="21"/>
      <c r="Q250" s="21"/>
    </row>
    <row r="251" spans="1:17" ht="15.75" customHeight="1">
      <c r="A251" s="21"/>
      <c r="B251" s="22"/>
      <c r="C251" s="22"/>
      <c r="D251" s="23"/>
      <c r="E251" s="21"/>
      <c r="F251" s="21"/>
      <c r="G251" s="21"/>
      <c r="H251" s="22"/>
      <c r="I251" s="21"/>
      <c r="J251" s="21"/>
      <c r="K251" s="21"/>
      <c r="L251" s="21"/>
      <c r="M251" s="21"/>
      <c r="N251" s="21"/>
      <c r="O251" s="21"/>
      <c r="P251" s="21"/>
      <c r="Q251" s="21"/>
    </row>
    <row r="252" spans="1:17" ht="15.75" customHeight="1">
      <c r="D252" s="58"/>
    </row>
    <row r="253" spans="1:17" ht="15.75" customHeight="1">
      <c r="D253" s="58"/>
    </row>
    <row r="254" spans="1:17" ht="15.75" customHeight="1">
      <c r="D254" s="58"/>
    </row>
    <row r="255" spans="1:17" ht="15.75" customHeight="1">
      <c r="D255" s="58"/>
    </row>
    <row r="256" spans="1:17" ht="15.75" customHeight="1">
      <c r="D256" s="58"/>
    </row>
    <row r="257" spans="4:4" ht="15.75" customHeight="1">
      <c r="D257" s="58"/>
    </row>
    <row r="258" spans="4:4" ht="15.75" customHeight="1">
      <c r="D258" s="58"/>
    </row>
    <row r="259" spans="4:4" ht="15.75" customHeight="1">
      <c r="D259" s="58"/>
    </row>
    <row r="260" spans="4:4" ht="15.75" customHeight="1">
      <c r="D260" s="58"/>
    </row>
    <row r="261" spans="4:4" ht="15.75" customHeight="1">
      <c r="D261" s="58"/>
    </row>
    <row r="262" spans="4:4" ht="15.75" customHeight="1">
      <c r="D262" s="58"/>
    </row>
    <row r="263" spans="4:4" ht="15.75" customHeight="1">
      <c r="D263" s="58"/>
    </row>
    <row r="264" spans="4:4" ht="15.75" customHeight="1">
      <c r="D264" s="58"/>
    </row>
    <row r="265" spans="4:4" ht="15.75" customHeight="1">
      <c r="D265" s="58"/>
    </row>
    <row r="266" spans="4:4" ht="15.75" customHeight="1">
      <c r="D266" s="58"/>
    </row>
    <row r="267" spans="4:4" ht="15.75" customHeight="1">
      <c r="D267" s="58"/>
    </row>
    <row r="268" spans="4:4" ht="15.75" customHeight="1">
      <c r="D268" s="58"/>
    </row>
    <row r="269" spans="4:4" ht="15.75" customHeight="1">
      <c r="D269" s="58"/>
    </row>
    <row r="270" spans="4:4" ht="15.75" customHeight="1">
      <c r="D270" s="58"/>
    </row>
    <row r="271" spans="4:4" ht="15.75" customHeight="1">
      <c r="D271" s="58"/>
    </row>
    <row r="272" spans="4:4" ht="15.75" customHeight="1">
      <c r="D272" s="58"/>
    </row>
    <row r="273" spans="4:4" ht="15.75" customHeight="1">
      <c r="D273" s="58"/>
    </row>
    <row r="274" spans="4:4" ht="15.75" customHeight="1">
      <c r="D274" s="58"/>
    </row>
    <row r="275" spans="4:4" ht="15.75" customHeight="1">
      <c r="D275" s="58"/>
    </row>
    <row r="276" spans="4:4" ht="15.75" customHeight="1">
      <c r="D276" s="58"/>
    </row>
    <row r="277" spans="4:4" ht="15.75" customHeight="1">
      <c r="D277" s="58"/>
    </row>
    <row r="278" spans="4:4" ht="15.75" customHeight="1">
      <c r="D278" s="58"/>
    </row>
    <row r="279" spans="4:4" ht="15.75" customHeight="1">
      <c r="D279" s="58"/>
    </row>
    <row r="280" spans="4:4" ht="15.75" customHeight="1">
      <c r="D280" s="58"/>
    </row>
    <row r="281" spans="4:4" ht="15.75" customHeight="1">
      <c r="D281" s="58"/>
    </row>
    <row r="282" spans="4:4" ht="15.75" customHeight="1">
      <c r="D282" s="58"/>
    </row>
    <row r="283" spans="4:4" ht="15.75" customHeight="1">
      <c r="D283" s="58"/>
    </row>
    <row r="284" spans="4:4" ht="15.75" customHeight="1">
      <c r="D284" s="58"/>
    </row>
    <row r="285" spans="4:4" ht="15.75" customHeight="1">
      <c r="D285" s="58"/>
    </row>
    <row r="286" spans="4:4" ht="15.75" customHeight="1">
      <c r="D286" s="58"/>
    </row>
    <row r="287" spans="4:4" ht="15.75" customHeight="1">
      <c r="D287" s="58"/>
    </row>
    <row r="288" spans="4:4" ht="15.75" customHeight="1">
      <c r="D288" s="58"/>
    </row>
    <row r="289" spans="4:4" ht="15.75" customHeight="1">
      <c r="D289" s="58"/>
    </row>
    <row r="290" spans="4:4" ht="15.75" customHeight="1">
      <c r="D290" s="58"/>
    </row>
    <row r="291" spans="4:4" ht="15.75" customHeight="1">
      <c r="D291" s="58"/>
    </row>
    <row r="292" spans="4:4" ht="15.75" customHeight="1">
      <c r="D292" s="58"/>
    </row>
    <row r="293" spans="4:4" ht="15.75" customHeight="1">
      <c r="D293" s="58"/>
    </row>
    <row r="294" spans="4:4" ht="15.75" customHeight="1">
      <c r="D294" s="58"/>
    </row>
    <row r="295" spans="4:4" ht="15.75" customHeight="1">
      <c r="D295" s="58"/>
    </row>
    <row r="296" spans="4:4" ht="15.75" customHeight="1">
      <c r="D296" s="58"/>
    </row>
    <row r="297" spans="4:4" ht="15.75" customHeight="1">
      <c r="D297" s="58"/>
    </row>
    <row r="298" spans="4:4" ht="15.75" customHeight="1">
      <c r="D298" s="58"/>
    </row>
    <row r="299" spans="4:4" ht="15.75" customHeight="1">
      <c r="D299" s="58"/>
    </row>
    <row r="300" spans="4:4" ht="15.75" customHeight="1">
      <c r="D300" s="58"/>
    </row>
    <row r="301" spans="4:4" ht="15.75" customHeight="1">
      <c r="D301" s="58"/>
    </row>
    <row r="302" spans="4:4" ht="15.75" customHeight="1">
      <c r="D302" s="58"/>
    </row>
    <row r="303" spans="4:4" ht="15.75" customHeight="1">
      <c r="D303" s="58"/>
    </row>
    <row r="304" spans="4:4" ht="15.75" customHeight="1">
      <c r="D304" s="58"/>
    </row>
    <row r="305" spans="4:4" ht="15.75" customHeight="1">
      <c r="D305" s="58"/>
    </row>
    <row r="306" spans="4:4" ht="15.75" customHeight="1">
      <c r="D306" s="58"/>
    </row>
    <row r="307" spans="4:4" ht="15.75" customHeight="1">
      <c r="D307" s="58"/>
    </row>
    <row r="308" spans="4:4" ht="15.75" customHeight="1">
      <c r="D308" s="58"/>
    </row>
    <row r="309" spans="4:4" ht="15.75" customHeight="1">
      <c r="D309" s="58"/>
    </row>
    <row r="310" spans="4:4" ht="15.75" customHeight="1">
      <c r="D310" s="58"/>
    </row>
    <row r="311" spans="4:4" ht="15.75" customHeight="1">
      <c r="D311" s="58"/>
    </row>
    <row r="312" spans="4:4" ht="15.75" customHeight="1">
      <c r="D312" s="58"/>
    </row>
    <row r="313" spans="4:4" ht="15.75" customHeight="1">
      <c r="D313" s="58"/>
    </row>
    <row r="314" spans="4:4" ht="15.75" customHeight="1">
      <c r="D314" s="58"/>
    </row>
    <row r="315" spans="4:4" ht="15.75" customHeight="1">
      <c r="D315" s="58"/>
    </row>
    <row r="316" spans="4:4" ht="15.75" customHeight="1">
      <c r="D316" s="58"/>
    </row>
    <row r="317" spans="4:4" ht="15.75" customHeight="1">
      <c r="D317" s="58"/>
    </row>
    <row r="318" spans="4:4" ht="15.75" customHeight="1">
      <c r="D318" s="58"/>
    </row>
    <row r="319" spans="4:4" ht="15.75" customHeight="1">
      <c r="D319" s="58"/>
    </row>
    <row r="320" spans="4:4" ht="15.75" customHeight="1">
      <c r="D320" s="58"/>
    </row>
    <row r="321" spans="4:4" ht="15.75" customHeight="1">
      <c r="D321" s="58"/>
    </row>
    <row r="322" spans="4:4" ht="15.75" customHeight="1">
      <c r="D322" s="58"/>
    </row>
    <row r="323" spans="4:4" ht="15.75" customHeight="1">
      <c r="D323" s="58"/>
    </row>
    <row r="324" spans="4:4" ht="15.75" customHeight="1">
      <c r="D324" s="58"/>
    </row>
    <row r="325" spans="4:4" ht="15.75" customHeight="1">
      <c r="D325" s="58"/>
    </row>
    <row r="326" spans="4:4" ht="15.75" customHeight="1">
      <c r="D326" s="58"/>
    </row>
    <row r="327" spans="4:4" ht="15.75" customHeight="1">
      <c r="D327" s="58"/>
    </row>
    <row r="328" spans="4:4" ht="15.75" customHeight="1">
      <c r="D328" s="58"/>
    </row>
    <row r="329" spans="4:4" ht="15.75" customHeight="1">
      <c r="D329" s="58"/>
    </row>
    <row r="330" spans="4:4" ht="15.75" customHeight="1">
      <c r="D330" s="58"/>
    </row>
    <row r="331" spans="4:4" ht="15.75" customHeight="1">
      <c r="D331" s="58"/>
    </row>
    <row r="332" spans="4:4" ht="15.75" customHeight="1">
      <c r="D332" s="58"/>
    </row>
    <row r="333" spans="4:4" ht="15.75" customHeight="1">
      <c r="D333" s="58"/>
    </row>
    <row r="334" spans="4:4" ht="15.75" customHeight="1">
      <c r="D334" s="58"/>
    </row>
    <row r="335" spans="4:4" ht="15.75" customHeight="1">
      <c r="D335" s="58"/>
    </row>
    <row r="336" spans="4:4" ht="15.75" customHeight="1">
      <c r="D336" s="58"/>
    </row>
    <row r="337" spans="4:4" ht="15.75" customHeight="1">
      <c r="D337" s="58"/>
    </row>
    <row r="338" spans="4:4" ht="15.75" customHeight="1">
      <c r="D338" s="58"/>
    </row>
    <row r="339" spans="4:4" ht="15.75" customHeight="1">
      <c r="D339" s="58"/>
    </row>
    <row r="340" spans="4:4" ht="15.75" customHeight="1">
      <c r="D340" s="58"/>
    </row>
    <row r="341" spans="4:4" ht="15.75" customHeight="1">
      <c r="D341" s="58"/>
    </row>
    <row r="342" spans="4:4" ht="15.75" customHeight="1">
      <c r="D342" s="58"/>
    </row>
    <row r="343" spans="4:4" ht="15.75" customHeight="1">
      <c r="D343" s="58"/>
    </row>
    <row r="344" spans="4:4" ht="15.75" customHeight="1">
      <c r="D344" s="58"/>
    </row>
    <row r="345" spans="4:4" ht="15.75" customHeight="1">
      <c r="D345" s="58"/>
    </row>
    <row r="346" spans="4:4" ht="15.75" customHeight="1">
      <c r="D346" s="58"/>
    </row>
    <row r="347" spans="4:4" ht="15.75" customHeight="1">
      <c r="D347" s="58"/>
    </row>
    <row r="348" spans="4:4" ht="15.75" customHeight="1">
      <c r="D348" s="58"/>
    </row>
    <row r="349" spans="4:4" ht="15.75" customHeight="1">
      <c r="D349" s="58"/>
    </row>
    <row r="350" spans="4:4" ht="15.75" customHeight="1">
      <c r="D350" s="58"/>
    </row>
    <row r="351" spans="4:4" ht="15.75" customHeight="1">
      <c r="D351" s="58"/>
    </row>
    <row r="352" spans="4:4" ht="15.75" customHeight="1">
      <c r="D352" s="58"/>
    </row>
    <row r="353" spans="4:4" ht="15.75" customHeight="1">
      <c r="D353" s="58"/>
    </row>
    <row r="354" spans="4:4" ht="15.75" customHeight="1">
      <c r="D354" s="58"/>
    </row>
    <row r="355" spans="4:4" ht="15.75" customHeight="1">
      <c r="D355" s="58"/>
    </row>
    <row r="356" spans="4:4" ht="15.75" customHeight="1">
      <c r="D356" s="58"/>
    </row>
    <row r="357" spans="4:4" ht="15.75" customHeight="1">
      <c r="D357" s="58"/>
    </row>
    <row r="358" spans="4:4" ht="15.75" customHeight="1">
      <c r="D358" s="58"/>
    </row>
    <row r="359" spans="4:4" ht="15.75" customHeight="1">
      <c r="D359" s="58"/>
    </row>
    <row r="360" spans="4:4" ht="15.75" customHeight="1">
      <c r="D360" s="58"/>
    </row>
    <row r="361" spans="4:4" ht="15.75" customHeight="1">
      <c r="D361" s="58"/>
    </row>
    <row r="362" spans="4:4" ht="15.75" customHeight="1">
      <c r="D362" s="58"/>
    </row>
    <row r="363" spans="4:4" ht="15.75" customHeight="1">
      <c r="D363" s="58"/>
    </row>
    <row r="364" spans="4:4" ht="15.75" customHeight="1">
      <c r="D364" s="58"/>
    </row>
    <row r="365" spans="4:4" ht="15.75" customHeight="1">
      <c r="D365" s="58"/>
    </row>
    <row r="366" spans="4:4" ht="15.75" customHeight="1">
      <c r="D366" s="58"/>
    </row>
    <row r="367" spans="4:4" ht="15.75" customHeight="1">
      <c r="D367" s="58"/>
    </row>
    <row r="368" spans="4:4" ht="15.75" customHeight="1">
      <c r="D368" s="58"/>
    </row>
    <row r="369" spans="4:4" ht="15.75" customHeight="1">
      <c r="D369" s="58"/>
    </row>
    <row r="370" spans="4:4" ht="15.75" customHeight="1">
      <c r="D370" s="58"/>
    </row>
    <row r="371" spans="4:4" ht="15.75" customHeight="1">
      <c r="D371" s="58"/>
    </row>
    <row r="372" spans="4:4" ht="15.75" customHeight="1">
      <c r="D372" s="58"/>
    </row>
    <row r="373" spans="4:4" ht="15.75" customHeight="1">
      <c r="D373" s="58"/>
    </row>
    <row r="374" spans="4:4" ht="15.75" customHeight="1">
      <c r="D374" s="58"/>
    </row>
    <row r="375" spans="4:4" ht="15.75" customHeight="1">
      <c r="D375" s="58"/>
    </row>
    <row r="376" spans="4:4" ht="15.75" customHeight="1">
      <c r="D376" s="58"/>
    </row>
    <row r="377" spans="4:4" ht="15.75" customHeight="1">
      <c r="D377" s="58"/>
    </row>
    <row r="378" spans="4:4" ht="15.75" customHeight="1">
      <c r="D378" s="58"/>
    </row>
    <row r="379" spans="4:4" ht="15.75" customHeight="1">
      <c r="D379" s="58"/>
    </row>
    <row r="380" spans="4:4" ht="15.75" customHeight="1">
      <c r="D380" s="58"/>
    </row>
    <row r="381" spans="4:4" ht="15.75" customHeight="1">
      <c r="D381" s="58"/>
    </row>
    <row r="382" spans="4:4" ht="15.75" customHeight="1">
      <c r="D382" s="58"/>
    </row>
    <row r="383" spans="4:4" ht="15.75" customHeight="1">
      <c r="D383" s="58"/>
    </row>
    <row r="384" spans="4:4" ht="15.75" customHeight="1">
      <c r="D384" s="58"/>
    </row>
    <row r="385" spans="4:4" ht="15.75" customHeight="1">
      <c r="D385" s="58"/>
    </row>
    <row r="386" spans="4:4" ht="15.75" customHeight="1">
      <c r="D386" s="58"/>
    </row>
    <row r="387" spans="4:4" ht="15.75" customHeight="1">
      <c r="D387" s="58"/>
    </row>
    <row r="388" spans="4:4" ht="15.75" customHeight="1">
      <c r="D388" s="58"/>
    </row>
    <row r="389" spans="4:4" ht="15.75" customHeight="1">
      <c r="D389" s="58"/>
    </row>
    <row r="390" spans="4:4" ht="15.75" customHeight="1">
      <c r="D390" s="58"/>
    </row>
    <row r="391" spans="4:4" ht="15.75" customHeight="1">
      <c r="D391" s="58"/>
    </row>
    <row r="392" spans="4:4" ht="15.75" customHeight="1">
      <c r="D392" s="58"/>
    </row>
    <row r="393" spans="4:4" ht="15.75" customHeight="1">
      <c r="D393" s="58"/>
    </row>
    <row r="394" spans="4:4" ht="15.75" customHeight="1">
      <c r="D394" s="58"/>
    </row>
    <row r="395" spans="4:4" ht="15.75" customHeight="1">
      <c r="D395" s="58"/>
    </row>
    <row r="396" spans="4:4" ht="15.75" customHeight="1">
      <c r="D396" s="58"/>
    </row>
    <row r="397" spans="4:4" ht="15.75" customHeight="1">
      <c r="D397" s="58"/>
    </row>
    <row r="398" spans="4:4" ht="15.75" customHeight="1">
      <c r="D398" s="58"/>
    </row>
    <row r="399" spans="4:4" ht="15.75" customHeight="1">
      <c r="D399" s="58"/>
    </row>
    <row r="400" spans="4:4" ht="15.75" customHeight="1">
      <c r="D400" s="58"/>
    </row>
    <row r="401" spans="4:4" ht="15.75" customHeight="1">
      <c r="D401" s="58"/>
    </row>
    <row r="402" spans="4:4" ht="15.75" customHeight="1">
      <c r="D402" s="58"/>
    </row>
    <row r="403" spans="4:4" ht="15.75" customHeight="1">
      <c r="D403" s="58"/>
    </row>
    <row r="404" spans="4:4" ht="15.75" customHeight="1">
      <c r="D404" s="58"/>
    </row>
    <row r="405" spans="4:4" ht="15.75" customHeight="1">
      <c r="D405" s="58"/>
    </row>
    <row r="406" spans="4:4" ht="15.75" customHeight="1">
      <c r="D406" s="58"/>
    </row>
    <row r="407" spans="4:4" ht="15.75" customHeight="1">
      <c r="D407" s="58"/>
    </row>
    <row r="408" spans="4:4" ht="15.75" customHeight="1">
      <c r="D408" s="58"/>
    </row>
    <row r="409" spans="4:4" ht="15.75" customHeight="1">
      <c r="D409" s="58"/>
    </row>
    <row r="410" spans="4:4" ht="15.75" customHeight="1">
      <c r="D410" s="58"/>
    </row>
    <row r="411" spans="4:4" ht="15.75" customHeight="1">
      <c r="D411" s="58"/>
    </row>
    <row r="412" spans="4:4" ht="15.75" customHeight="1">
      <c r="D412" s="58"/>
    </row>
    <row r="413" spans="4:4" ht="15.75" customHeight="1">
      <c r="D413" s="58"/>
    </row>
    <row r="414" spans="4:4" ht="15.75" customHeight="1">
      <c r="D414" s="58"/>
    </row>
    <row r="415" spans="4:4" ht="15.75" customHeight="1">
      <c r="D415" s="58"/>
    </row>
    <row r="416" spans="4:4" ht="15.75" customHeight="1">
      <c r="D416" s="58"/>
    </row>
    <row r="417" spans="4:4" ht="15.75" customHeight="1">
      <c r="D417" s="58"/>
    </row>
    <row r="418" spans="4:4" ht="15.75" customHeight="1">
      <c r="D418" s="58"/>
    </row>
    <row r="419" spans="4:4" ht="15.75" customHeight="1">
      <c r="D419" s="58"/>
    </row>
    <row r="420" spans="4:4" ht="15.75" customHeight="1">
      <c r="D420" s="58"/>
    </row>
    <row r="421" spans="4:4" ht="15.75" customHeight="1">
      <c r="D421" s="58"/>
    </row>
    <row r="422" spans="4:4" ht="15.75" customHeight="1">
      <c r="D422" s="58"/>
    </row>
    <row r="423" spans="4:4" ht="15.75" customHeight="1">
      <c r="D423" s="58"/>
    </row>
    <row r="424" spans="4:4" ht="15.75" customHeight="1">
      <c r="D424" s="58"/>
    </row>
    <row r="425" spans="4:4" ht="15.75" customHeight="1">
      <c r="D425" s="58"/>
    </row>
    <row r="426" spans="4:4" ht="15.75" customHeight="1">
      <c r="D426" s="58"/>
    </row>
    <row r="427" spans="4:4" ht="15.75" customHeight="1">
      <c r="D427" s="58"/>
    </row>
    <row r="428" spans="4:4" ht="15.75" customHeight="1">
      <c r="D428" s="58"/>
    </row>
    <row r="429" spans="4:4" ht="15.75" customHeight="1">
      <c r="D429" s="58"/>
    </row>
    <row r="430" spans="4:4" ht="15.75" customHeight="1">
      <c r="D430" s="58"/>
    </row>
    <row r="431" spans="4:4" ht="15.75" customHeight="1">
      <c r="D431" s="58"/>
    </row>
    <row r="432" spans="4:4" ht="15.75" customHeight="1">
      <c r="D432" s="58"/>
    </row>
    <row r="433" spans="4:4" ht="15.75" customHeight="1">
      <c r="D433" s="58"/>
    </row>
    <row r="434" spans="4:4" ht="15.75" customHeight="1">
      <c r="D434" s="58"/>
    </row>
    <row r="435" spans="4:4" ht="15.75" customHeight="1">
      <c r="D435" s="58"/>
    </row>
    <row r="436" spans="4:4" ht="15.75" customHeight="1">
      <c r="D436" s="58"/>
    </row>
    <row r="437" spans="4:4" ht="15.75" customHeight="1">
      <c r="D437" s="58"/>
    </row>
    <row r="438" spans="4:4" ht="15.75" customHeight="1">
      <c r="D438" s="58"/>
    </row>
    <row r="439" spans="4:4" ht="15.75" customHeight="1">
      <c r="D439" s="58"/>
    </row>
    <row r="440" spans="4:4" ht="15.75" customHeight="1">
      <c r="D440" s="58"/>
    </row>
    <row r="441" spans="4:4" ht="15.75" customHeight="1">
      <c r="D441" s="58"/>
    </row>
    <row r="442" spans="4:4" ht="15.75" customHeight="1">
      <c r="D442" s="58"/>
    </row>
    <row r="443" spans="4:4" ht="15.75" customHeight="1">
      <c r="D443" s="58"/>
    </row>
    <row r="444" spans="4:4" ht="15.75" customHeight="1">
      <c r="D444" s="58"/>
    </row>
    <row r="445" spans="4:4" ht="15.75" customHeight="1">
      <c r="D445" s="58"/>
    </row>
    <row r="446" spans="4:4" ht="15.75" customHeight="1">
      <c r="D446" s="58"/>
    </row>
    <row r="447" spans="4:4" ht="15.75" customHeight="1">
      <c r="D447" s="58"/>
    </row>
    <row r="448" spans="4:4" ht="15.75" customHeight="1">
      <c r="D448" s="58"/>
    </row>
    <row r="449" spans="4:4" ht="15.75" customHeight="1">
      <c r="D449" s="58"/>
    </row>
    <row r="450" spans="4:4" ht="15.75" customHeight="1">
      <c r="D450" s="58"/>
    </row>
    <row r="451" spans="4:4" ht="15.75" customHeight="1">
      <c r="D451" s="58"/>
    </row>
    <row r="452" spans="4:4" ht="15.75" customHeight="1">
      <c r="D452" s="58"/>
    </row>
    <row r="453" spans="4:4" ht="15.75" customHeight="1">
      <c r="D453" s="58"/>
    </row>
    <row r="454" spans="4:4" ht="15.75" customHeight="1">
      <c r="D454" s="58"/>
    </row>
    <row r="455" spans="4:4" ht="15.75" customHeight="1">
      <c r="D455" s="58"/>
    </row>
    <row r="456" spans="4:4" ht="15.75" customHeight="1">
      <c r="D456" s="58"/>
    </row>
    <row r="457" spans="4:4" ht="15.75" customHeight="1">
      <c r="D457" s="58"/>
    </row>
    <row r="458" spans="4:4" ht="15.75" customHeight="1">
      <c r="D458" s="58"/>
    </row>
    <row r="459" spans="4:4" ht="15.75" customHeight="1">
      <c r="D459" s="58"/>
    </row>
    <row r="460" spans="4:4" ht="15.75" customHeight="1">
      <c r="D460" s="58"/>
    </row>
    <row r="461" spans="4:4" ht="15.75" customHeight="1">
      <c r="D461" s="58"/>
    </row>
    <row r="462" spans="4:4" ht="15.75" customHeight="1">
      <c r="D462" s="58"/>
    </row>
    <row r="463" spans="4:4" ht="15.75" customHeight="1">
      <c r="D463" s="58"/>
    </row>
    <row r="464" spans="4:4" ht="15.75" customHeight="1">
      <c r="D464" s="58"/>
    </row>
    <row r="465" spans="4:4" ht="15.75" customHeight="1">
      <c r="D465" s="58"/>
    </row>
    <row r="466" spans="4:4" ht="15.75" customHeight="1">
      <c r="D466" s="58"/>
    </row>
    <row r="467" spans="4:4" ht="15.75" customHeight="1">
      <c r="D467" s="58"/>
    </row>
    <row r="468" spans="4:4" ht="15.75" customHeight="1">
      <c r="D468" s="58"/>
    </row>
    <row r="469" spans="4:4" ht="15.75" customHeight="1">
      <c r="D469" s="58"/>
    </row>
    <row r="470" spans="4:4" ht="15.75" customHeight="1">
      <c r="D470" s="58"/>
    </row>
    <row r="471" spans="4:4" ht="15.75" customHeight="1">
      <c r="D471" s="58"/>
    </row>
    <row r="472" spans="4:4" ht="15.75" customHeight="1">
      <c r="D472" s="58"/>
    </row>
    <row r="473" spans="4:4" ht="15.75" customHeight="1">
      <c r="D473" s="58"/>
    </row>
    <row r="474" spans="4:4" ht="15.75" customHeight="1">
      <c r="D474" s="58"/>
    </row>
    <row r="475" spans="4:4" ht="15.75" customHeight="1">
      <c r="D475" s="58"/>
    </row>
    <row r="476" spans="4:4" ht="15.75" customHeight="1">
      <c r="D476" s="58"/>
    </row>
    <row r="477" spans="4:4" ht="15.75" customHeight="1">
      <c r="D477" s="58"/>
    </row>
    <row r="478" spans="4:4" ht="15.75" customHeight="1">
      <c r="D478" s="58"/>
    </row>
    <row r="479" spans="4:4" ht="15.75" customHeight="1">
      <c r="D479" s="58"/>
    </row>
    <row r="480" spans="4:4" ht="15.75" customHeight="1">
      <c r="D480" s="58"/>
    </row>
    <row r="481" spans="4:4" ht="15.75" customHeight="1">
      <c r="D481" s="58"/>
    </row>
    <row r="482" spans="4:4" ht="15.75" customHeight="1">
      <c r="D482" s="58"/>
    </row>
    <row r="483" spans="4:4" ht="15.75" customHeight="1">
      <c r="D483" s="58"/>
    </row>
    <row r="484" spans="4:4" ht="15.75" customHeight="1">
      <c r="D484" s="58"/>
    </row>
    <row r="485" spans="4:4" ht="15.75" customHeight="1">
      <c r="D485" s="58"/>
    </row>
    <row r="486" spans="4:4" ht="15.75" customHeight="1">
      <c r="D486" s="58"/>
    </row>
    <row r="487" spans="4:4" ht="15.75" customHeight="1">
      <c r="D487" s="58"/>
    </row>
    <row r="488" spans="4:4" ht="15.75" customHeight="1">
      <c r="D488" s="58"/>
    </row>
    <row r="489" spans="4:4" ht="15.75" customHeight="1">
      <c r="D489" s="58"/>
    </row>
    <row r="490" spans="4:4" ht="15.75" customHeight="1">
      <c r="D490" s="58"/>
    </row>
    <row r="491" spans="4:4" ht="15.75" customHeight="1">
      <c r="D491" s="58"/>
    </row>
    <row r="492" spans="4:4" ht="15.75" customHeight="1">
      <c r="D492" s="58"/>
    </row>
    <row r="493" spans="4:4" ht="15.75" customHeight="1">
      <c r="D493" s="58"/>
    </row>
    <row r="494" spans="4:4" ht="15.75" customHeight="1">
      <c r="D494" s="58"/>
    </row>
    <row r="495" spans="4:4" ht="15.75" customHeight="1">
      <c r="D495" s="58"/>
    </row>
    <row r="496" spans="4:4" ht="15.75" customHeight="1">
      <c r="D496" s="58"/>
    </row>
    <row r="497" spans="4:4" ht="15.75" customHeight="1">
      <c r="D497" s="58"/>
    </row>
    <row r="498" spans="4:4" ht="15.75" customHeight="1">
      <c r="D498" s="58"/>
    </row>
    <row r="499" spans="4:4" ht="15.75" customHeight="1">
      <c r="D499" s="58"/>
    </row>
    <row r="500" spans="4:4" ht="15.75" customHeight="1">
      <c r="D500" s="58"/>
    </row>
    <row r="501" spans="4:4" ht="15.75" customHeight="1">
      <c r="D501" s="58"/>
    </row>
    <row r="502" spans="4:4" ht="15.75" customHeight="1">
      <c r="D502" s="58"/>
    </row>
    <row r="503" spans="4:4" ht="15.75" customHeight="1">
      <c r="D503" s="58"/>
    </row>
    <row r="504" spans="4:4" ht="15.75" customHeight="1">
      <c r="D504" s="58"/>
    </row>
    <row r="505" spans="4:4" ht="15.75" customHeight="1">
      <c r="D505" s="58"/>
    </row>
    <row r="506" spans="4:4" ht="15.75" customHeight="1">
      <c r="D506" s="58"/>
    </row>
    <row r="507" spans="4:4" ht="15.75" customHeight="1">
      <c r="D507" s="58"/>
    </row>
    <row r="508" spans="4:4" ht="15.75" customHeight="1">
      <c r="D508" s="58"/>
    </row>
    <row r="509" spans="4:4" ht="15.75" customHeight="1">
      <c r="D509" s="58"/>
    </row>
    <row r="510" spans="4:4" ht="15.75" customHeight="1">
      <c r="D510" s="58"/>
    </row>
    <row r="511" spans="4:4" ht="15.75" customHeight="1">
      <c r="D511" s="58"/>
    </row>
    <row r="512" spans="4:4" ht="15.75" customHeight="1">
      <c r="D512" s="58"/>
    </row>
    <row r="513" spans="4:4" ht="15.75" customHeight="1">
      <c r="D513" s="58"/>
    </row>
    <row r="514" spans="4:4" ht="15.75" customHeight="1">
      <c r="D514" s="58"/>
    </row>
    <row r="515" spans="4:4" ht="15.75" customHeight="1">
      <c r="D515" s="58"/>
    </row>
    <row r="516" spans="4:4" ht="15.75" customHeight="1">
      <c r="D516" s="58"/>
    </row>
    <row r="517" spans="4:4" ht="15.75" customHeight="1">
      <c r="D517" s="58"/>
    </row>
    <row r="518" spans="4:4" ht="15.75" customHeight="1">
      <c r="D518" s="58"/>
    </row>
    <row r="519" spans="4:4" ht="15.75" customHeight="1">
      <c r="D519" s="58"/>
    </row>
    <row r="520" spans="4:4" ht="15.75" customHeight="1">
      <c r="D520" s="58"/>
    </row>
    <row r="521" spans="4:4" ht="15.75" customHeight="1">
      <c r="D521" s="58"/>
    </row>
    <row r="522" spans="4:4" ht="15.75" customHeight="1">
      <c r="D522" s="58"/>
    </row>
    <row r="523" spans="4:4" ht="15.75" customHeight="1">
      <c r="D523" s="58"/>
    </row>
    <row r="524" spans="4:4" ht="15.75" customHeight="1">
      <c r="D524" s="58"/>
    </row>
    <row r="525" spans="4:4" ht="15.75" customHeight="1">
      <c r="D525" s="58"/>
    </row>
    <row r="526" spans="4:4" ht="15.75" customHeight="1">
      <c r="D526" s="58"/>
    </row>
    <row r="527" spans="4:4" ht="15.75" customHeight="1">
      <c r="D527" s="58"/>
    </row>
    <row r="528" spans="4:4" ht="15.75" customHeight="1">
      <c r="D528" s="58"/>
    </row>
    <row r="529" spans="4:4" ht="15.75" customHeight="1">
      <c r="D529" s="58"/>
    </row>
    <row r="530" spans="4:4" ht="15.75" customHeight="1">
      <c r="D530" s="58"/>
    </row>
    <row r="531" spans="4:4" ht="15.75" customHeight="1">
      <c r="D531" s="58"/>
    </row>
    <row r="532" spans="4:4" ht="15.75" customHeight="1">
      <c r="D532" s="58"/>
    </row>
    <row r="533" spans="4:4" ht="15.75" customHeight="1">
      <c r="D533" s="58"/>
    </row>
    <row r="534" spans="4:4" ht="15.75" customHeight="1">
      <c r="D534" s="58"/>
    </row>
    <row r="535" spans="4:4" ht="15.75" customHeight="1">
      <c r="D535" s="58"/>
    </row>
    <row r="536" spans="4:4" ht="15.75" customHeight="1">
      <c r="D536" s="58"/>
    </row>
    <row r="537" spans="4:4" ht="15.75" customHeight="1">
      <c r="D537" s="58"/>
    </row>
    <row r="538" spans="4:4" ht="15.75" customHeight="1">
      <c r="D538" s="58"/>
    </row>
    <row r="539" spans="4:4" ht="15.75" customHeight="1">
      <c r="D539" s="58"/>
    </row>
    <row r="540" spans="4:4" ht="15.75" customHeight="1">
      <c r="D540" s="58"/>
    </row>
    <row r="541" spans="4:4" ht="15.75" customHeight="1">
      <c r="D541" s="58"/>
    </row>
    <row r="542" spans="4:4" ht="15.75" customHeight="1">
      <c r="D542" s="58"/>
    </row>
    <row r="543" spans="4:4" ht="15.75" customHeight="1">
      <c r="D543" s="58"/>
    </row>
    <row r="544" spans="4:4" ht="15.75" customHeight="1">
      <c r="D544" s="58"/>
    </row>
    <row r="545" spans="4:4" ht="15.75" customHeight="1">
      <c r="D545" s="58"/>
    </row>
    <row r="546" spans="4:4" ht="15.75" customHeight="1">
      <c r="D546" s="58"/>
    </row>
    <row r="547" spans="4:4" ht="15.75" customHeight="1">
      <c r="D547" s="58"/>
    </row>
    <row r="548" spans="4:4" ht="15.75" customHeight="1">
      <c r="D548" s="58"/>
    </row>
    <row r="549" spans="4:4" ht="15.75" customHeight="1">
      <c r="D549" s="58"/>
    </row>
    <row r="550" spans="4:4" ht="15.75" customHeight="1">
      <c r="D550" s="58"/>
    </row>
    <row r="551" spans="4:4" ht="15.75" customHeight="1">
      <c r="D551" s="58"/>
    </row>
    <row r="552" spans="4:4" ht="15.75" customHeight="1">
      <c r="D552" s="58"/>
    </row>
    <row r="553" spans="4:4" ht="15.75" customHeight="1">
      <c r="D553" s="58"/>
    </row>
    <row r="554" spans="4:4" ht="15.75" customHeight="1">
      <c r="D554" s="58"/>
    </row>
    <row r="555" spans="4:4" ht="15.75" customHeight="1">
      <c r="D555" s="58"/>
    </row>
    <row r="556" spans="4:4" ht="15.75" customHeight="1">
      <c r="D556" s="58"/>
    </row>
    <row r="557" spans="4:4" ht="15.75" customHeight="1">
      <c r="D557" s="58"/>
    </row>
    <row r="558" spans="4:4" ht="15.75" customHeight="1">
      <c r="D558" s="58"/>
    </row>
    <row r="559" spans="4:4" ht="15.75" customHeight="1">
      <c r="D559" s="58"/>
    </row>
    <row r="560" spans="4:4" ht="15.75" customHeight="1">
      <c r="D560" s="58"/>
    </row>
    <row r="561" spans="4:4" ht="15.75" customHeight="1">
      <c r="D561" s="58"/>
    </row>
    <row r="562" spans="4:4" ht="15.75" customHeight="1">
      <c r="D562" s="58"/>
    </row>
    <row r="563" spans="4:4" ht="15.75" customHeight="1">
      <c r="D563" s="58"/>
    </row>
    <row r="564" spans="4:4" ht="15.75" customHeight="1">
      <c r="D564" s="58"/>
    </row>
    <row r="565" spans="4:4" ht="15.75" customHeight="1">
      <c r="D565" s="58"/>
    </row>
    <row r="566" spans="4:4" ht="15.75" customHeight="1">
      <c r="D566" s="58"/>
    </row>
    <row r="567" spans="4:4" ht="15.75" customHeight="1">
      <c r="D567" s="58"/>
    </row>
    <row r="568" spans="4:4" ht="15.75" customHeight="1">
      <c r="D568" s="58"/>
    </row>
    <row r="569" spans="4:4" ht="15.75" customHeight="1">
      <c r="D569" s="58"/>
    </row>
    <row r="570" spans="4:4" ht="15.75" customHeight="1">
      <c r="D570" s="58"/>
    </row>
    <row r="571" spans="4:4" ht="15.75" customHeight="1">
      <c r="D571" s="58"/>
    </row>
    <row r="572" spans="4:4" ht="15.75" customHeight="1">
      <c r="D572" s="58"/>
    </row>
    <row r="573" spans="4:4" ht="15.75" customHeight="1">
      <c r="D573" s="58"/>
    </row>
    <row r="574" spans="4:4" ht="15.75" customHeight="1">
      <c r="D574" s="58"/>
    </row>
    <row r="575" spans="4:4" ht="15.75" customHeight="1">
      <c r="D575" s="58"/>
    </row>
    <row r="576" spans="4:4" ht="15.75" customHeight="1">
      <c r="D576" s="58"/>
    </row>
    <row r="577" spans="4:4" ht="15.75" customHeight="1">
      <c r="D577" s="58"/>
    </row>
    <row r="578" spans="4:4" ht="15.75" customHeight="1">
      <c r="D578" s="58"/>
    </row>
    <row r="579" spans="4:4" ht="15.75" customHeight="1">
      <c r="D579" s="58"/>
    </row>
    <row r="580" spans="4:4" ht="15.75" customHeight="1">
      <c r="D580" s="58"/>
    </row>
    <row r="581" spans="4:4" ht="15.75" customHeight="1">
      <c r="D581" s="58"/>
    </row>
    <row r="582" spans="4:4" ht="15.75" customHeight="1">
      <c r="D582" s="58"/>
    </row>
    <row r="583" spans="4:4" ht="15.75" customHeight="1">
      <c r="D583" s="58"/>
    </row>
    <row r="584" spans="4:4" ht="15.75" customHeight="1">
      <c r="D584" s="58"/>
    </row>
    <row r="585" spans="4:4" ht="15.75" customHeight="1">
      <c r="D585" s="58"/>
    </row>
    <row r="586" spans="4:4" ht="15.75" customHeight="1">
      <c r="D586" s="58"/>
    </row>
    <row r="587" spans="4:4" ht="15.75" customHeight="1">
      <c r="D587" s="58"/>
    </row>
    <row r="588" spans="4:4" ht="15.75" customHeight="1">
      <c r="D588" s="58"/>
    </row>
    <row r="589" spans="4:4" ht="15.75" customHeight="1">
      <c r="D589" s="58"/>
    </row>
    <row r="590" spans="4:4" ht="15.75" customHeight="1">
      <c r="D590" s="58"/>
    </row>
    <row r="591" spans="4:4" ht="15.75" customHeight="1">
      <c r="D591" s="58"/>
    </row>
    <row r="592" spans="4:4" ht="15.75" customHeight="1">
      <c r="D592" s="58"/>
    </row>
    <row r="593" spans="4:4" ht="15.75" customHeight="1">
      <c r="D593" s="58"/>
    </row>
    <row r="594" spans="4:4" ht="15.75" customHeight="1">
      <c r="D594" s="58"/>
    </row>
    <row r="595" spans="4:4" ht="15.75" customHeight="1">
      <c r="D595" s="58"/>
    </row>
    <row r="596" spans="4:4" ht="15.75" customHeight="1">
      <c r="D596" s="58"/>
    </row>
    <row r="597" spans="4:4" ht="15.75" customHeight="1">
      <c r="D597" s="58"/>
    </row>
    <row r="598" spans="4:4" ht="15.75" customHeight="1">
      <c r="D598" s="58"/>
    </row>
    <row r="599" spans="4:4" ht="15.75" customHeight="1">
      <c r="D599" s="58"/>
    </row>
    <row r="600" spans="4:4" ht="15.75" customHeight="1">
      <c r="D600" s="58"/>
    </row>
    <row r="601" spans="4:4" ht="15.75" customHeight="1">
      <c r="D601" s="58"/>
    </row>
    <row r="602" spans="4:4" ht="15.75" customHeight="1">
      <c r="D602" s="58"/>
    </row>
    <row r="603" spans="4:4" ht="15.75" customHeight="1">
      <c r="D603" s="58"/>
    </row>
    <row r="604" spans="4:4" ht="15.75" customHeight="1">
      <c r="D604" s="58"/>
    </row>
    <row r="605" spans="4:4" ht="15.75" customHeight="1">
      <c r="D605" s="58"/>
    </row>
    <row r="606" spans="4:4" ht="15.75" customHeight="1">
      <c r="D606" s="58"/>
    </row>
    <row r="607" spans="4:4" ht="15.75" customHeight="1">
      <c r="D607" s="58"/>
    </row>
    <row r="608" spans="4:4" ht="15.75" customHeight="1">
      <c r="D608" s="58"/>
    </row>
    <row r="609" spans="4:4" ht="15.75" customHeight="1">
      <c r="D609" s="58"/>
    </row>
    <row r="610" spans="4:4" ht="15.75" customHeight="1">
      <c r="D610" s="58"/>
    </row>
    <row r="611" spans="4:4" ht="15.75" customHeight="1">
      <c r="D611" s="58"/>
    </row>
    <row r="612" spans="4:4" ht="15.75" customHeight="1">
      <c r="D612" s="58"/>
    </row>
    <row r="613" spans="4:4" ht="15.75" customHeight="1">
      <c r="D613" s="58"/>
    </row>
    <row r="614" spans="4:4" ht="15.75" customHeight="1">
      <c r="D614" s="58"/>
    </row>
    <row r="615" spans="4:4" ht="15.75" customHeight="1">
      <c r="D615" s="58"/>
    </row>
    <row r="616" spans="4:4" ht="15.75" customHeight="1">
      <c r="D616" s="58"/>
    </row>
    <row r="617" spans="4:4" ht="15.75" customHeight="1">
      <c r="D617" s="58"/>
    </row>
    <row r="618" spans="4:4" ht="15.75" customHeight="1">
      <c r="D618" s="58"/>
    </row>
    <row r="619" spans="4:4" ht="15.75" customHeight="1">
      <c r="D619" s="58"/>
    </row>
    <row r="620" spans="4:4" ht="15.75" customHeight="1">
      <c r="D620" s="58"/>
    </row>
    <row r="621" spans="4:4" ht="15.75" customHeight="1">
      <c r="D621" s="58"/>
    </row>
    <row r="622" spans="4:4" ht="15.75" customHeight="1">
      <c r="D622" s="58"/>
    </row>
    <row r="623" spans="4:4" ht="15.75" customHeight="1">
      <c r="D623" s="58"/>
    </row>
    <row r="624" spans="4:4" ht="15.75" customHeight="1">
      <c r="D624" s="58"/>
    </row>
    <row r="625" spans="4:4" ht="15.75" customHeight="1">
      <c r="D625" s="58"/>
    </row>
    <row r="626" spans="4:4" ht="15.75" customHeight="1">
      <c r="D626" s="58"/>
    </row>
    <row r="627" spans="4:4" ht="15.75" customHeight="1">
      <c r="D627" s="58"/>
    </row>
    <row r="628" spans="4:4" ht="15.75" customHeight="1">
      <c r="D628" s="58"/>
    </row>
    <row r="629" spans="4:4" ht="15.75" customHeight="1">
      <c r="D629" s="58"/>
    </row>
    <row r="630" spans="4:4" ht="15.75" customHeight="1">
      <c r="D630" s="58"/>
    </row>
    <row r="631" spans="4:4" ht="15.75" customHeight="1">
      <c r="D631" s="58"/>
    </row>
    <row r="632" spans="4:4" ht="15.75" customHeight="1">
      <c r="D632" s="58"/>
    </row>
    <row r="633" spans="4:4" ht="15.75" customHeight="1">
      <c r="D633" s="58"/>
    </row>
    <row r="634" spans="4:4" ht="15.75" customHeight="1">
      <c r="D634" s="58"/>
    </row>
    <row r="635" spans="4:4" ht="15.75" customHeight="1">
      <c r="D635" s="58"/>
    </row>
    <row r="636" spans="4:4" ht="15.75" customHeight="1">
      <c r="D636" s="58"/>
    </row>
    <row r="637" spans="4:4" ht="15.75" customHeight="1">
      <c r="D637" s="58"/>
    </row>
    <row r="638" spans="4:4" ht="15.75" customHeight="1">
      <c r="D638" s="58"/>
    </row>
    <row r="639" spans="4:4" ht="15.75" customHeight="1">
      <c r="D639" s="58"/>
    </row>
    <row r="640" spans="4:4" ht="15.75" customHeight="1">
      <c r="D640" s="58"/>
    </row>
    <row r="641" spans="4:4" ht="15.75" customHeight="1">
      <c r="D641" s="58"/>
    </row>
    <row r="642" spans="4:4" ht="15.75" customHeight="1">
      <c r="D642" s="58"/>
    </row>
    <row r="643" spans="4:4" ht="15.75" customHeight="1">
      <c r="D643" s="58"/>
    </row>
    <row r="644" spans="4:4" ht="15.75" customHeight="1">
      <c r="D644" s="58"/>
    </row>
    <row r="645" spans="4:4" ht="15.75" customHeight="1">
      <c r="D645" s="58"/>
    </row>
    <row r="646" spans="4:4" ht="15.75" customHeight="1">
      <c r="D646" s="58"/>
    </row>
    <row r="647" spans="4:4" ht="15.75" customHeight="1">
      <c r="D647" s="58"/>
    </row>
    <row r="648" spans="4:4" ht="15.75" customHeight="1">
      <c r="D648" s="58"/>
    </row>
    <row r="649" spans="4:4" ht="15.75" customHeight="1">
      <c r="D649" s="58"/>
    </row>
    <row r="650" spans="4:4" ht="15.75" customHeight="1">
      <c r="D650" s="58"/>
    </row>
    <row r="651" spans="4:4" ht="15.75" customHeight="1">
      <c r="D651" s="58"/>
    </row>
    <row r="652" spans="4:4" ht="15.75" customHeight="1">
      <c r="D652" s="58"/>
    </row>
    <row r="653" spans="4:4" ht="15.75" customHeight="1">
      <c r="D653" s="58"/>
    </row>
    <row r="654" spans="4:4" ht="15.75" customHeight="1">
      <c r="D654" s="58"/>
    </row>
    <row r="655" spans="4:4" ht="15.75" customHeight="1">
      <c r="D655" s="58"/>
    </row>
    <row r="656" spans="4:4" ht="15.75" customHeight="1">
      <c r="D656" s="58"/>
    </row>
    <row r="657" spans="4:4" ht="15.75" customHeight="1">
      <c r="D657" s="58"/>
    </row>
    <row r="658" spans="4:4" ht="15.75" customHeight="1">
      <c r="D658" s="58"/>
    </row>
    <row r="659" spans="4:4" ht="15.75" customHeight="1">
      <c r="D659" s="58"/>
    </row>
    <row r="660" spans="4:4" ht="15.75" customHeight="1">
      <c r="D660" s="58"/>
    </row>
    <row r="661" spans="4:4" ht="15.75" customHeight="1">
      <c r="D661" s="58"/>
    </row>
    <row r="662" spans="4:4" ht="15.75" customHeight="1">
      <c r="D662" s="58"/>
    </row>
    <row r="663" spans="4:4" ht="15.75" customHeight="1">
      <c r="D663" s="58"/>
    </row>
    <row r="664" spans="4:4" ht="15.75" customHeight="1">
      <c r="D664" s="58"/>
    </row>
    <row r="665" spans="4:4" ht="15.75" customHeight="1">
      <c r="D665" s="58"/>
    </row>
    <row r="666" spans="4:4" ht="15.75" customHeight="1">
      <c r="D666" s="58"/>
    </row>
    <row r="667" spans="4:4" ht="15.75" customHeight="1">
      <c r="D667" s="58"/>
    </row>
    <row r="668" spans="4:4" ht="15.75" customHeight="1">
      <c r="D668" s="58"/>
    </row>
    <row r="669" spans="4:4" ht="15.75" customHeight="1">
      <c r="D669" s="58"/>
    </row>
    <row r="670" spans="4:4" ht="15.75" customHeight="1">
      <c r="D670" s="58"/>
    </row>
    <row r="671" spans="4:4" ht="15.75" customHeight="1">
      <c r="D671" s="58"/>
    </row>
    <row r="672" spans="4:4" ht="15.75" customHeight="1">
      <c r="D672" s="58"/>
    </row>
    <row r="673" spans="4:4" ht="15.75" customHeight="1">
      <c r="D673" s="58"/>
    </row>
    <row r="674" spans="4:4" ht="15.75" customHeight="1">
      <c r="D674" s="58"/>
    </row>
    <row r="675" spans="4:4" ht="15.75" customHeight="1">
      <c r="D675" s="58"/>
    </row>
    <row r="676" spans="4:4" ht="15.75" customHeight="1">
      <c r="D676" s="58"/>
    </row>
    <row r="677" spans="4:4" ht="15.75" customHeight="1">
      <c r="D677" s="58"/>
    </row>
    <row r="678" spans="4:4" ht="15.75" customHeight="1">
      <c r="D678" s="58"/>
    </row>
    <row r="679" spans="4:4" ht="15.75" customHeight="1">
      <c r="D679" s="58"/>
    </row>
    <row r="680" spans="4:4" ht="15.75" customHeight="1">
      <c r="D680" s="58"/>
    </row>
    <row r="681" spans="4:4" ht="15.75" customHeight="1">
      <c r="D681" s="58"/>
    </row>
    <row r="682" spans="4:4" ht="15.75" customHeight="1">
      <c r="D682" s="58"/>
    </row>
    <row r="683" spans="4:4" ht="15.75" customHeight="1">
      <c r="D683" s="58"/>
    </row>
    <row r="684" spans="4:4" ht="15.75" customHeight="1">
      <c r="D684" s="58"/>
    </row>
    <row r="685" spans="4:4" ht="15.75" customHeight="1">
      <c r="D685" s="58"/>
    </row>
    <row r="686" spans="4:4" ht="15.75" customHeight="1">
      <c r="D686" s="58"/>
    </row>
    <row r="687" spans="4:4" ht="15.75" customHeight="1">
      <c r="D687" s="58"/>
    </row>
    <row r="688" spans="4:4" ht="15.75" customHeight="1">
      <c r="D688" s="58"/>
    </row>
    <row r="689" spans="4:4" ht="15.75" customHeight="1">
      <c r="D689" s="58"/>
    </row>
    <row r="690" spans="4:4" ht="15.75" customHeight="1">
      <c r="D690" s="58"/>
    </row>
    <row r="691" spans="4:4" ht="15.75" customHeight="1">
      <c r="D691" s="58"/>
    </row>
    <row r="692" spans="4:4" ht="15.75" customHeight="1">
      <c r="D692" s="58"/>
    </row>
    <row r="693" spans="4:4" ht="15.75" customHeight="1">
      <c r="D693" s="58"/>
    </row>
    <row r="694" spans="4:4" ht="15.75" customHeight="1">
      <c r="D694" s="58"/>
    </row>
    <row r="695" spans="4:4" ht="15.75" customHeight="1">
      <c r="D695" s="58"/>
    </row>
    <row r="696" spans="4:4" ht="15.75" customHeight="1">
      <c r="D696" s="58"/>
    </row>
    <row r="697" spans="4:4" ht="15.75" customHeight="1">
      <c r="D697" s="58"/>
    </row>
    <row r="698" spans="4:4" ht="15.75" customHeight="1">
      <c r="D698" s="58"/>
    </row>
    <row r="699" spans="4:4" ht="15.75" customHeight="1">
      <c r="D699" s="58"/>
    </row>
    <row r="700" spans="4:4" ht="15.75" customHeight="1">
      <c r="D700" s="58"/>
    </row>
    <row r="701" spans="4:4" ht="15.75" customHeight="1">
      <c r="D701" s="58"/>
    </row>
    <row r="702" spans="4:4" ht="15.75" customHeight="1">
      <c r="D702" s="58"/>
    </row>
    <row r="703" spans="4:4" ht="15.75" customHeight="1">
      <c r="D703" s="58"/>
    </row>
    <row r="704" spans="4:4" ht="15.75" customHeight="1">
      <c r="D704" s="58"/>
    </row>
    <row r="705" spans="4:4" ht="15.75" customHeight="1">
      <c r="D705" s="58"/>
    </row>
    <row r="706" spans="4:4" ht="15.75" customHeight="1">
      <c r="D706" s="58"/>
    </row>
    <row r="707" spans="4:4" ht="15.75" customHeight="1">
      <c r="D707" s="58"/>
    </row>
    <row r="708" spans="4:4" ht="15.75" customHeight="1">
      <c r="D708" s="58"/>
    </row>
    <row r="709" spans="4:4" ht="15.75" customHeight="1">
      <c r="D709" s="58"/>
    </row>
    <row r="710" spans="4:4" ht="15.75" customHeight="1">
      <c r="D710" s="58"/>
    </row>
    <row r="711" spans="4:4" ht="15.75" customHeight="1">
      <c r="D711" s="58"/>
    </row>
    <row r="712" spans="4:4" ht="15.75" customHeight="1">
      <c r="D712" s="58"/>
    </row>
    <row r="713" spans="4:4" ht="15.75" customHeight="1">
      <c r="D713" s="58"/>
    </row>
    <row r="714" spans="4:4" ht="15.75" customHeight="1">
      <c r="D714" s="58"/>
    </row>
    <row r="715" spans="4:4" ht="15.75" customHeight="1">
      <c r="D715" s="58"/>
    </row>
    <row r="716" spans="4:4" ht="15.75" customHeight="1">
      <c r="D716" s="58"/>
    </row>
    <row r="717" spans="4:4" ht="15.75" customHeight="1">
      <c r="D717" s="58"/>
    </row>
    <row r="718" spans="4:4" ht="15.75" customHeight="1">
      <c r="D718" s="58"/>
    </row>
    <row r="719" spans="4:4" ht="15.75" customHeight="1">
      <c r="D719" s="58"/>
    </row>
    <row r="720" spans="4:4" ht="15.75" customHeight="1">
      <c r="D720" s="58"/>
    </row>
    <row r="721" spans="4:4" ht="15.75" customHeight="1">
      <c r="D721" s="58"/>
    </row>
    <row r="722" spans="4:4" ht="15.75" customHeight="1">
      <c r="D722" s="58"/>
    </row>
    <row r="723" spans="4:4" ht="15.75" customHeight="1">
      <c r="D723" s="58"/>
    </row>
    <row r="724" spans="4:4" ht="15.75" customHeight="1">
      <c r="D724" s="58"/>
    </row>
    <row r="725" spans="4:4" ht="15.75" customHeight="1">
      <c r="D725" s="58"/>
    </row>
    <row r="726" spans="4:4" ht="15.75" customHeight="1">
      <c r="D726" s="58"/>
    </row>
    <row r="727" spans="4:4" ht="15.75" customHeight="1">
      <c r="D727" s="58"/>
    </row>
    <row r="728" spans="4:4" ht="15.75" customHeight="1">
      <c r="D728" s="58"/>
    </row>
    <row r="729" spans="4:4" ht="15.75" customHeight="1">
      <c r="D729" s="58"/>
    </row>
    <row r="730" spans="4:4" ht="15.75" customHeight="1">
      <c r="D730" s="58"/>
    </row>
    <row r="731" spans="4:4" ht="15.75" customHeight="1">
      <c r="D731" s="58"/>
    </row>
    <row r="732" spans="4:4" ht="15.75" customHeight="1">
      <c r="D732" s="58"/>
    </row>
    <row r="733" spans="4:4" ht="15.75" customHeight="1">
      <c r="D733" s="58"/>
    </row>
    <row r="734" spans="4:4" ht="15.75" customHeight="1">
      <c r="D734" s="58"/>
    </row>
    <row r="735" spans="4:4" ht="15.75" customHeight="1">
      <c r="D735" s="58"/>
    </row>
    <row r="736" spans="4:4" ht="15.75" customHeight="1">
      <c r="D736" s="58"/>
    </row>
    <row r="737" spans="4:4" ht="15.75" customHeight="1">
      <c r="D737" s="58"/>
    </row>
    <row r="738" spans="4:4" ht="15.75" customHeight="1">
      <c r="D738" s="58"/>
    </row>
    <row r="739" spans="4:4" ht="15.75" customHeight="1">
      <c r="D739" s="58"/>
    </row>
    <row r="740" spans="4:4" ht="15.75" customHeight="1">
      <c r="D740" s="58"/>
    </row>
    <row r="741" spans="4:4" ht="15.75" customHeight="1">
      <c r="D741" s="58"/>
    </row>
    <row r="742" spans="4:4" ht="15.75" customHeight="1">
      <c r="D742" s="58"/>
    </row>
    <row r="743" spans="4:4" ht="15.75" customHeight="1">
      <c r="D743" s="58"/>
    </row>
    <row r="744" spans="4:4" ht="15.75" customHeight="1">
      <c r="D744" s="58"/>
    </row>
    <row r="745" spans="4:4" ht="15.75" customHeight="1">
      <c r="D745" s="58"/>
    </row>
    <row r="746" spans="4:4" ht="15.75" customHeight="1">
      <c r="D746" s="58"/>
    </row>
    <row r="747" spans="4:4" ht="15.75" customHeight="1">
      <c r="D747" s="58"/>
    </row>
    <row r="748" spans="4:4" ht="15.75" customHeight="1">
      <c r="D748" s="58"/>
    </row>
    <row r="749" spans="4:4" ht="15.75" customHeight="1">
      <c r="D749" s="58"/>
    </row>
    <row r="750" spans="4:4" ht="15.75" customHeight="1">
      <c r="D750" s="58"/>
    </row>
    <row r="751" spans="4:4" ht="15.75" customHeight="1">
      <c r="D751" s="58"/>
    </row>
    <row r="752" spans="4:4" ht="15.75" customHeight="1">
      <c r="D752" s="58"/>
    </row>
    <row r="753" spans="4:4" ht="15.75" customHeight="1">
      <c r="D753" s="58"/>
    </row>
    <row r="754" spans="4:4" ht="15.75" customHeight="1">
      <c r="D754" s="58"/>
    </row>
    <row r="755" spans="4:4" ht="15.75" customHeight="1">
      <c r="D755" s="58"/>
    </row>
    <row r="756" spans="4:4" ht="15.75" customHeight="1">
      <c r="D756" s="58"/>
    </row>
    <row r="757" spans="4:4" ht="15.75" customHeight="1">
      <c r="D757" s="58"/>
    </row>
    <row r="758" spans="4:4" ht="15.75" customHeight="1">
      <c r="D758" s="58"/>
    </row>
    <row r="759" spans="4:4" ht="15.75" customHeight="1">
      <c r="D759" s="58"/>
    </row>
    <row r="760" spans="4:4" ht="15.75" customHeight="1">
      <c r="D760" s="58"/>
    </row>
    <row r="761" spans="4:4" ht="15.75" customHeight="1">
      <c r="D761" s="58"/>
    </row>
    <row r="762" spans="4:4" ht="15.75" customHeight="1">
      <c r="D762" s="58"/>
    </row>
    <row r="763" spans="4:4" ht="15.75" customHeight="1">
      <c r="D763" s="58"/>
    </row>
    <row r="764" spans="4:4" ht="15.75" customHeight="1">
      <c r="D764" s="58"/>
    </row>
    <row r="765" spans="4:4" ht="15.75" customHeight="1">
      <c r="D765" s="58"/>
    </row>
    <row r="766" spans="4:4" ht="15.75" customHeight="1">
      <c r="D766" s="58"/>
    </row>
    <row r="767" spans="4:4" ht="15.75" customHeight="1">
      <c r="D767" s="58"/>
    </row>
    <row r="768" spans="4:4" ht="15.75" customHeight="1">
      <c r="D768" s="58"/>
    </row>
    <row r="769" spans="4:4" ht="15.75" customHeight="1">
      <c r="D769" s="58"/>
    </row>
    <row r="770" spans="4:4" ht="15.75" customHeight="1">
      <c r="D770" s="58"/>
    </row>
    <row r="771" spans="4:4" ht="15.75" customHeight="1">
      <c r="D771" s="58"/>
    </row>
    <row r="772" spans="4:4" ht="15.75" customHeight="1">
      <c r="D772" s="58"/>
    </row>
    <row r="773" spans="4:4" ht="15.75" customHeight="1">
      <c r="D773" s="58"/>
    </row>
    <row r="774" spans="4:4" ht="15.75" customHeight="1">
      <c r="D774" s="58"/>
    </row>
    <row r="775" spans="4:4" ht="15.75" customHeight="1">
      <c r="D775" s="58"/>
    </row>
    <row r="776" spans="4:4" ht="15.75" customHeight="1">
      <c r="D776" s="58"/>
    </row>
    <row r="777" spans="4:4" ht="15.75" customHeight="1">
      <c r="D777" s="58"/>
    </row>
    <row r="778" spans="4:4" ht="15.75" customHeight="1">
      <c r="D778" s="58"/>
    </row>
    <row r="779" spans="4:4" ht="15.75" customHeight="1">
      <c r="D779" s="58"/>
    </row>
    <row r="780" spans="4:4" ht="15.75" customHeight="1">
      <c r="D780" s="58"/>
    </row>
    <row r="781" spans="4:4" ht="15.75" customHeight="1">
      <c r="D781" s="58"/>
    </row>
    <row r="782" spans="4:4" ht="15.75" customHeight="1">
      <c r="D782" s="58"/>
    </row>
    <row r="783" spans="4:4" ht="15.75" customHeight="1">
      <c r="D783" s="58"/>
    </row>
    <row r="784" spans="4:4" ht="15.75" customHeight="1">
      <c r="D784" s="58"/>
    </row>
    <row r="785" spans="4:4" ht="15.75" customHeight="1">
      <c r="D785" s="58"/>
    </row>
    <row r="786" spans="4:4" ht="15.75" customHeight="1">
      <c r="D786" s="58"/>
    </row>
    <row r="787" spans="4:4" ht="15.75" customHeight="1">
      <c r="D787" s="58"/>
    </row>
    <row r="788" spans="4:4" ht="15.75" customHeight="1">
      <c r="D788" s="58"/>
    </row>
    <row r="789" spans="4:4" ht="15.75" customHeight="1">
      <c r="D789" s="58"/>
    </row>
    <row r="790" spans="4:4" ht="15.75" customHeight="1">
      <c r="D790" s="58"/>
    </row>
    <row r="791" spans="4:4" ht="15.75" customHeight="1">
      <c r="D791" s="58"/>
    </row>
    <row r="792" spans="4:4" ht="15.75" customHeight="1">
      <c r="D792" s="58"/>
    </row>
    <row r="793" spans="4:4" ht="15.75" customHeight="1">
      <c r="D793" s="58"/>
    </row>
    <row r="794" spans="4:4" ht="15.75" customHeight="1">
      <c r="D794" s="58"/>
    </row>
    <row r="795" spans="4:4" ht="15.75" customHeight="1">
      <c r="D795" s="58"/>
    </row>
    <row r="796" spans="4:4" ht="15.75" customHeight="1">
      <c r="D796" s="58"/>
    </row>
    <row r="797" spans="4:4" ht="15.75" customHeight="1">
      <c r="D797" s="58"/>
    </row>
    <row r="798" spans="4:4" ht="15.75" customHeight="1">
      <c r="D798" s="58"/>
    </row>
    <row r="799" spans="4:4" ht="15.75" customHeight="1">
      <c r="D799" s="58"/>
    </row>
    <row r="800" spans="4:4" ht="15.75" customHeight="1">
      <c r="D800" s="58"/>
    </row>
    <row r="801" spans="4:4" ht="15.75" customHeight="1">
      <c r="D801" s="58"/>
    </row>
    <row r="802" spans="4:4" ht="15.75" customHeight="1">
      <c r="D802" s="58"/>
    </row>
    <row r="803" spans="4:4" ht="15.75" customHeight="1">
      <c r="D803" s="58"/>
    </row>
    <row r="804" spans="4:4" ht="15.75" customHeight="1">
      <c r="D804" s="58"/>
    </row>
    <row r="805" spans="4:4" ht="15.75" customHeight="1">
      <c r="D805" s="58"/>
    </row>
    <row r="806" spans="4:4" ht="15.75" customHeight="1">
      <c r="D806" s="58"/>
    </row>
    <row r="807" spans="4:4" ht="15.75" customHeight="1">
      <c r="D807" s="58"/>
    </row>
    <row r="808" spans="4:4" ht="15.75" customHeight="1">
      <c r="D808" s="58"/>
    </row>
    <row r="809" spans="4:4" ht="15.75" customHeight="1">
      <c r="D809" s="58"/>
    </row>
    <row r="810" spans="4:4" ht="15.75" customHeight="1">
      <c r="D810" s="58"/>
    </row>
    <row r="811" spans="4:4" ht="15.75" customHeight="1">
      <c r="D811" s="58"/>
    </row>
    <row r="812" spans="4:4" ht="15.75" customHeight="1">
      <c r="D812" s="58"/>
    </row>
    <row r="813" spans="4:4" ht="15.75" customHeight="1">
      <c r="D813" s="58"/>
    </row>
    <row r="814" spans="4:4" ht="15.75" customHeight="1">
      <c r="D814" s="58"/>
    </row>
    <row r="815" spans="4:4" ht="15.75" customHeight="1">
      <c r="D815" s="58"/>
    </row>
    <row r="816" spans="4:4" ht="15.75" customHeight="1">
      <c r="D816" s="58"/>
    </row>
    <row r="817" spans="4:4" ht="15.75" customHeight="1">
      <c r="D817" s="58"/>
    </row>
    <row r="818" spans="4:4" ht="15.75" customHeight="1">
      <c r="D818" s="58"/>
    </row>
    <row r="819" spans="4:4" ht="15.75" customHeight="1">
      <c r="D819" s="58"/>
    </row>
    <row r="820" spans="4:4" ht="15.75" customHeight="1">
      <c r="D820" s="58"/>
    </row>
    <row r="821" spans="4:4" ht="15.75" customHeight="1">
      <c r="D821" s="58"/>
    </row>
    <row r="822" spans="4:4" ht="15.75" customHeight="1">
      <c r="D822" s="58"/>
    </row>
    <row r="823" spans="4:4" ht="15.75" customHeight="1">
      <c r="D823" s="58"/>
    </row>
    <row r="824" spans="4:4" ht="15.75" customHeight="1">
      <c r="D824" s="58"/>
    </row>
    <row r="825" spans="4:4" ht="15.75" customHeight="1">
      <c r="D825" s="58"/>
    </row>
    <row r="826" spans="4:4" ht="15.75" customHeight="1">
      <c r="D826" s="58"/>
    </row>
    <row r="827" spans="4:4" ht="15.75" customHeight="1">
      <c r="D827" s="58"/>
    </row>
    <row r="828" spans="4:4" ht="15.75" customHeight="1">
      <c r="D828" s="58"/>
    </row>
    <row r="829" spans="4:4" ht="15.75" customHeight="1">
      <c r="D829" s="58"/>
    </row>
    <row r="830" spans="4:4" ht="15.75" customHeight="1">
      <c r="D830" s="58"/>
    </row>
    <row r="831" spans="4:4" ht="15.75" customHeight="1">
      <c r="D831" s="58"/>
    </row>
    <row r="832" spans="4:4" ht="15.75" customHeight="1">
      <c r="D832" s="58"/>
    </row>
    <row r="833" spans="4:4" ht="15.75" customHeight="1">
      <c r="D833" s="58"/>
    </row>
    <row r="834" spans="4:4" ht="15.75" customHeight="1">
      <c r="D834" s="58"/>
    </row>
    <row r="835" spans="4:4" ht="15.75" customHeight="1">
      <c r="D835" s="58"/>
    </row>
    <row r="836" spans="4:4" ht="15.75" customHeight="1">
      <c r="D836" s="58"/>
    </row>
    <row r="837" spans="4:4" ht="15.75" customHeight="1">
      <c r="D837" s="58"/>
    </row>
    <row r="838" spans="4:4" ht="15.75" customHeight="1">
      <c r="D838" s="58"/>
    </row>
    <row r="839" spans="4:4" ht="15.75" customHeight="1">
      <c r="D839" s="58"/>
    </row>
    <row r="840" spans="4:4" ht="15.75" customHeight="1">
      <c r="D840" s="58"/>
    </row>
    <row r="841" spans="4:4" ht="15.75" customHeight="1">
      <c r="D841" s="58"/>
    </row>
    <row r="842" spans="4:4" ht="15.75" customHeight="1">
      <c r="D842" s="58"/>
    </row>
    <row r="843" spans="4:4" ht="15.75" customHeight="1">
      <c r="D843" s="58"/>
    </row>
    <row r="844" spans="4:4" ht="15.75" customHeight="1">
      <c r="D844" s="58"/>
    </row>
    <row r="845" spans="4:4" ht="15.75" customHeight="1">
      <c r="D845" s="58"/>
    </row>
    <row r="846" spans="4:4" ht="15.75" customHeight="1">
      <c r="D846" s="58"/>
    </row>
    <row r="847" spans="4:4" ht="15.75" customHeight="1">
      <c r="D847" s="58"/>
    </row>
    <row r="848" spans="4:4" ht="15.75" customHeight="1">
      <c r="D848" s="58"/>
    </row>
    <row r="849" spans="4:4" ht="15.75" customHeight="1">
      <c r="D849" s="58"/>
    </row>
    <row r="850" spans="4:4" ht="15.75" customHeight="1">
      <c r="D850" s="58"/>
    </row>
    <row r="851" spans="4:4" ht="15.75" customHeight="1">
      <c r="D851" s="58"/>
    </row>
    <row r="852" spans="4:4" ht="15.75" customHeight="1">
      <c r="D852" s="58"/>
    </row>
    <row r="853" spans="4:4" ht="15.75" customHeight="1">
      <c r="D853" s="58"/>
    </row>
    <row r="854" spans="4:4" ht="15.75" customHeight="1">
      <c r="D854" s="58"/>
    </row>
    <row r="855" spans="4:4" ht="15.75" customHeight="1">
      <c r="D855" s="58"/>
    </row>
    <row r="856" spans="4:4" ht="15.75" customHeight="1">
      <c r="D856" s="58"/>
    </row>
    <row r="857" spans="4:4" ht="15.75" customHeight="1">
      <c r="D857" s="58"/>
    </row>
    <row r="858" spans="4:4" ht="15.75" customHeight="1">
      <c r="D858" s="58"/>
    </row>
    <row r="859" spans="4:4" ht="15.75" customHeight="1">
      <c r="D859" s="58"/>
    </row>
    <row r="860" spans="4:4" ht="15.75" customHeight="1">
      <c r="D860" s="58"/>
    </row>
    <row r="861" spans="4:4" ht="15.75" customHeight="1">
      <c r="D861" s="58"/>
    </row>
    <row r="862" spans="4:4" ht="15.75" customHeight="1">
      <c r="D862" s="58"/>
    </row>
    <row r="863" spans="4:4" ht="15.75" customHeight="1">
      <c r="D863" s="58"/>
    </row>
    <row r="864" spans="4:4" ht="15.75" customHeight="1">
      <c r="D864" s="58"/>
    </row>
    <row r="865" spans="4:4" ht="15.75" customHeight="1">
      <c r="D865" s="58"/>
    </row>
    <row r="866" spans="4:4" ht="15.75" customHeight="1">
      <c r="D866" s="58"/>
    </row>
    <row r="867" spans="4:4" ht="15.75" customHeight="1">
      <c r="D867" s="58"/>
    </row>
    <row r="868" spans="4:4" ht="15.75" customHeight="1">
      <c r="D868" s="58"/>
    </row>
    <row r="869" spans="4:4" ht="15.75" customHeight="1">
      <c r="D869" s="58"/>
    </row>
    <row r="870" spans="4:4" ht="15.75" customHeight="1">
      <c r="D870" s="58"/>
    </row>
    <row r="871" spans="4:4" ht="15.75" customHeight="1">
      <c r="D871" s="58"/>
    </row>
    <row r="872" spans="4:4" ht="15.75" customHeight="1">
      <c r="D872" s="58"/>
    </row>
    <row r="873" spans="4:4" ht="15.75" customHeight="1">
      <c r="D873" s="58"/>
    </row>
    <row r="874" spans="4:4" ht="15.75" customHeight="1">
      <c r="D874" s="58"/>
    </row>
    <row r="875" spans="4:4" ht="15.75" customHeight="1">
      <c r="D875" s="58"/>
    </row>
    <row r="876" spans="4:4" ht="15.75" customHeight="1">
      <c r="D876" s="58"/>
    </row>
    <row r="877" spans="4:4" ht="15.75" customHeight="1">
      <c r="D877" s="58"/>
    </row>
    <row r="878" spans="4:4" ht="15.75" customHeight="1">
      <c r="D878" s="58"/>
    </row>
    <row r="879" spans="4:4" ht="15.75" customHeight="1">
      <c r="D879" s="58"/>
    </row>
    <row r="880" spans="4:4" ht="15.75" customHeight="1">
      <c r="D880" s="58"/>
    </row>
    <row r="881" spans="4:4" ht="15.75" customHeight="1">
      <c r="D881" s="58"/>
    </row>
    <row r="882" spans="4:4" ht="15.75" customHeight="1">
      <c r="D882" s="58"/>
    </row>
    <row r="883" spans="4:4" ht="15.75" customHeight="1">
      <c r="D883" s="58"/>
    </row>
    <row r="884" spans="4:4" ht="15.75" customHeight="1">
      <c r="D884" s="58"/>
    </row>
    <row r="885" spans="4:4" ht="15.75" customHeight="1">
      <c r="D885" s="58"/>
    </row>
    <row r="886" spans="4:4" ht="15.75" customHeight="1">
      <c r="D886" s="58"/>
    </row>
    <row r="887" spans="4:4" ht="15.75" customHeight="1">
      <c r="D887" s="58"/>
    </row>
    <row r="888" spans="4:4" ht="15.75" customHeight="1">
      <c r="D888" s="58"/>
    </row>
    <row r="889" spans="4:4" ht="15.75" customHeight="1">
      <c r="D889" s="58"/>
    </row>
    <row r="890" spans="4:4" ht="15.75" customHeight="1">
      <c r="D890" s="58"/>
    </row>
    <row r="891" spans="4:4" ht="15.75" customHeight="1">
      <c r="D891" s="58"/>
    </row>
    <row r="892" spans="4:4" ht="15.75" customHeight="1">
      <c r="D892" s="58"/>
    </row>
    <row r="893" spans="4:4" ht="15.75" customHeight="1">
      <c r="D893" s="58"/>
    </row>
    <row r="894" spans="4:4" ht="15.75" customHeight="1">
      <c r="D894" s="58"/>
    </row>
    <row r="895" spans="4:4" ht="15.75" customHeight="1">
      <c r="D895" s="58"/>
    </row>
    <row r="896" spans="4:4" ht="15.75" customHeight="1">
      <c r="D896" s="58"/>
    </row>
    <row r="897" spans="4:4" ht="15.75" customHeight="1">
      <c r="D897" s="58"/>
    </row>
    <row r="898" spans="4:4" ht="15.75" customHeight="1">
      <c r="D898" s="58"/>
    </row>
    <row r="899" spans="4:4" ht="15.75" customHeight="1">
      <c r="D899" s="58"/>
    </row>
    <row r="900" spans="4:4" ht="15.75" customHeight="1">
      <c r="D900" s="58"/>
    </row>
    <row r="901" spans="4:4" ht="15.75" customHeight="1">
      <c r="D901" s="58"/>
    </row>
    <row r="902" spans="4:4" ht="15.75" customHeight="1">
      <c r="D902" s="58"/>
    </row>
    <row r="903" spans="4:4" ht="15.75" customHeight="1">
      <c r="D903" s="58"/>
    </row>
    <row r="904" spans="4:4" ht="15.75" customHeight="1">
      <c r="D904" s="58"/>
    </row>
    <row r="905" spans="4:4" ht="15.75" customHeight="1">
      <c r="D905" s="58"/>
    </row>
    <row r="906" spans="4:4" ht="15.75" customHeight="1">
      <c r="D906" s="58"/>
    </row>
    <row r="907" spans="4:4" ht="15.75" customHeight="1">
      <c r="D907" s="58"/>
    </row>
    <row r="908" spans="4:4" ht="15.75" customHeight="1">
      <c r="D908" s="58"/>
    </row>
    <row r="909" spans="4:4" ht="15.75" customHeight="1">
      <c r="D909" s="58"/>
    </row>
    <row r="910" spans="4:4" ht="15.75" customHeight="1">
      <c r="D910" s="58"/>
    </row>
    <row r="911" spans="4:4" ht="15.75" customHeight="1">
      <c r="D911" s="58"/>
    </row>
    <row r="912" spans="4:4" ht="15.75" customHeight="1">
      <c r="D912" s="58"/>
    </row>
    <row r="913" spans="4:4" ht="15.75" customHeight="1">
      <c r="D913" s="58"/>
    </row>
    <row r="914" spans="4:4" ht="15.75" customHeight="1">
      <c r="D914" s="58"/>
    </row>
    <row r="915" spans="4:4" ht="15.75" customHeight="1">
      <c r="D915" s="58"/>
    </row>
    <row r="916" spans="4:4" ht="15.75" customHeight="1">
      <c r="D916" s="58"/>
    </row>
    <row r="917" spans="4:4" ht="15.75" customHeight="1">
      <c r="D917" s="58"/>
    </row>
    <row r="918" spans="4:4" ht="15.75" customHeight="1">
      <c r="D918" s="58"/>
    </row>
    <row r="919" spans="4:4" ht="15.75" customHeight="1">
      <c r="D919" s="58"/>
    </row>
    <row r="920" spans="4:4" ht="15.75" customHeight="1">
      <c r="D920" s="58"/>
    </row>
    <row r="921" spans="4:4" ht="15.75" customHeight="1">
      <c r="D921" s="58"/>
    </row>
    <row r="922" spans="4:4" ht="15.75" customHeight="1">
      <c r="D922" s="58"/>
    </row>
    <row r="923" spans="4:4" ht="15.75" customHeight="1">
      <c r="D923" s="58"/>
    </row>
    <row r="924" spans="4:4" ht="15.75" customHeight="1">
      <c r="D924" s="58"/>
    </row>
    <row r="925" spans="4:4" ht="15.75" customHeight="1">
      <c r="D925" s="58"/>
    </row>
    <row r="926" spans="4:4" ht="15.75" customHeight="1">
      <c r="D926" s="58"/>
    </row>
    <row r="927" spans="4:4" ht="15.75" customHeight="1">
      <c r="D927" s="58"/>
    </row>
    <row r="928" spans="4:4" ht="15.75" customHeight="1">
      <c r="D928" s="58"/>
    </row>
    <row r="929" spans="4:4" ht="15.75" customHeight="1">
      <c r="D929" s="58"/>
    </row>
    <row r="930" spans="4:4" ht="15.75" customHeight="1">
      <c r="D930" s="58"/>
    </row>
    <row r="931" spans="4:4" ht="15.75" customHeight="1">
      <c r="D931" s="58"/>
    </row>
    <row r="932" spans="4:4" ht="15.75" customHeight="1">
      <c r="D932" s="58"/>
    </row>
    <row r="933" spans="4:4" ht="15.75" customHeight="1">
      <c r="D933" s="58"/>
    </row>
    <row r="934" spans="4:4" ht="15.75" customHeight="1">
      <c r="D934" s="58"/>
    </row>
    <row r="935" spans="4:4" ht="15.75" customHeight="1">
      <c r="D935" s="58"/>
    </row>
    <row r="936" spans="4:4" ht="15.75" customHeight="1">
      <c r="D936" s="58"/>
    </row>
    <row r="937" spans="4:4" ht="15.75" customHeight="1">
      <c r="D937" s="58"/>
    </row>
    <row r="938" spans="4:4" ht="15.75" customHeight="1">
      <c r="D938" s="58"/>
    </row>
    <row r="939" spans="4:4" ht="15.75" customHeight="1">
      <c r="D939" s="58"/>
    </row>
    <row r="940" spans="4:4" ht="15.75" customHeight="1">
      <c r="D940" s="58"/>
    </row>
    <row r="941" spans="4:4" ht="15.75" customHeight="1">
      <c r="D941" s="58"/>
    </row>
    <row r="942" spans="4:4" ht="15.75" customHeight="1">
      <c r="D942" s="58"/>
    </row>
    <row r="943" spans="4:4" ht="15.75" customHeight="1">
      <c r="D943" s="58"/>
    </row>
    <row r="944" spans="4:4" ht="15.75" customHeight="1">
      <c r="D944" s="58"/>
    </row>
    <row r="945" spans="4:4" ht="15.75" customHeight="1">
      <c r="D945" s="58"/>
    </row>
    <row r="946" spans="4:4" ht="15.75" customHeight="1">
      <c r="D946" s="58"/>
    </row>
    <row r="947" spans="4:4" ht="15.75" customHeight="1">
      <c r="D947" s="58"/>
    </row>
    <row r="948" spans="4:4" ht="15.75" customHeight="1">
      <c r="D948" s="58"/>
    </row>
    <row r="949" spans="4:4" ht="15.75" customHeight="1">
      <c r="D949" s="58"/>
    </row>
    <row r="950" spans="4:4" ht="15.75" customHeight="1">
      <c r="D950" s="58"/>
    </row>
    <row r="951" spans="4:4" ht="15.75" customHeight="1">
      <c r="D951" s="58"/>
    </row>
    <row r="952" spans="4:4" ht="15.75" customHeight="1">
      <c r="D952" s="58"/>
    </row>
    <row r="953" spans="4:4" ht="15.75" customHeight="1">
      <c r="D953" s="58"/>
    </row>
    <row r="954" spans="4:4" ht="15.75" customHeight="1">
      <c r="D954" s="58"/>
    </row>
    <row r="955" spans="4:4" ht="15.75" customHeight="1">
      <c r="D955" s="58"/>
    </row>
    <row r="956" spans="4:4" ht="15.75" customHeight="1">
      <c r="D956" s="58"/>
    </row>
    <row r="957" spans="4:4" ht="15.75" customHeight="1">
      <c r="D957" s="58"/>
    </row>
    <row r="958" spans="4:4" ht="15.75" customHeight="1">
      <c r="D958" s="58"/>
    </row>
    <row r="959" spans="4:4" ht="15.75" customHeight="1">
      <c r="D959" s="58"/>
    </row>
    <row r="960" spans="4:4" ht="15.75" customHeight="1">
      <c r="D960" s="58"/>
    </row>
    <row r="961" spans="4:4" ht="15.75" customHeight="1">
      <c r="D961" s="58"/>
    </row>
    <row r="962" spans="4:4" ht="15.75" customHeight="1">
      <c r="D962" s="58"/>
    </row>
    <row r="963" spans="4:4" ht="15.75" customHeight="1">
      <c r="D963" s="58"/>
    </row>
    <row r="964" spans="4:4" ht="15.75" customHeight="1">
      <c r="D964" s="58"/>
    </row>
    <row r="965" spans="4:4" ht="15.75" customHeight="1">
      <c r="D965" s="58"/>
    </row>
    <row r="966" spans="4:4" ht="15.75" customHeight="1">
      <c r="D966" s="58"/>
    </row>
    <row r="967" spans="4:4" ht="15.75" customHeight="1">
      <c r="D967" s="58"/>
    </row>
    <row r="968" spans="4:4" ht="15.75" customHeight="1">
      <c r="D968" s="58"/>
    </row>
    <row r="969" spans="4:4" ht="15.75" customHeight="1">
      <c r="D969" s="58"/>
    </row>
    <row r="970" spans="4:4" ht="15.75" customHeight="1">
      <c r="D970" s="58"/>
    </row>
    <row r="971" spans="4:4" ht="15.75" customHeight="1">
      <c r="D971" s="58"/>
    </row>
    <row r="972" spans="4:4" ht="15.75" customHeight="1">
      <c r="D972" s="58"/>
    </row>
    <row r="973" spans="4:4" ht="15.75" customHeight="1">
      <c r="D973" s="58"/>
    </row>
    <row r="974" spans="4:4" ht="15.75" customHeight="1">
      <c r="D974" s="58"/>
    </row>
    <row r="975" spans="4:4" ht="15.75" customHeight="1">
      <c r="D975" s="58"/>
    </row>
    <row r="976" spans="4:4" ht="15.75" customHeight="1">
      <c r="D976" s="58"/>
    </row>
    <row r="977" spans="4:4" ht="15.75" customHeight="1">
      <c r="D977" s="58"/>
    </row>
    <row r="978" spans="4:4" ht="15.75" customHeight="1">
      <c r="D978" s="58"/>
    </row>
    <row r="979" spans="4:4" ht="15.75" customHeight="1">
      <c r="D979" s="58"/>
    </row>
    <row r="980" spans="4:4" ht="15.75" customHeight="1">
      <c r="D980" s="58"/>
    </row>
    <row r="981" spans="4:4" ht="15.75" customHeight="1">
      <c r="D981" s="58"/>
    </row>
    <row r="982" spans="4:4" ht="15.75" customHeight="1">
      <c r="D982" s="58"/>
    </row>
    <row r="983" spans="4:4" ht="15.75" customHeight="1">
      <c r="D983" s="58"/>
    </row>
    <row r="984" spans="4:4" ht="15.75" customHeight="1">
      <c r="D984" s="58"/>
    </row>
    <row r="985" spans="4:4" ht="15.75" customHeight="1">
      <c r="D985" s="58"/>
    </row>
    <row r="986" spans="4:4" ht="15.75" customHeight="1">
      <c r="D986" s="58"/>
    </row>
    <row r="987" spans="4:4" ht="15.75" customHeight="1">
      <c r="D987" s="58"/>
    </row>
    <row r="988" spans="4:4" ht="15.75" customHeight="1">
      <c r="D988" s="58"/>
    </row>
    <row r="989" spans="4:4" ht="15.75" customHeight="1">
      <c r="D989" s="58"/>
    </row>
    <row r="990" spans="4:4" ht="15.75" customHeight="1">
      <c r="D990" s="58"/>
    </row>
    <row r="991" spans="4:4" ht="15.75" customHeight="1">
      <c r="D991" s="58"/>
    </row>
    <row r="992" spans="4:4" ht="15.75" customHeight="1">
      <c r="D992" s="58"/>
    </row>
    <row r="993" spans="4:4" ht="15.75" customHeight="1">
      <c r="D993" s="58"/>
    </row>
    <row r="994" spans="4:4" ht="15.75" customHeight="1">
      <c r="D994" s="58"/>
    </row>
    <row r="995" spans="4:4" ht="15.75" customHeight="1">
      <c r="D995" s="58"/>
    </row>
    <row r="996" spans="4:4" ht="15.75" customHeight="1">
      <c r="D996" s="58"/>
    </row>
    <row r="997" spans="4:4" ht="15.75" customHeight="1">
      <c r="D997" s="58"/>
    </row>
    <row r="998" spans="4:4" ht="15.75" customHeight="1">
      <c r="D998" s="58"/>
    </row>
    <row r="999" spans="4:4" ht="15.75" customHeight="1">
      <c r="D999" s="58"/>
    </row>
    <row r="1000" spans="4:4" ht="15.75" customHeight="1">
      <c r="D1000" s="58"/>
    </row>
  </sheetData>
  <autoFilter ref="A3:Z33"/>
  <mergeCells count="1">
    <mergeCell ref="M1:N1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>
      <pane xSplit="1" ySplit="3" topLeftCell="H20" activePane="bottomRight" state="frozen"/>
      <selection pane="topRight" activeCell="B1" sqref="B1"/>
      <selection pane="bottomLeft" activeCell="A4" sqref="A4"/>
      <selection pane="bottomRight" activeCell="N20" sqref="N20"/>
    </sheetView>
  </sheetViews>
  <sheetFormatPr baseColWidth="10" defaultColWidth="14.453125" defaultRowHeight="15" customHeight="1"/>
  <cols>
    <col min="1" max="1" width="28.54296875" customWidth="1"/>
    <col min="2" max="2" width="11.08984375" customWidth="1"/>
    <col min="3" max="3" width="15.26953125" customWidth="1"/>
    <col min="4" max="4" width="27.7265625" customWidth="1"/>
    <col min="5" max="5" width="22.08984375" customWidth="1"/>
    <col min="6" max="6" width="15.7265625" customWidth="1"/>
    <col min="7" max="7" width="13.08984375" customWidth="1"/>
    <col min="8" max="8" width="26" customWidth="1"/>
    <col min="9" max="9" width="14.81640625" customWidth="1"/>
    <col min="10" max="10" width="13.54296875" customWidth="1"/>
    <col min="11" max="11" width="15.08984375" customWidth="1"/>
    <col min="12" max="12" width="19" customWidth="1"/>
    <col min="13" max="13" width="10.08984375" customWidth="1"/>
    <col min="14" max="14" width="18.7265625" customWidth="1"/>
    <col min="15" max="17" width="11.54296875" customWidth="1"/>
  </cols>
  <sheetData>
    <row r="1" spans="1:26" ht="49.5" customHeight="1">
      <c r="A1" s="16" t="s">
        <v>9</v>
      </c>
      <c r="B1" s="17"/>
      <c r="C1" s="17"/>
      <c r="D1" s="19"/>
      <c r="E1" s="59"/>
      <c r="F1" s="19"/>
      <c r="G1" s="19"/>
      <c r="H1" s="17"/>
      <c r="I1" s="19"/>
      <c r="J1" s="60"/>
      <c r="K1" s="19"/>
      <c r="L1" s="19"/>
      <c r="M1" s="125" t="s">
        <v>10</v>
      </c>
      <c r="N1" s="124"/>
      <c r="O1" s="19"/>
      <c r="P1" s="19"/>
      <c r="Q1" s="19"/>
    </row>
    <row r="2" spans="1:26" ht="22.5" customHeight="1">
      <c r="A2" s="61"/>
      <c r="B2" s="62"/>
      <c r="C2" s="62"/>
      <c r="D2" s="1"/>
      <c r="E2" s="1"/>
      <c r="F2" s="1"/>
      <c r="G2" s="1"/>
      <c r="H2" s="62"/>
      <c r="I2" s="1"/>
      <c r="J2" s="1"/>
      <c r="K2" s="1"/>
      <c r="L2" s="1"/>
      <c r="M2" s="1"/>
      <c r="N2" s="1"/>
      <c r="O2" s="1"/>
      <c r="P2" s="1"/>
      <c r="Q2" s="1"/>
    </row>
    <row r="3" spans="1:26" ht="37.5" customHeight="1">
      <c r="A3" s="25" t="s">
        <v>11</v>
      </c>
      <c r="B3" s="26" t="s">
        <v>12</v>
      </c>
      <c r="C3" s="26" t="s">
        <v>13</v>
      </c>
      <c r="D3" s="25" t="s">
        <v>14</v>
      </c>
      <c r="E3" s="25" t="s">
        <v>15</v>
      </c>
      <c r="F3" s="25" t="s">
        <v>69</v>
      </c>
      <c r="G3" s="25" t="s">
        <v>17</v>
      </c>
      <c r="H3" s="26" t="s">
        <v>70</v>
      </c>
      <c r="I3" s="63" t="s">
        <v>19</v>
      </c>
      <c r="J3" s="25" t="s">
        <v>20</v>
      </c>
      <c r="K3" s="25" t="s">
        <v>21</v>
      </c>
      <c r="L3" s="64" t="s">
        <v>71</v>
      </c>
      <c r="M3" s="25" t="s">
        <v>23</v>
      </c>
      <c r="N3" s="25" t="s">
        <v>24</v>
      </c>
      <c r="O3" s="27"/>
      <c r="P3" s="27"/>
      <c r="Q3" s="27"/>
    </row>
    <row r="4" spans="1:26" ht="33">
      <c r="A4" s="30" t="s">
        <v>72</v>
      </c>
      <c r="B4" s="29">
        <v>45898</v>
      </c>
      <c r="C4" s="29">
        <v>46080</v>
      </c>
      <c r="D4" s="30" t="s">
        <v>73</v>
      </c>
      <c r="E4" s="30" t="s">
        <v>74</v>
      </c>
      <c r="F4" s="30" t="s">
        <v>28</v>
      </c>
      <c r="G4" s="30" t="s">
        <v>35</v>
      </c>
      <c r="H4" s="29">
        <v>46038</v>
      </c>
      <c r="I4" s="32">
        <v>2370217.8310389998</v>
      </c>
      <c r="J4" s="31">
        <v>2849949.9200412938</v>
      </c>
      <c r="K4" s="31">
        <v>1202.4000000000001</v>
      </c>
      <c r="L4" s="39">
        <v>42</v>
      </c>
      <c r="M4" s="30" t="s">
        <v>30</v>
      </c>
      <c r="N4" s="39" t="s">
        <v>75</v>
      </c>
      <c r="O4" s="1"/>
      <c r="P4" s="1"/>
      <c r="Q4" s="1"/>
      <c r="R4" s="34"/>
      <c r="S4" s="34"/>
      <c r="T4" s="34"/>
      <c r="U4" s="34"/>
      <c r="V4" s="34"/>
      <c r="W4" s="34"/>
      <c r="X4" s="34"/>
      <c r="Y4" s="34"/>
      <c r="Z4" s="34"/>
    </row>
    <row r="5" spans="1:26" ht="33">
      <c r="A5" s="30" t="s">
        <v>76</v>
      </c>
      <c r="B5" s="29">
        <v>46006</v>
      </c>
      <c r="C5" s="29">
        <v>46356</v>
      </c>
      <c r="D5" s="30" t="s">
        <v>77</v>
      </c>
      <c r="E5" s="30" t="s">
        <v>74</v>
      </c>
      <c r="F5" s="30" t="s">
        <v>28</v>
      </c>
      <c r="G5" s="29" t="s">
        <v>35</v>
      </c>
      <c r="H5" s="29">
        <v>46038</v>
      </c>
      <c r="I5" s="32">
        <v>259349.60855100001</v>
      </c>
      <c r="J5" s="31">
        <v>259997.98257237751</v>
      </c>
      <c r="K5" s="31">
        <v>1002.5</v>
      </c>
      <c r="L5" s="39">
        <v>318</v>
      </c>
      <c r="M5" s="30" t="s">
        <v>30</v>
      </c>
      <c r="N5" s="28" t="s">
        <v>78</v>
      </c>
      <c r="O5" s="1"/>
      <c r="P5" s="1"/>
      <c r="Q5" s="1"/>
      <c r="R5" s="34"/>
      <c r="S5" s="34"/>
      <c r="T5" s="34"/>
      <c r="U5" s="34"/>
      <c r="V5" s="34"/>
      <c r="W5" s="34"/>
      <c r="X5" s="34"/>
      <c r="Y5" s="34"/>
      <c r="Z5" s="34"/>
    </row>
    <row r="6" spans="1:26" ht="22.5">
      <c r="A6" s="30" t="s">
        <v>79</v>
      </c>
      <c r="B6" s="29">
        <v>45971</v>
      </c>
      <c r="C6" s="29">
        <v>46265</v>
      </c>
      <c r="D6" s="30" t="s">
        <v>40</v>
      </c>
      <c r="E6" s="30" t="s">
        <v>74</v>
      </c>
      <c r="F6" s="30" t="s">
        <v>28</v>
      </c>
      <c r="G6" s="30" t="s">
        <v>35</v>
      </c>
      <c r="H6" s="29">
        <v>46038</v>
      </c>
      <c r="I6" s="32">
        <v>1354733.814092</v>
      </c>
      <c r="J6" s="31">
        <v>1445500.9796361639</v>
      </c>
      <c r="K6" s="31">
        <v>1067</v>
      </c>
      <c r="L6" s="39">
        <v>227</v>
      </c>
      <c r="M6" s="30" t="s">
        <v>30</v>
      </c>
      <c r="N6" s="39" t="s">
        <v>80</v>
      </c>
      <c r="O6" s="1"/>
      <c r="P6" s="1"/>
      <c r="Q6" s="1"/>
      <c r="R6" s="34"/>
      <c r="S6" s="34"/>
      <c r="T6" s="34"/>
      <c r="U6" s="34"/>
      <c r="V6" s="34"/>
      <c r="W6" s="34"/>
      <c r="X6" s="34"/>
      <c r="Y6" s="34"/>
      <c r="Z6" s="34"/>
    </row>
    <row r="7" spans="1:26" ht="22.5">
      <c r="A7" s="30" t="s">
        <v>81</v>
      </c>
      <c r="B7" s="29">
        <v>45989</v>
      </c>
      <c r="C7" s="29">
        <v>46171</v>
      </c>
      <c r="D7" s="30" t="s">
        <v>82</v>
      </c>
      <c r="E7" s="30" t="s">
        <v>74</v>
      </c>
      <c r="F7" s="30" t="s">
        <v>28</v>
      </c>
      <c r="G7" s="29" t="s">
        <v>35</v>
      </c>
      <c r="H7" s="29">
        <v>46038</v>
      </c>
      <c r="I7" s="32">
        <v>932876.39446700003</v>
      </c>
      <c r="J7" s="31">
        <v>946403.10218677146</v>
      </c>
      <c r="K7" s="31">
        <v>1014.5</v>
      </c>
      <c r="L7" s="39">
        <v>133</v>
      </c>
      <c r="M7" s="30" t="s">
        <v>30</v>
      </c>
      <c r="N7" s="28" t="s">
        <v>83</v>
      </c>
      <c r="O7" s="1"/>
      <c r="P7" s="1"/>
      <c r="Q7" s="1"/>
      <c r="R7" s="34"/>
      <c r="S7" s="34"/>
      <c r="T7" s="34"/>
      <c r="U7" s="34"/>
      <c r="V7" s="34"/>
      <c r="W7" s="34"/>
      <c r="X7" s="34"/>
      <c r="Y7" s="34"/>
      <c r="Z7" s="34"/>
    </row>
    <row r="8" spans="1:26" ht="33">
      <c r="A8" s="30" t="s">
        <v>84</v>
      </c>
      <c r="B8" s="29">
        <v>45807</v>
      </c>
      <c r="C8" s="29">
        <v>46171</v>
      </c>
      <c r="D8" s="30" t="s">
        <v>85</v>
      </c>
      <c r="E8" s="30" t="s">
        <v>74</v>
      </c>
      <c r="F8" s="30" t="s">
        <v>28</v>
      </c>
      <c r="G8" s="30" t="s">
        <v>35</v>
      </c>
      <c r="H8" s="29">
        <v>46038</v>
      </c>
      <c r="I8" s="32">
        <v>2538371.8231819998</v>
      </c>
      <c r="J8" s="31">
        <v>2958472.3599186204</v>
      </c>
      <c r="K8" s="31">
        <v>1165.5</v>
      </c>
      <c r="L8" s="39">
        <v>133</v>
      </c>
      <c r="M8" s="30" t="s">
        <v>30</v>
      </c>
      <c r="N8" s="39" t="s">
        <v>86</v>
      </c>
      <c r="O8" s="1"/>
      <c r="P8" s="1"/>
      <c r="Q8" s="1"/>
      <c r="R8" s="34"/>
      <c r="S8" s="34"/>
      <c r="T8" s="34"/>
      <c r="U8" s="34"/>
      <c r="V8" s="34"/>
      <c r="W8" s="34"/>
      <c r="X8" s="34"/>
      <c r="Y8" s="34"/>
      <c r="Z8" s="34"/>
    </row>
    <row r="9" spans="1:26" ht="22.5">
      <c r="A9" s="28" t="s">
        <v>87</v>
      </c>
      <c r="B9" s="65">
        <v>46006</v>
      </c>
      <c r="C9" s="65">
        <v>46356</v>
      </c>
      <c r="D9" s="28" t="s">
        <v>82</v>
      </c>
      <c r="E9" s="28" t="s">
        <v>74</v>
      </c>
      <c r="F9" s="28" t="s">
        <v>28</v>
      </c>
      <c r="G9" s="65" t="s">
        <v>35</v>
      </c>
      <c r="H9" s="29">
        <v>46038</v>
      </c>
      <c r="I9" s="32">
        <v>98472.325832999995</v>
      </c>
      <c r="J9" s="31">
        <v>95340.905871510593</v>
      </c>
      <c r="K9" s="31">
        <v>968.2</v>
      </c>
      <c r="L9" s="28">
        <v>318</v>
      </c>
      <c r="M9" s="28" t="s">
        <v>30</v>
      </c>
      <c r="N9" s="28" t="s">
        <v>78</v>
      </c>
      <c r="O9" s="1"/>
      <c r="P9" s="1"/>
      <c r="Q9" s="1"/>
      <c r="R9" s="34"/>
      <c r="S9" s="34"/>
      <c r="T9" s="34"/>
      <c r="U9" s="34"/>
      <c r="V9" s="34"/>
      <c r="W9" s="34"/>
      <c r="X9" s="34"/>
      <c r="Y9" s="34"/>
      <c r="Z9" s="34"/>
    </row>
    <row r="10" spans="1:26" ht="22.5">
      <c r="A10" s="28" t="s">
        <v>88</v>
      </c>
      <c r="B10" s="65">
        <v>46038</v>
      </c>
      <c r="C10" s="65">
        <v>46080</v>
      </c>
      <c r="D10" s="28" t="s">
        <v>82</v>
      </c>
      <c r="E10" s="28" t="s">
        <v>74</v>
      </c>
      <c r="F10" s="28" t="s">
        <v>28</v>
      </c>
      <c r="G10" s="65" t="s">
        <v>47</v>
      </c>
      <c r="H10" s="29">
        <v>46038</v>
      </c>
      <c r="I10" s="32">
        <v>128.04734300000001</v>
      </c>
      <c r="J10" s="31">
        <v>126.76686957000001</v>
      </c>
      <c r="K10" s="31">
        <v>990</v>
      </c>
      <c r="L10" s="28">
        <v>42</v>
      </c>
      <c r="M10" s="28" t="s">
        <v>30</v>
      </c>
      <c r="N10" s="28">
        <v>3</v>
      </c>
      <c r="O10" s="1"/>
      <c r="P10" s="1"/>
      <c r="Q10" s="1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22.5">
      <c r="A11" s="30" t="s">
        <v>89</v>
      </c>
      <c r="B11" s="65">
        <v>46052</v>
      </c>
      <c r="C11" s="65">
        <v>46097</v>
      </c>
      <c r="D11" s="30" t="s">
        <v>90</v>
      </c>
      <c r="E11" s="30" t="s">
        <v>74</v>
      </c>
      <c r="F11" s="30" t="s">
        <v>28</v>
      </c>
      <c r="G11" s="30" t="s">
        <v>35</v>
      </c>
      <c r="H11" s="29">
        <v>46052</v>
      </c>
      <c r="I11" s="32">
        <v>4913730</v>
      </c>
      <c r="J11" s="31">
        <v>4913730</v>
      </c>
      <c r="K11" s="31">
        <v>1000</v>
      </c>
      <c r="L11" s="28">
        <v>45</v>
      </c>
      <c r="M11" s="28" t="s">
        <v>30</v>
      </c>
      <c r="N11" s="28">
        <v>6</v>
      </c>
      <c r="O11" s="1"/>
      <c r="P11" s="1"/>
      <c r="Q11" s="1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22.5">
      <c r="A12" s="30" t="s">
        <v>91</v>
      </c>
      <c r="B12" s="65">
        <v>46052</v>
      </c>
      <c r="C12" s="65">
        <v>46234</v>
      </c>
      <c r="D12" s="30" t="s">
        <v>92</v>
      </c>
      <c r="E12" s="30" t="s">
        <v>74</v>
      </c>
      <c r="F12" s="30" t="s">
        <v>28</v>
      </c>
      <c r="G12" s="30" t="s">
        <v>35</v>
      </c>
      <c r="H12" s="29">
        <v>46052</v>
      </c>
      <c r="I12" s="32">
        <v>1844892</v>
      </c>
      <c r="J12" s="32">
        <v>1844892</v>
      </c>
      <c r="K12" s="31">
        <v>1000</v>
      </c>
      <c r="L12" s="28">
        <v>182</v>
      </c>
      <c r="M12" s="28" t="s">
        <v>30</v>
      </c>
      <c r="N12" s="28">
        <v>6</v>
      </c>
      <c r="O12" s="1"/>
      <c r="P12" s="1"/>
      <c r="Q12" s="1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33">
      <c r="A13" s="30" t="s">
        <v>76</v>
      </c>
      <c r="B13" s="29">
        <v>46006</v>
      </c>
      <c r="C13" s="29">
        <v>46356</v>
      </c>
      <c r="D13" s="30" t="s">
        <v>77</v>
      </c>
      <c r="E13" s="30" t="s">
        <v>74</v>
      </c>
      <c r="F13" s="30" t="s">
        <v>28</v>
      </c>
      <c r="G13" s="29" t="s">
        <v>35</v>
      </c>
      <c r="H13" s="29">
        <v>46052</v>
      </c>
      <c r="I13" s="31">
        <v>35803</v>
      </c>
      <c r="J13" s="31">
        <v>36161</v>
      </c>
      <c r="K13" s="31">
        <v>1009.9991620813897</v>
      </c>
      <c r="L13" s="28">
        <v>304</v>
      </c>
      <c r="M13" s="30" t="s">
        <v>30</v>
      </c>
      <c r="N13" s="28" t="s">
        <v>78</v>
      </c>
      <c r="O13" s="1"/>
      <c r="P13" s="1"/>
      <c r="Q13" s="1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22.5">
      <c r="A14" s="28" t="s">
        <v>93</v>
      </c>
      <c r="B14" s="65">
        <v>46052</v>
      </c>
      <c r="C14" s="65">
        <v>46234</v>
      </c>
      <c r="D14" s="28" t="s">
        <v>82</v>
      </c>
      <c r="E14" s="28" t="s">
        <v>74</v>
      </c>
      <c r="F14" s="28" t="s">
        <v>28</v>
      </c>
      <c r="G14" s="65" t="s">
        <v>29</v>
      </c>
      <c r="H14" s="29">
        <v>46052</v>
      </c>
      <c r="I14" s="31">
        <v>457889</v>
      </c>
      <c r="J14" s="31">
        <v>440947</v>
      </c>
      <c r="K14" s="31">
        <v>962.99976631891138</v>
      </c>
      <c r="L14" s="28">
        <v>182</v>
      </c>
      <c r="M14" s="28" t="s">
        <v>30</v>
      </c>
      <c r="N14" s="28">
        <v>6</v>
      </c>
      <c r="O14" s="1"/>
      <c r="P14" s="1"/>
      <c r="Q14" s="1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22.5">
      <c r="A15" s="28" t="s">
        <v>87</v>
      </c>
      <c r="B15" s="65">
        <v>46006</v>
      </c>
      <c r="C15" s="65">
        <v>46356</v>
      </c>
      <c r="D15" s="28" t="s">
        <v>82</v>
      </c>
      <c r="E15" s="28" t="s">
        <v>74</v>
      </c>
      <c r="F15" s="28" t="s">
        <v>28</v>
      </c>
      <c r="G15" s="65" t="s">
        <v>29</v>
      </c>
      <c r="H15" s="29">
        <v>46052</v>
      </c>
      <c r="I15" s="32">
        <v>1098142</v>
      </c>
      <c r="J15" s="31">
        <v>1067394</v>
      </c>
      <c r="K15" s="31">
        <v>971.99997814490291</v>
      </c>
      <c r="L15" s="28">
        <v>304</v>
      </c>
      <c r="M15" s="28" t="s">
        <v>30</v>
      </c>
      <c r="N15" s="28" t="s">
        <v>78</v>
      </c>
      <c r="O15" s="1"/>
      <c r="P15" s="1"/>
      <c r="Q15" s="1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22.5">
      <c r="A16" s="30" t="s">
        <v>79</v>
      </c>
      <c r="B16" s="29">
        <v>45971</v>
      </c>
      <c r="C16" s="29">
        <v>46265</v>
      </c>
      <c r="D16" s="30" t="s">
        <v>40</v>
      </c>
      <c r="E16" s="30" t="s">
        <v>74</v>
      </c>
      <c r="F16" s="30" t="s">
        <v>28</v>
      </c>
      <c r="G16" s="30" t="s">
        <v>35</v>
      </c>
      <c r="H16" s="29">
        <v>46052</v>
      </c>
      <c r="I16" s="32">
        <v>690552</v>
      </c>
      <c r="J16" s="31">
        <v>745796</v>
      </c>
      <c r="K16" s="31">
        <v>1079.9997683013009</v>
      </c>
      <c r="L16" s="28">
        <v>213</v>
      </c>
      <c r="M16" s="30" t="s">
        <v>30</v>
      </c>
      <c r="N16" s="39" t="s">
        <v>80</v>
      </c>
      <c r="O16" s="1"/>
      <c r="P16" s="1"/>
      <c r="Q16" s="1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22.5">
      <c r="A17" s="30" t="s">
        <v>94</v>
      </c>
      <c r="B17" s="29">
        <v>45930</v>
      </c>
      <c r="C17" s="29">
        <v>46142</v>
      </c>
      <c r="D17" s="30" t="s">
        <v>82</v>
      </c>
      <c r="E17" s="30" t="s">
        <v>74</v>
      </c>
      <c r="F17" s="30" t="s">
        <v>28</v>
      </c>
      <c r="G17" s="29" t="s">
        <v>47</v>
      </c>
      <c r="H17" s="29">
        <v>46052</v>
      </c>
      <c r="I17" s="31">
        <v>72</v>
      </c>
      <c r="J17" s="31">
        <v>71.416950173260773</v>
      </c>
      <c r="K17" s="31">
        <v>991.90208573973291</v>
      </c>
      <c r="L17" s="28">
        <v>90</v>
      </c>
      <c r="M17" s="30" t="s">
        <v>30</v>
      </c>
      <c r="N17" s="39" t="s">
        <v>95</v>
      </c>
      <c r="O17" s="1"/>
      <c r="P17" s="1"/>
      <c r="Q17" s="1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33">
      <c r="A18" s="30" t="s">
        <v>96</v>
      </c>
      <c r="B18" s="29">
        <v>46006</v>
      </c>
      <c r="C18" s="29">
        <v>46129</v>
      </c>
      <c r="D18" s="30" t="s">
        <v>97</v>
      </c>
      <c r="E18" s="30" t="s">
        <v>74</v>
      </c>
      <c r="F18" s="30" t="s">
        <v>28</v>
      </c>
      <c r="G18" s="29" t="s">
        <v>35</v>
      </c>
      <c r="H18" s="29">
        <v>46066</v>
      </c>
      <c r="I18" s="31">
        <v>4843497.6848210003</v>
      </c>
      <c r="J18" s="31">
        <f t="shared" ref="J18:J36" si="0">+(I18*K18)/1000</f>
        <v>5027550.5968441982</v>
      </c>
      <c r="K18" s="31">
        <v>1038</v>
      </c>
      <c r="L18" s="30">
        <f t="shared" ref="L18:L36" si="1">+C18-H18</f>
        <v>63</v>
      </c>
      <c r="M18" s="30" t="s">
        <v>30</v>
      </c>
      <c r="N18" s="30" t="s">
        <v>98</v>
      </c>
      <c r="O18" s="1"/>
      <c r="P18" s="1"/>
      <c r="Q18" s="1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22.5">
      <c r="A19" s="30" t="s">
        <v>91</v>
      </c>
      <c r="B19" s="29">
        <v>46052</v>
      </c>
      <c r="C19" s="29">
        <v>46234</v>
      </c>
      <c r="D19" s="30" t="s">
        <v>92</v>
      </c>
      <c r="E19" s="30" t="s">
        <v>74</v>
      </c>
      <c r="F19" s="30" t="s">
        <v>28</v>
      </c>
      <c r="G19" s="30" t="s">
        <v>35</v>
      </c>
      <c r="H19" s="29">
        <v>46066</v>
      </c>
      <c r="I19" s="32">
        <v>899357.28017599997</v>
      </c>
      <c r="J19" s="31">
        <f t="shared" si="0"/>
        <v>909609.9531700064</v>
      </c>
      <c r="K19" s="31">
        <v>1011.4</v>
      </c>
      <c r="L19" s="30">
        <f t="shared" si="1"/>
        <v>168</v>
      </c>
      <c r="M19" s="30" t="s">
        <v>30</v>
      </c>
      <c r="N19" s="30" t="s">
        <v>99</v>
      </c>
      <c r="O19" s="1"/>
      <c r="P19" s="1"/>
      <c r="Q19" s="1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33">
      <c r="A20" s="30" t="s">
        <v>76</v>
      </c>
      <c r="B20" s="29">
        <v>46006</v>
      </c>
      <c r="C20" s="29">
        <v>46356</v>
      </c>
      <c r="D20" s="30" t="s">
        <v>77</v>
      </c>
      <c r="E20" s="30" t="s">
        <v>74</v>
      </c>
      <c r="F20" s="30" t="s">
        <v>28</v>
      </c>
      <c r="G20" s="29" t="s">
        <v>35</v>
      </c>
      <c r="H20" s="29">
        <v>46066</v>
      </c>
      <c r="I20" s="31">
        <v>86627.684815999994</v>
      </c>
      <c r="J20" s="31">
        <f t="shared" si="0"/>
        <v>87970.413930647992</v>
      </c>
      <c r="K20" s="31">
        <v>1015.5</v>
      </c>
      <c r="L20" s="30">
        <f t="shared" si="1"/>
        <v>290</v>
      </c>
      <c r="M20" s="30" t="s">
        <v>30</v>
      </c>
      <c r="N20" s="30" t="s">
        <v>98</v>
      </c>
      <c r="O20" s="1"/>
      <c r="P20" s="1"/>
      <c r="Q20" s="1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5.75" customHeight="1">
      <c r="A21" s="30" t="s">
        <v>79</v>
      </c>
      <c r="B21" s="29">
        <v>45971</v>
      </c>
      <c r="C21" s="29">
        <v>46265</v>
      </c>
      <c r="D21" s="30" t="s">
        <v>40</v>
      </c>
      <c r="E21" s="30" t="s">
        <v>74</v>
      </c>
      <c r="F21" s="30" t="s">
        <v>28</v>
      </c>
      <c r="G21" s="30" t="s">
        <v>35</v>
      </c>
      <c r="H21" s="29">
        <v>46066</v>
      </c>
      <c r="I21" s="32">
        <v>85283.649313999995</v>
      </c>
      <c r="J21" s="31">
        <f t="shared" si="0"/>
        <v>94313.482103366332</v>
      </c>
      <c r="K21" s="31">
        <v>1105.8800000000001</v>
      </c>
      <c r="L21" s="30">
        <f t="shared" si="1"/>
        <v>199</v>
      </c>
      <c r="M21" s="30" t="s">
        <v>30</v>
      </c>
      <c r="N21" s="39" t="s">
        <v>100</v>
      </c>
      <c r="O21" s="1"/>
      <c r="P21" s="1"/>
      <c r="Q21" s="1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5.75" customHeight="1">
      <c r="A22" s="30" t="s">
        <v>94</v>
      </c>
      <c r="B22" s="29">
        <v>45930</v>
      </c>
      <c r="C22" s="29">
        <v>46142</v>
      </c>
      <c r="D22" s="30" t="s">
        <v>82</v>
      </c>
      <c r="E22" s="30" t="s">
        <v>74</v>
      </c>
      <c r="F22" s="30" t="s">
        <v>28</v>
      </c>
      <c r="G22" s="29" t="s">
        <v>47</v>
      </c>
      <c r="H22" s="29">
        <v>46066</v>
      </c>
      <c r="I22" s="31">
        <v>19.325744</v>
      </c>
      <c r="J22" s="31">
        <f t="shared" si="0"/>
        <v>19.13248656</v>
      </c>
      <c r="K22" s="31">
        <v>990</v>
      </c>
      <c r="L22" s="30">
        <f t="shared" si="1"/>
        <v>76</v>
      </c>
      <c r="M22" s="30" t="s">
        <v>30</v>
      </c>
      <c r="N22" s="39" t="s">
        <v>101</v>
      </c>
      <c r="O22" s="1"/>
      <c r="P22" s="1"/>
      <c r="Q22" s="1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5.75" customHeight="1">
      <c r="A23" s="30" t="s">
        <v>102</v>
      </c>
      <c r="B23" s="29">
        <v>46080</v>
      </c>
      <c r="C23" s="29">
        <v>46157</v>
      </c>
      <c r="D23" s="30" t="s">
        <v>82</v>
      </c>
      <c r="E23" s="30" t="s">
        <v>74</v>
      </c>
      <c r="F23" s="30" t="s">
        <v>28</v>
      </c>
      <c r="G23" s="65" t="s">
        <v>29</v>
      </c>
      <c r="H23" s="29">
        <v>46080</v>
      </c>
      <c r="I23" s="31">
        <v>3835132.293606</v>
      </c>
      <c r="J23" s="31">
        <f t="shared" si="0"/>
        <v>3819408.251202215</v>
      </c>
      <c r="K23" s="31">
        <v>995.9</v>
      </c>
      <c r="L23" s="30">
        <f t="shared" si="1"/>
        <v>77</v>
      </c>
      <c r="M23" s="30" t="s">
        <v>30</v>
      </c>
      <c r="N23" s="39">
        <v>11</v>
      </c>
      <c r="O23" s="1"/>
      <c r="P23" s="1"/>
      <c r="Q23" s="1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5.75" customHeight="1">
      <c r="A24" s="30" t="s">
        <v>93</v>
      </c>
      <c r="B24" s="29">
        <v>46080</v>
      </c>
      <c r="C24" s="29">
        <v>46234</v>
      </c>
      <c r="D24" s="30" t="s">
        <v>82</v>
      </c>
      <c r="E24" s="30" t="s">
        <v>74</v>
      </c>
      <c r="F24" s="30" t="s">
        <v>28</v>
      </c>
      <c r="G24" s="65" t="s">
        <v>29</v>
      </c>
      <c r="H24" s="29">
        <v>46080</v>
      </c>
      <c r="I24" s="31">
        <v>952268</v>
      </c>
      <c r="J24" s="31">
        <f t="shared" si="0"/>
        <v>954172.53599999996</v>
      </c>
      <c r="K24" s="31">
        <v>1002</v>
      </c>
      <c r="L24" s="30">
        <f t="shared" si="1"/>
        <v>154</v>
      </c>
      <c r="M24" s="30" t="s">
        <v>30</v>
      </c>
      <c r="N24" s="39" t="s">
        <v>103</v>
      </c>
      <c r="O24" s="1"/>
      <c r="P24" s="1"/>
      <c r="Q24" s="1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5.75" customHeight="1">
      <c r="A25" s="30" t="s">
        <v>87</v>
      </c>
      <c r="B25" s="29">
        <v>46080</v>
      </c>
      <c r="C25" s="29">
        <v>46356</v>
      </c>
      <c r="D25" s="30" t="s">
        <v>82</v>
      </c>
      <c r="E25" s="30" t="s">
        <v>74</v>
      </c>
      <c r="F25" s="30" t="s">
        <v>28</v>
      </c>
      <c r="G25" s="65" t="s">
        <v>29</v>
      </c>
      <c r="H25" s="29">
        <v>46080</v>
      </c>
      <c r="I25" s="31">
        <v>891332</v>
      </c>
      <c r="J25" s="31">
        <f t="shared" si="0"/>
        <v>900690.98600000003</v>
      </c>
      <c r="K25" s="31">
        <v>1010.5</v>
      </c>
      <c r="L25" s="30">
        <f t="shared" si="1"/>
        <v>276</v>
      </c>
      <c r="M25" s="30" t="s">
        <v>30</v>
      </c>
      <c r="N25" s="39" t="s">
        <v>104</v>
      </c>
      <c r="O25" s="1"/>
      <c r="P25" s="1"/>
      <c r="Q25" s="1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5.75" customHeight="1">
      <c r="A26" s="30" t="s">
        <v>105</v>
      </c>
      <c r="B26" s="29">
        <v>46097</v>
      </c>
      <c r="C26" s="29">
        <v>46157</v>
      </c>
      <c r="D26" s="30" t="s">
        <v>106</v>
      </c>
      <c r="E26" s="30" t="s">
        <v>74</v>
      </c>
      <c r="F26" s="30" t="s">
        <v>28</v>
      </c>
      <c r="G26" s="29" t="s">
        <v>35</v>
      </c>
      <c r="H26" s="29">
        <v>46097</v>
      </c>
      <c r="I26" s="31">
        <v>2209319.1932370001</v>
      </c>
      <c r="J26" s="31">
        <f t="shared" si="0"/>
        <v>2209319.1932370001</v>
      </c>
      <c r="K26" s="31">
        <v>1000</v>
      </c>
      <c r="L26" s="30">
        <f t="shared" si="1"/>
        <v>60</v>
      </c>
      <c r="M26" s="30" t="s">
        <v>30</v>
      </c>
      <c r="N26" s="39">
        <v>13</v>
      </c>
      <c r="O26" s="1"/>
      <c r="P26" s="1"/>
      <c r="Q26" s="1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5.75" customHeight="1">
      <c r="A27" s="30" t="s">
        <v>107</v>
      </c>
      <c r="B27" s="29">
        <v>46097</v>
      </c>
      <c r="C27" s="29">
        <v>46295</v>
      </c>
      <c r="D27" s="30" t="s">
        <v>108</v>
      </c>
      <c r="E27" s="30" t="s">
        <v>74</v>
      </c>
      <c r="F27" s="30" t="s">
        <v>28</v>
      </c>
      <c r="G27" s="29" t="s">
        <v>35</v>
      </c>
      <c r="H27" s="29">
        <v>46097</v>
      </c>
      <c r="I27" s="31">
        <v>407369.6949</v>
      </c>
      <c r="J27" s="31">
        <f t="shared" si="0"/>
        <v>407369.6949</v>
      </c>
      <c r="K27" s="31">
        <v>1000</v>
      </c>
      <c r="L27" s="30">
        <f t="shared" si="1"/>
        <v>198</v>
      </c>
      <c r="M27" s="30" t="s">
        <v>30</v>
      </c>
      <c r="N27" s="39">
        <v>13</v>
      </c>
      <c r="O27" s="1"/>
      <c r="P27" s="1"/>
      <c r="Q27" s="1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5.75" customHeight="1">
      <c r="A28" s="30" t="s">
        <v>102</v>
      </c>
      <c r="B28" s="29">
        <v>46080</v>
      </c>
      <c r="C28" s="29">
        <v>46157</v>
      </c>
      <c r="D28" s="30" t="s">
        <v>82</v>
      </c>
      <c r="E28" s="30" t="s">
        <v>74</v>
      </c>
      <c r="F28" s="30" t="s">
        <v>28</v>
      </c>
      <c r="G28" s="65" t="s">
        <v>29</v>
      </c>
      <c r="H28" s="29">
        <v>46097</v>
      </c>
      <c r="I28" s="31">
        <v>2686816.3049389999</v>
      </c>
      <c r="J28" s="31">
        <f t="shared" si="0"/>
        <v>2736495.5384173221</v>
      </c>
      <c r="K28" s="31">
        <v>1018.49</v>
      </c>
      <c r="L28" s="30">
        <f t="shared" si="1"/>
        <v>60</v>
      </c>
      <c r="M28" s="30" t="s">
        <v>30</v>
      </c>
      <c r="N28" s="39" t="s">
        <v>109</v>
      </c>
      <c r="O28" s="1"/>
      <c r="P28" s="1"/>
      <c r="Q28" s="1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5.75" customHeight="1">
      <c r="A29" s="30" t="s">
        <v>110</v>
      </c>
      <c r="B29" s="29">
        <v>46097</v>
      </c>
      <c r="C29" s="29">
        <v>46295</v>
      </c>
      <c r="D29" s="30" t="s">
        <v>82</v>
      </c>
      <c r="E29" s="30" t="s">
        <v>74</v>
      </c>
      <c r="F29" s="30" t="s">
        <v>28</v>
      </c>
      <c r="G29" s="65" t="s">
        <v>29</v>
      </c>
      <c r="H29" s="29">
        <v>46097</v>
      </c>
      <c r="I29" s="31">
        <v>1117884.1538199999</v>
      </c>
      <c r="J29" s="31">
        <f t="shared" si="0"/>
        <v>1088360.8333176139</v>
      </c>
      <c r="K29" s="31">
        <v>973.59</v>
      </c>
      <c r="L29" s="30">
        <f t="shared" si="1"/>
        <v>198</v>
      </c>
      <c r="M29" s="30" t="s">
        <v>30</v>
      </c>
      <c r="N29" s="39">
        <v>13</v>
      </c>
      <c r="O29" s="1"/>
      <c r="P29" s="1"/>
      <c r="Q29" s="1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5.75" customHeight="1">
      <c r="A30" s="30" t="s">
        <v>79</v>
      </c>
      <c r="B30" s="29">
        <v>45971</v>
      </c>
      <c r="C30" s="29">
        <v>46265</v>
      </c>
      <c r="D30" s="30" t="s">
        <v>40</v>
      </c>
      <c r="E30" s="30" t="s">
        <v>74</v>
      </c>
      <c r="F30" s="30" t="s">
        <v>28</v>
      </c>
      <c r="G30" s="29" t="s">
        <v>35</v>
      </c>
      <c r="H30" s="29">
        <v>46097</v>
      </c>
      <c r="I30" s="31">
        <v>515752.30374100001</v>
      </c>
      <c r="J30" s="31">
        <f t="shared" si="0"/>
        <v>593373.02545402048</v>
      </c>
      <c r="K30" s="31">
        <v>1150.5</v>
      </c>
      <c r="L30" s="30">
        <f t="shared" si="1"/>
        <v>168</v>
      </c>
      <c r="M30" s="30" t="s">
        <v>30</v>
      </c>
      <c r="N30" s="39" t="s">
        <v>111</v>
      </c>
      <c r="O30" s="1"/>
      <c r="P30" s="1"/>
      <c r="Q30" s="1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5.75" customHeight="1">
      <c r="A31" s="30" t="s">
        <v>94</v>
      </c>
      <c r="B31" s="29">
        <v>45930</v>
      </c>
      <c r="C31" s="29">
        <v>46142</v>
      </c>
      <c r="D31" s="30" t="s">
        <v>82</v>
      </c>
      <c r="E31" s="30" t="s">
        <v>74</v>
      </c>
      <c r="F31" s="30" t="s">
        <v>28</v>
      </c>
      <c r="G31" s="29" t="s">
        <v>47</v>
      </c>
      <c r="H31" s="29">
        <v>46097</v>
      </c>
      <c r="I31" s="31">
        <v>59.149808</v>
      </c>
      <c r="J31" s="32">
        <f t="shared" si="0"/>
        <v>58.706184439999994</v>
      </c>
      <c r="K31" s="31">
        <v>992.5</v>
      </c>
      <c r="L31" s="30">
        <f t="shared" si="1"/>
        <v>45</v>
      </c>
      <c r="M31" s="30" t="s">
        <v>30</v>
      </c>
      <c r="N31" s="39" t="s">
        <v>112</v>
      </c>
      <c r="O31" s="1"/>
      <c r="P31" s="1"/>
      <c r="Q31" s="1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5.75" customHeight="1">
      <c r="A32" s="30" t="s">
        <v>113</v>
      </c>
      <c r="B32" s="29">
        <v>46097</v>
      </c>
      <c r="C32" s="29">
        <v>46295</v>
      </c>
      <c r="D32" s="30" t="s">
        <v>82</v>
      </c>
      <c r="E32" s="30" t="s">
        <v>74</v>
      </c>
      <c r="F32" s="30" t="s">
        <v>28</v>
      </c>
      <c r="G32" s="29" t="s">
        <v>47</v>
      </c>
      <c r="H32" s="29">
        <v>46097</v>
      </c>
      <c r="I32" s="31">
        <v>119.570637</v>
      </c>
      <c r="J32" s="31">
        <f t="shared" si="0"/>
        <v>116.39005805580001</v>
      </c>
      <c r="K32" s="31">
        <v>973.4</v>
      </c>
      <c r="L32" s="30">
        <f t="shared" si="1"/>
        <v>198</v>
      </c>
      <c r="M32" s="30" t="s">
        <v>30</v>
      </c>
      <c r="N32" s="39">
        <v>13</v>
      </c>
      <c r="O32" s="1"/>
      <c r="P32" s="1"/>
      <c r="Q32" s="1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5.75" customHeight="1">
      <c r="A33" s="30" t="s">
        <v>114</v>
      </c>
      <c r="B33" s="29">
        <v>46112</v>
      </c>
      <c r="C33" s="29">
        <f t="shared" ref="C33:C35" si="2">+RIGHT(A33,10)*1</f>
        <v>46220</v>
      </c>
      <c r="D33" s="30" t="s">
        <v>115</v>
      </c>
      <c r="E33" s="30" t="s">
        <v>74</v>
      </c>
      <c r="F33" s="30" t="s">
        <v>28</v>
      </c>
      <c r="G33" s="29" t="s">
        <v>35</v>
      </c>
      <c r="H33" s="29">
        <v>46112</v>
      </c>
      <c r="I33" s="31">
        <v>2751778.64</v>
      </c>
      <c r="J33" s="31">
        <f t="shared" si="0"/>
        <v>2751778.64</v>
      </c>
      <c r="K33" s="31">
        <v>1000</v>
      </c>
      <c r="L33" s="30">
        <f t="shared" si="1"/>
        <v>108</v>
      </c>
      <c r="M33" s="30" t="s">
        <v>30</v>
      </c>
      <c r="N33" s="39">
        <v>16</v>
      </c>
      <c r="O33" s="1"/>
      <c r="P33" s="1"/>
      <c r="Q33" s="1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5.75" customHeight="1">
      <c r="A34" s="120" t="s">
        <v>116</v>
      </c>
      <c r="B34" s="118">
        <v>46129</v>
      </c>
      <c r="C34" s="118">
        <f t="shared" si="2"/>
        <v>46248</v>
      </c>
      <c r="D34" s="120" t="s">
        <v>117</v>
      </c>
      <c r="E34" s="120" t="s">
        <v>74</v>
      </c>
      <c r="F34" s="120" t="s">
        <v>28</v>
      </c>
      <c r="G34" s="118" t="s">
        <v>35</v>
      </c>
      <c r="H34" s="121">
        <v>46129</v>
      </c>
      <c r="I34" s="31">
        <v>4447233.8934779996</v>
      </c>
      <c r="J34" s="31">
        <f t="shared" si="0"/>
        <v>4447233.8934779996</v>
      </c>
      <c r="K34" s="31">
        <v>1000</v>
      </c>
      <c r="L34" s="30">
        <f t="shared" si="1"/>
        <v>119</v>
      </c>
      <c r="M34" s="30" t="s">
        <v>30</v>
      </c>
      <c r="N34" s="39">
        <v>21</v>
      </c>
      <c r="O34" s="1"/>
      <c r="P34" s="1"/>
      <c r="Q34" s="1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5.75" customHeight="1">
      <c r="A35" s="120" t="s">
        <v>118</v>
      </c>
      <c r="B35" s="118">
        <v>46142</v>
      </c>
      <c r="C35" s="118">
        <f t="shared" si="2"/>
        <v>46185</v>
      </c>
      <c r="D35" s="120" t="s">
        <v>119</v>
      </c>
      <c r="E35" s="120" t="s">
        <v>74</v>
      </c>
      <c r="F35" s="120" t="s">
        <v>28</v>
      </c>
      <c r="G35" s="118" t="s">
        <v>35</v>
      </c>
      <c r="H35" s="118">
        <v>46142</v>
      </c>
      <c r="I35" s="31">
        <v>4937002.4407040002</v>
      </c>
      <c r="J35" s="31">
        <f t="shared" si="0"/>
        <v>4937002.4407040002</v>
      </c>
      <c r="K35" s="31">
        <v>1000</v>
      </c>
      <c r="L35" s="30">
        <f t="shared" si="1"/>
        <v>43</v>
      </c>
      <c r="M35" s="30" t="s">
        <v>30</v>
      </c>
      <c r="N35" s="39">
        <v>23</v>
      </c>
      <c r="O35" s="1"/>
      <c r="P35" s="1"/>
      <c r="Q35" s="1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5.75" customHeight="1">
      <c r="A36" s="120" t="s">
        <v>113</v>
      </c>
      <c r="B36" s="118">
        <v>46097</v>
      </c>
      <c r="C36" s="118">
        <v>46295</v>
      </c>
      <c r="D36" s="120" t="s">
        <v>82</v>
      </c>
      <c r="E36" s="120" t="s">
        <v>74</v>
      </c>
      <c r="F36" s="120" t="s">
        <v>28</v>
      </c>
      <c r="G36" s="118" t="s">
        <v>47</v>
      </c>
      <c r="H36" s="118">
        <v>46142</v>
      </c>
      <c r="I36" s="31">
        <v>114.301717</v>
      </c>
      <c r="J36" s="31">
        <f t="shared" si="0"/>
        <v>113.12440931489999</v>
      </c>
      <c r="K36" s="31">
        <v>989.7</v>
      </c>
      <c r="L36" s="30">
        <f t="shared" si="1"/>
        <v>153</v>
      </c>
      <c r="M36" s="30" t="s">
        <v>30</v>
      </c>
      <c r="N36" s="39" t="s">
        <v>120</v>
      </c>
      <c r="O36" s="1"/>
      <c r="P36" s="1"/>
      <c r="Q36" s="1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22.5" customHeight="1">
      <c r="A37" s="36" t="s">
        <v>66</v>
      </c>
      <c r="B37" s="66"/>
      <c r="C37" s="66"/>
      <c r="D37" s="67"/>
      <c r="E37" s="67"/>
      <c r="F37" s="67"/>
      <c r="G37" s="67"/>
      <c r="H37" s="68"/>
      <c r="I37" s="67"/>
      <c r="J37" s="69"/>
      <c r="K37" s="67"/>
      <c r="L37" s="67"/>
      <c r="M37" s="67"/>
      <c r="N37" s="67"/>
      <c r="O37" s="1"/>
      <c r="P37" s="1"/>
      <c r="Q37" s="1"/>
    </row>
    <row r="38" spans="1:26" ht="22.5" customHeight="1">
      <c r="A38" s="21" t="s">
        <v>67</v>
      </c>
      <c r="B38" s="62"/>
      <c r="C38" s="62"/>
      <c r="D38" s="1"/>
      <c r="E38" s="1"/>
      <c r="F38" s="1"/>
      <c r="G38" s="1"/>
      <c r="H38" s="70"/>
      <c r="I38" s="1"/>
      <c r="J38" s="1"/>
      <c r="K38" s="1"/>
      <c r="L38" s="1"/>
      <c r="M38" s="1"/>
      <c r="N38" s="1"/>
      <c r="O38" s="1"/>
      <c r="P38" s="1"/>
      <c r="Q38" s="1"/>
    </row>
    <row r="39" spans="1:26" ht="22.5" customHeight="1">
      <c r="A39" s="62"/>
      <c r="B39" s="62"/>
      <c r="C39" s="62"/>
      <c r="D39" s="1"/>
      <c r="E39" s="1"/>
      <c r="F39" s="1"/>
      <c r="G39" s="1"/>
      <c r="H39" s="70"/>
      <c r="I39" s="71"/>
      <c r="J39" s="1"/>
      <c r="K39" s="1"/>
      <c r="L39" s="1"/>
      <c r="M39" s="1"/>
      <c r="N39" s="1"/>
      <c r="O39" s="1"/>
      <c r="P39" s="1"/>
      <c r="Q39" s="1"/>
    </row>
    <row r="40" spans="1:26" ht="22.5" customHeight="1">
      <c r="A40" s="62"/>
      <c r="B40" s="62"/>
      <c r="C40" s="62"/>
      <c r="D40" s="1"/>
      <c r="E40" s="1"/>
      <c r="F40" s="1"/>
      <c r="G40" s="1"/>
      <c r="H40" s="70"/>
      <c r="I40" s="1"/>
      <c r="J40" s="1"/>
      <c r="K40" s="1"/>
      <c r="L40" s="1"/>
      <c r="M40" s="1"/>
      <c r="N40" s="1"/>
      <c r="O40" s="1"/>
      <c r="P40" s="1"/>
      <c r="Q40" s="1"/>
    </row>
    <row r="41" spans="1:26" ht="22.5" customHeight="1">
      <c r="A41" s="1"/>
      <c r="B41" s="62"/>
      <c r="C41" s="62"/>
      <c r="D41" s="1"/>
      <c r="E41" s="1"/>
      <c r="F41" s="1"/>
      <c r="G41" s="1"/>
      <c r="H41" s="70"/>
      <c r="I41" s="1"/>
      <c r="J41" s="1"/>
      <c r="K41" s="1"/>
      <c r="L41" s="1"/>
      <c r="M41" s="1"/>
      <c r="N41" s="1"/>
      <c r="O41" s="1"/>
      <c r="P41" s="1"/>
      <c r="Q41" s="1"/>
    </row>
    <row r="42" spans="1:26" ht="22.5" customHeight="1">
      <c r="A42" s="61"/>
      <c r="B42" s="62"/>
      <c r="C42" s="62"/>
      <c r="D42" s="1"/>
      <c r="E42" s="1"/>
      <c r="F42" s="1"/>
      <c r="G42" s="1"/>
      <c r="H42" s="70"/>
      <c r="I42" s="1"/>
      <c r="J42" s="1"/>
      <c r="K42" s="1"/>
      <c r="L42" s="1"/>
      <c r="M42" s="1"/>
      <c r="N42" s="1"/>
      <c r="O42" s="1"/>
      <c r="P42" s="1"/>
      <c r="Q42" s="1"/>
    </row>
    <row r="43" spans="1:26" ht="22.5" customHeight="1">
      <c r="A43" s="61"/>
      <c r="B43" s="62"/>
      <c r="C43" s="62"/>
      <c r="D43" s="1"/>
      <c r="E43" s="1"/>
      <c r="F43" s="1"/>
      <c r="G43" s="1"/>
      <c r="H43" s="70"/>
      <c r="I43" s="1"/>
      <c r="J43" s="1"/>
      <c r="K43" s="1"/>
      <c r="L43" s="1"/>
      <c r="M43" s="1"/>
      <c r="N43" s="1"/>
      <c r="O43" s="1"/>
      <c r="P43" s="1"/>
      <c r="Q43" s="1"/>
    </row>
    <row r="44" spans="1:26" ht="22.5" customHeight="1">
      <c r="A44" s="61"/>
      <c r="B44" s="62"/>
      <c r="C44" s="62"/>
      <c r="D44" s="1"/>
      <c r="E44" s="1"/>
      <c r="F44" s="1"/>
      <c r="G44" s="1"/>
      <c r="H44" s="62"/>
      <c r="I44" s="1"/>
      <c r="J44" s="1"/>
      <c r="K44" s="1"/>
      <c r="L44" s="1"/>
      <c r="M44" s="1"/>
      <c r="N44" s="1"/>
      <c r="O44" s="1"/>
      <c r="P44" s="1"/>
      <c r="Q44" s="1"/>
    </row>
    <row r="45" spans="1:26" ht="22.5" customHeight="1">
      <c r="A45" s="61"/>
      <c r="B45" s="62"/>
      <c r="C45" s="62"/>
      <c r="D45" s="1"/>
      <c r="E45" s="1"/>
      <c r="F45" s="1"/>
      <c r="G45" s="1"/>
      <c r="H45" s="62"/>
      <c r="I45" s="1"/>
      <c r="J45" s="1"/>
      <c r="K45" s="1"/>
      <c r="L45" s="1"/>
      <c r="M45" s="1"/>
      <c r="N45" s="1"/>
      <c r="O45" s="1"/>
      <c r="P45" s="1"/>
      <c r="Q45" s="1"/>
    </row>
    <row r="46" spans="1:26" ht="22.5" customHeight="1">
      <c r="A46" s="61"/>
      <c r="B46" s="62"/>
      <c r="C46" s="62"/>
      <c r="D46" s="1"/>
      <c r="E46" s="1"/>
      <c r="F46" s="1"/>
      <c r="G46" s="1"/>
      <c r="H46" s="62"/>
      <c r="I46" s="1"/>
      <c r="J46" s="1"/>
      <c r="K46" s="1"/>
      <c r="L46" s="1"/>
      <c r="M46" s="1"/>
      <c r="N46" s="1"/>
      <c r="O46" s="1"/>
      <c r="P46" s="1"/>
      <c r="Q46" s="1"/>
    </row>
    <row r="47" spans="1:26" ht="22.5" customHeight="1">
      <c r="A47" s="61"/>
      <c r="B47" s="62"/>
      <c r="C47" s="62"/>
      <c r="D47" s="1"/>
      <c r="E47" s="1"/>
      <c r="F47" s="1"/>
      <c r="G47" s="1"/>
      <c r="H47" s="62"/>
      <c r="I47" s="1"/>
      <c r="J47" s="1"/>
      <c r="K47" s="1"/>
      <c r="L47" s="1"/>
      <c r="M47" s="1"/>
      <c r="N47" s="1"/>
      <c r="O47" s="1"/>
      <c r="P47" s="1"/>
      <c r="Q47" s="1"/>
    </row>
    <row r="48" spans="1:26" ht="22.5" customHeight="1">
      <c r="A48" s="61"/>
      <c r="B48" s="62"/>
      <c r="C48" s="62"/>
      <c r="D48" s="1"/>
      <c r="E48" s="1"/>
      <c r="F48" s="1"/>
      <c r="G48" s="1"/>
      <c r="H48" s="62"/>
      <c r="I48" s="1"/>
      <c r="J48" s="1"/>
      <c r="K48" s="1"/>
      <c r="L48" s="1"/>
      <c r="M48" s="1"/>
      <c r="N48" s="1"/>
      <c r="O48" s="1"/>
      <c r="P48" s="1"/>
      <c r="Q48" s="1"/>
    </row>
    <row r="49" spans="1:17" ht="22.5" customHeight="1">
      <c r="A49" s="61"/>
      <c r="B49" s="62"/>
      <c r="C49" s="62"/>
      <c r="D49" s="1"/>
      <c r="E49" s="1"/>
      <c r="F49" s="1"/>
      <c r="G49" s="1"/>
      <c r="H49" s="62"/>
      <c r="I49" s="1"/>
      <c r="J49" s="1"/>
      <c r="K49" s="1"/>
      <c r="L49" s="1"/>
      <c r="M49" s="1"/>
      <c r="N49" s="1"/>
      <c r="O49" s="1"/>
      <c r="P49" s="1"/>
      <c r="Q49" s="1"/>
    </row>
    <row r="50" spans="1:17" ht="22.5" customHeight="1">
      <c r="A50" s="61"/>
      <c r="B50" s="62"/>
      <c r="C50" s="62"/>
      <c r="D50" s="1"/>
      <c r="E50" s="1"/>
      <c r="F50" s="1"/>
      <c r="G50" s="1"/>
      <c r="H50" s="62"/>
      <c r="I50" s="1"/>
      <c r="J50" s="1"/>
      <c r="K50" s="1"/>
      <c r="L50" s="1"/>
      <c r="M50" s="1"/>
      <c r="N50" s="1"/>
      <c r="O50" s="1"/>
      <c r="P50" s="1"/>
      <c r="Q50" s="1"/>
    </row>
    <row r="51" spans="1:17" ht="22.5" customHeight="1">
      <c r="A51" s="61"/>
      <c r="B51" s="62"/>
      <c r="C51" s="62"/>
      <c r="D51" s="1"/>
      <c r="E51" s="1"/>
      <c r="F51" s="1"/>
      <c r="G51" s="1"/>
      <c r="H51" s="62"/>
      <c r="I51" s="1"/>
      <c r="J51" s="1"/>
      <c r="K51" s="1"/>
      <c r="L51" s="1"/>
      <c r="M51" s="1"/>
      <c r="N51" s="1"/>
      <c r="O51" s="1"/>
      <c r="P51" s="1"/>
      <c r="Q51" s="1"/>
    </row>
    <row r="52" spans="1:17" ht="22.5" customHeight="1">
      <c r="A52" s="61"/>
      <c r="B52" s="62"/>
      <c r="C52" s="62"/>
      <c r="D52" s="1"/>
      <c r="E52" s="1"/>
      <c r="F52" s="1"/>
      <c r="G52" s="1"/>
      <c r="H52" s="62"/>
      <c r="I52" s="1"/>
      <c r="J52" s="1"/>
      <c r="K52" s="1"/>
      <c r="L52" s="1"/>
      <c r="M52" s="1"/>
      <c r="N52" s="1"/>
      <c r="O52" s="1"/>
      <c r="P52" s="1"/>
      <c r="Q52" s="1"/>
    </row>
    <row r="53" spans="1:17" ht="22.5" customHeight="1">
      <c r="A53" s="61"/>
      <c r="B53" s="62"/>
      <c r="C53" s="62"/>
      <c r="D53" s="1"/>
      <c r="E53" s="1"/>
      <c r="F53" s="1"/>
      <c r="G53" s="1"/>
      <c r="H53" s="62"/>
      <c r="I53" s="1"/>
      <c r="J53" s="1"/>
      <c r="K53" s="1"/>
      <c r="L53" s="1"/>
      <c r="M53" s="1"/>
      <c r="N53" s="1"/>
      <c r="O53" s="1"/>
      <c r="P53" s="1"/>
      <c r="Q53" s="1"/>
    </row>
    <row r="54" spans="1:17" ht="22.5" customHeight="1">
      <c r="A54" s="61"/>
      <c r="B54" s="62"/>
      <c r="C54" s="62"/>
      <c r="D54" s="1"/>
      <c r="E54" s="1"/>
      <c r="F54" s="1"/>
      <c r="G54" s="1"/>
      <c r="H54" s="62"/>
      <c r="I54" s="1"/>
      <c r="J54" s="1"/>
      <c r="K54" s="1"/>
      <c r="L54" s="1"/>
      <c r="M54" s="1"/>
      <c r="N54" s="1"/>
      <c r="O54" s="1"/>
      <c r="P54" s="1"/>
      <c r="Q54" s="1"/>
    </row>
    <row r="55" spans="1:17" ht="22.5" customHeight="1">
      <c r="A55" s="61"/>
      <c r="B55" s="62"/>
      <c r="C55" s="62"/>
      <c r="D55" s="1"/>
      <c r="E55" s="1"/>
      <c r="F55" s="1"/>
      <c r="G55" s="1"/>
      <c r="H55" s="62"/>
      <c r="I55" s="1"/>
      <c r="J55" s="1"/>
      <c r="K55" s="1"/>
      <c r="L55" s="1"/>
      <c r="M55" s="1"/>
      <c r="N55" s="1"/>
      <c r="O55" s="1"/>
      <c r="P55" s="1"/>
      <c r="Q55" s="1"/>
    </row>
    <row r="56" spans="1:17" ht="22.5" customHeight="1">
      <c r="A56" s="61"/>
      <c r="B56" s="62"/>
      <c r="C56" s="62"/>
      <c r="D56" s="1"/>
      <c r="E56" s="1"/>
      <c r="F56" s="1"/>
      <c r="G56" s="1"/>
      <c r="H56" s="62"/>
      <c r="I56" s="1"/>
      <c r="J56" s="1"/>
      <c r="K56" s="1"/>
      <c r="L56" s="1"/>
      <c r="M56" s="1"/>
      <c r="N56" s="1"/>
      <c r="O56" s="1"/>
      <c r="P56" s="1"/>
      <c r="Q56" s="1"/>
    </row>
    <row r="57" spans="1:17" ht="22.5" customHeight="1">
      <c r="A57" s="61"/>
      <c r="B57" s="62"/>
      <c r="C57" s="62"/>
      <c r="D57" s="1"/>
      <c r="E57" s="1"/>
      <c r="F57" s="1"/>
      <c r="G57" s="1"/>
      <c r="H57" s="62"/>
      <c r="I57" s="1"/>
      <c r="J57" s="1"/>
      <c r="K57" s="1"/>
      <c r="L57" s="1"/>
      <c r="M57" s="1"/>
      <c r="N57" s="1"/>
      <c r="O57" s="1"/>
      <c r="P57" s="1"/>
      <c r="Q57" s="1"/>
    </row>
    <row r="58" spans="1:17" ht="22.5" customHeight="1">
      <c r="A58" s="61"/>
      <c r="B58" s="62"/>
      <c r="C58" s="62"/>
      <c r="D58" s="1"/>
      <c r="E58" s="1"/>
      <c r="F58" s="1"/>
      <c r="G58" s="1"/>
      <c r="H58" s="62"/>
      <c r="I58" s="1"/>
      <c r="J58" s="1"/>
      <c r="K58" s="1"/>
      <c r="L58" s="1"/>
      <c r="M58" s="1"/>
      <c r="N58" s="1"/>
      <c r="O58" s="1"/>
      <c r="P58" s="1"/>
      <c r="Q58" s="1"/>
    </row>
    <row r="59" spans="1:17" ht="22.5" customHeight="1">
      <c r="A59" s="61"/>
      <c r="B59" s="62"/>
      <c r="C59" s="62"/>
      <c r="D59" s="1"/>
      <c r="E59" s="1"/>
      <c r="F59" s="1"/>
      <c r="G59" s="1"/>
      <c r="H59" s="62"/>
      <c r="I59" s="1"/>
      <c r="J59" s="1"/>
      <c r="K59" s="1"/>
      <c r="L59" s="1"/>
      <c r="M59" s="1"/>
      <c r="N59" s="1"/>
      <c r="O59" s="1"/>
      <c r="P59" s="1"/>
      <c r="Q59" s="1"/>
    </row>
    <row r="60" spans="1:17" ht="22.5" customHeight="1">
      <c r="A60" s="61"/>
      <c r="B60" s="62"/>
      <c r="C60" s="62"/>
      <c r="D60" s="1"/>
      <c r="E60" s="1"/>
      <c r="F60" s="1"/>
      <c r="G60" s="1"/>
      <c r="H60" s="62"/>
      <c r="I60" s="1"/>
      <c r="J60" s="1"/>
      <c r="K60" s="1"/>
      <c r="L60" s="1"/>
      <c r="M60" s="1"/>
      <c r="N60" s="1"/>
      <c r="O60" s="1"/>
      <c r="P60" s="1"/>
      <c r="Q60" s="1"/>
    </row>
    <row r="61" spans="1:17" ht="22.5" customHeight="1">
      <c r="A61" s="61"/>
      <c r="B61" s="62"/>
      <c r="C61" s="62"/>
      <c r="D61" s="1"/>
      <c r="E61" s="1"/>
      <c r="F61" s="1"/>
      <c r="G61" s="1"/>
      <c r="H61" s="62"/>
      <c r="I61" s="1"/>
      <c r="J61" s="1"/>
      <c r="K61" s="1"/>
      <c r="L61" s="1"/>
      <c r="M61" s="1"/>
      <c r="N61" s="1"/>
      <c r="O61" s="1"/>
      <c r="P61" s="1"/>
      <c r="Q61" s="1"/>
    </row>
    <row r="62" spans="1:17" ht="22.5" customHeight="1">
      <c r="A62" s="61"/>
      <c r="B62" s="62"/>
      <c r="C62" s="62"/>
      <c r="D62" s="1"/>
      <c r="E62" s="1"/>
      <c r="F62" s="1"/>
      <c r="G62" s="1"/>
      <c r="H62" s="62"/>
      <c r="I62" s="1"/>
      <c r="J62" s="1"/>
      <c r="K62" s="1"/>
      <c r="L62" s="1"/>
      <c r="M62" s="1"/>
      <c r="N62" s="1"/>
      <c r="O62" s="1"/>
      <c r="P62" s="1"/>
      <c r="Q62" s="1"/>
    </row>
    <row r="63" spans="1:17" ht="22.5" customHeight="1">
      <c r="A63" s="61"/>
      <c r="B63" s="62"/>
      <c r="C63" s="62"/>
      <c r="D63" s="1"/>
      <c r="E63" s="1"/>
      <c r="F63" s="1"/>
      <c r="G63" s="1"/>
      <c r="H63" s="62"/>
      <c r="I63" s="1"/>
      <c r="J63" s="1"/>
      <c r="K63" s="1"/>
      <c r="L63" s="1"/>
      <c r="M63" s="1"/>
      <c r="N63" s="1"/>
      <c r="O63" s="1"/>
      <c r="P63" s="1"/>
      <c r="Q63" s="1"/>
    </row>
    <row r="64" spans="1:17" ht="22.5" customHeight="1">
      <c r="A64" s="61"/>
      <c r="B64" s="62"/>
      <c r="C64" s="62"/>
      <c r="D64" s="1"/>
      <c r="E64" s="1"/>
      <c r="F64" s="1"/>
      <c r="G64" s="1"/>
      <c r="H64" s="62"/>
      <c r="I64" s="1"/>
      <c r="J64" s="1"/>
      <c r="K64" s="1"/>
      <c r="L64" s="1"/>
      <c r="M64" s="1"/>
      <c r="N64" s="1"/>
      <c r="O64" s="1"/>
      <c r="P64" s="1"/>
      <c r="Q64" s="1"/>
    </row>
    <row r="65" spans="1:17" ht="22.5" customHeight="1">
      <c r="A65" s="61"/>
      <c r="B65" s="62"/>
      <c r="C65" s="62"/>
      <c r="D65" s="1"/>
      <c r="E65" s="1"/>
      <c r="F65" s="1"/>
      <c r="G65" s="1"/>
      <c r="H65" s="62"/>
      <c r="I65" s="1"/>
      <c r="J65" s="1"/>
      <c r="K65" s="1"/>
      <c r="L65" s="1"/>
      <c r="M65" s="1"/>
      <c r="N65" s="1"/>
      <c r="O65" s="1"/>
      <c r="P65" s="1"/>
      <c r="Q65" s="1"/>
    </row>
    <row r="66" spans="1:17" ht="22.5" customHeight="1">
      <c r="A66" s="61"/>
      <c r="B66" s="62"/>
      <c r="C66" s="62"/>
      <c r="D66" s="1"/>
      <c r="E66" s="1"/>
      <c r="F66" s="1"/>
      <c r="G66" s="1"/>
      <c r="H66" s="62"/>
      <c r="I66" s="1"/>
      <c r="J66" s="1"/>
      <c r="K66" s="1"/>
      <c r="L66" s="1"/>
      <c r="M66" s="1"/>
      <c r="N66" s="1"/>
      <c r="O66" s="1"/>
      <c r="P66" s="1"/>
      <c r="Q66" s="1"/>
    </row>
    <row r="67" spans="1:17" ht="22.5" customHeight="1">
      <c r="A67" s="61"/>
      <c r="B67" s="62"/>
      <c r="C67" s="62"/>
      <c r="D67" s="1"/>
      <c r="E67" s="1"/>
      <c r="F67" s="1"/>
      <c r="G67" s="1"/>
      <c r="H67" s="62"/>
      <c r="I67" s="1"/>
      <c r="J67" s="1"/>
      <c r="K67" s="1"/>
      <c r="L67" s="1"/>
      <c r="M67" s="1"/>
      <c r="N67" s="1"/>
      <c r="O67" s="1"/>
      <c r="P67" s="1"/>
      <c r="Q67" s="1"/>
    </row>
    <row r="68" spans="1:17" ht="22.5" customHeight="1">
      <c r="A68" s="61"/>
      <c r="B68" s="62"/>
      <c r="C68" s="62"/>
      <c r="D68" s="1"/>
      <c r="E68" s="1"/>
      <c r="F68" s="1"/>
      <c r="G68" s="1"/>
      <c r="H68" s="62"/>
      <c r="I68" s="1"/>
      <c r="J68" s="1"/>
      <c r="K68" s="1"/>
      <c r="L68" s="1"/>
      <c r="M68" s="1"/>
      <c r="N68" s="1"/>
      <c r="O68" s="1"/>
      <c r="P68" s="1"/>
      <c r="Q68" s="1"/>
    </row>
    <row r="69" spans="1:17" ht="22.5" customHeight="1">
      <c r="A69" s="61"/>
      <c r="B69" s="62"/>
      <c r="C69" s="62"/>
      <c r="D69" s="1"/>
      <c r="E69" s="1"/>
      <c r="F69" s="1"/>
      <c r="G69" s="1"/>
      <c r="H69" s="62"/>
      <c r="I69" s="1"/>
      <c r="J69" s="1"/>
      <c r="K69" s="1"/>
      <c r="L69" s="1"/>
      <c r="M69" s="1"/>
      <c r="N69" s="1"/>
      <c r="O69" s="1"/>
      <c r="P69" s="1"/>
      <c r="Q69" s="1"/>
    </row>
    <row r="70" spans="1:17" ht="22.5" customHeight="1">
      <c r="A70" s="61"/>
      <c r="B70" s="62"/>
      <c r="C70" s="62"/>
      <c r="D70" s="1"/>
      <c r="E70" s="1"/>
      <c r="F70" s="1"/>
      <c r="G70" s="1"/>
      <c r="H70" s="62"/>
      <c r="I70" s="1"/>
      <c r="J70" s="1"/>
      <c r="K70" s="1"/>
      <c r="L70" s="1"/>
      <c r="M70" s="1"/>
      <c r="N70" s="1"/>
      <c r="O70" s="1"/>
      <c r="P70" s="1"/>
      <c r="Q70" s="1"/>
    </row>
    <row r="71" spans="1:17" ht="22.5" customHeight="1">
      <c r="A71" s="61"/>
      <c r="B71" s="62"/>
      <c r="C71" s="62"/>
      <c r="D71" s="1"/>
      <c r="E71" s="1"/>
      <c r="F71" s="1"/>
      <c r="G71" s="1"/>
      <c r="H71" s="62"/>
      <c r="I71" s="1"/>
      <c r="J71" s="1"/>
      <c r="K71" s="1"/>
      <c r="L71" s="1"/>
      <c r="M71" s="1"/>
      <c r="N71" s="1"/>
      <c r="O71" s="1"/>
      <c r="P71" s="1"/>
      <c r="Q71" s="1"/>
    </row>
    <row r="72" spans="1:17" ht="22.5" customHeight="1">
      <c r="A72" s="61"/>
      <c r="B72" s="62"/>
      <c r="C72" s="62"/>
      <c r="D72" s="1"/>
      <c r="E72" s="1"/>
      <c r="F72" s="1"/>
      <c r="G72" s="1"/>
      <c r="H72" s="62"/>
      <c r="I72" s="1"/>
      <c r="J72" s="1"/>
      <c r="K72" s="1"/>
      <c r="L72" s="1"/>
      <c r="M72" s="1"/>
      <c r="N72" s="1"/>
      <c r="O72" s="1"/>
      <c r="P72" s="1"/>
      <c r="Q72" s="1"/>
    </row>
    <row r="73" spans="1:17" ht="22.5" customHeight="1">
      <c r="A73" s="61"/>
      <c r="B73" s="62"/>
      <c r="C73" s="62"/>
      <c r="D73" s="1"/>
      <c r="E73" s="1"/>
      <c r="F73" s="1"/>
      <c r="G73" s="1"/>
      <c r="H73" s="62"/>
      <c r="I73" s="1"/>
      <c r="J73" s="1"/>
      <c r="K73" s="1"/>
      <c r="L73" s="1"/>
      <c r="M73" s="1"/>
      <c r="N73" s="1"/>
      <c r="O73" s="1"/>
      <c r="P73" s="1"/>
      <c r="Q73" s="1"/>
    </row>
    <row r="74" spans="1:17" ht="22.5" customHeight="1">
      <c r="A74" s="61"/>
      <c r="B74" s="62"/>
      <c r="C74" s="62"/>
      <c r="D74" s="1"/>
      <c r="E74" s="1"/>
      <c r="F74" s="1"/>
      <c r="G74" s="1"/>
      <c r="H74" s="62"/>
      <c r="I74" s="1"/>
      <c r="J74" s="1"/>
      <c r="K74" s="1"/>
      <c r="L74" s="1"/>
      <c r="M74" s="1"/>
      <c r="N74" s="1"/>
      <c r="O74" s="1"/>
      <c r="P74" s="1"/>
      <c r="Q74" s="1"/>
    </row>
    <row r="75" spans="1:17" ht="22.5" customHeight="1">
      <c r="A75" s="61"/>
      <c r="B75" s="62"/>
      <c r="C75" s="62"/>
      <c r="D75" s="1"/>
      <c r="E75" s="1"/>
      <c r="F75" s="1"/>
      <c r="G75" s="1"/>
      <c r="H75" s="62"/>
      <c r="I75" s="1"/>
      <c r="J75" s="1"/>
      <c r="K75" s="1"/>
      <c r="L75" s="1"/>
      <c r="M75" s="1"/>
      <c r="N75" s="1"/>
      <c r="O75" s="1"/>
      <c r="P75" s="1"/>
      <c r="Q75" s="1"/>
    </row>
    <row r="76" spans="1:17" ht="22.5" customHeight="1">
      <c r="A76" s="61"/>
      <c r="B76" s="62"/>
      <c r="C76" s="62"/>
      <c r="D76" s="1"/>
      <c r="E76" s="1"/>
      <c r="F76" s="1"/>
      <c r="G76" s="1"/>
      <c r="H76" s="62"/>
      <c r="I76" s="1"/>
      <c r="J76" s="1"/>
      <c r="K76" s="1"/>
      <c r="L76" s="1"/>
      <c r="M76" s="1"/>
      <c r="N76" s="1"/>
      <c r="O76" s="1"/>
      <c r="P76" s="1"/>
      <c r="Q76" s="1"/>
    </row>
    <row r="77" spans="1:17" ht="22.5" customHeight="1">
      <c r="A77" s="61"/>
      <c r="B77" s="62"/>
      <c r="C77" s="62"/>
      <c r="D77" s="1"/>
      <c r="E77" s="1"/>
      <c r="F77" s="1"/>
      <c r="G77" s="1"/>
      <c r="H77" s="62"/>
      <c r="I77" s="1"/>
      <c r="J77" s="1"/>
      <c r="K77" s="1"/>
      <c r="L77" s="1"/>
      <c r="M77" s="1"/>
      <c r="N77" s="1"/>
      <c r="O77" s="1"/>
      <c r="P77" s="1"/>
      <c r="Q77" s="1"/>
    </row>
    <row r="78" spans="1:17" ht="22.5" customHeight="1">
      <c r="A78" s="61"/>
      <c r="B78" s="62"/>
      <c r="C78" s="62"/>
      <c r="D78" s="1"/>
      <c r="E78" s="1"/>
      <c r="F78" s="1"/>
      <c r="G78" s="1"/>
      <c r="H78" s="62"/>
      <c r="I78" s="1"/>
      <c r="J78" s="1"/>
      <c r="K78" s="1"/>
      <c r="L78" s="1"/>
      <c r="M78" s="1"/>
      <c r="N78" s="1"/>
      <c r="O78" s="1"/>
      <c r="P78" s="1"/>
      <c r="Q78" s="1"/>
    </row>
    <row r="79" spans="1:17" ht="22.5" customHeight="1">
      <c r="A79" s="61"/>
      <c r="B79" s="62"/>
      <c r="C79" s="62"/>
      <c r="D79" s="1"/>
      <c r="E79" s="1"/>
      <c r="F79" s="1"/>
      <c r="G79" s="1"/>
      <c r="H79" s="62"/>
      <c r="I79" s="1"/>
      <c r="J79" s="1"/>
      <c r="K79" s="1"/>
      <c r="L79" s="1"/>
      <c r="M79" s="1"/>
      <c r="N79" s="1"/>
      <c r="O79" s="1"/>
      <c r="P79" s="1"/>
      <c r="Q79" s="1"/>
    </row>
    <row r="80" spans="1:17" ht="22.5" customHeight="1">
      <c r="A80" s="61"/>
      <c r="B80" s="62"/>
      <c r="C80" s="62"/>
      <c r="D80" s="1"/>
      <c r="E80" s="1"/>
      <c r="F80" s="1"/>
      <c r="G80" s="1"/>
      <c r="H80" s="62"/>
      <c r="I80" s="1"/>
      <c r="J80" s="1"/>
      <c r="K80" s="1"/>
      <c r="L80" s="1"/>
      <c r="M80" s="1"/>
      <c r="N80" s="1"/>
      <c r="O80" s="1"/>
      <c r="P80" s="1"/>
      <c r="Q80" s="1"/>
    </row>
    <row r="81" spans="1:17" ht="22.5" customHeight="1">
      <c r="A81" s="61"/>
      <c r="B81" s="62"/>
      <c r="C81" s="62"/>
      <c r="D81" s="1"/>
      <c r="E81" s="1"/>
      <c r="F81" s="1"/>
      <c r="G81" s="1"/>
      <c r="H81" s="62"/>
      <c r="I81" s="1"/>
      <c r="J81" s="1"/>
      <c r="K81" s="1"/>
      <c r="L81" s="1"/>
      <c r="M81" s="1"/>
      <c r="N81" s="1"/>
      <c r="O81" s="1"/>
      <c r="P81" s="1"/>
      <c r="Q81" s="1"/>
    </row>
    <row r="82" spans="1:17" ht="22.5" customHeight="1">
      <c r="A82" s="61"/>
      <c r="B82" s="62"/>
      <c r="C82" s="62"/>
      <c r="D82" s="1"/>
      <c r="E82" s="1"/>
      <c r="F82" s="1"/>
      <c r="G82" s="1"/>
      <c r="H82" s="62"/>
      <c r="I82" s="1"/>
      <c r="J82" s="1"/>
      <c r="K82" s="1"/>
      <c r="L82" s="1"/>
      <c r="M82" s="1"/>
      <c r="N82" s="1"/>
      <c r="O82" s="1"/>
      <c r="P82" s="1"/>
      <c r="Q82" s="1"/>
    </row>
    <row r="83" spans="1:17" ht="22.5" customHeight="1">
      <c r="A83" s="61"/>
      <c r="B83" s="62"/>
      <c r="C83" s="62"/>
      <c r="D83" s="1"/>
      <c r="E83" s="1"/>
      <c r="F83" s="1"/>
      <c r="G83" s="1"/>
      <c r="H83" s="62"/>
      <c r="I83" s="1"/>
      <c r="J83" s="1"/>
      <c r="K83" s="1"/>
      <c r="L83" s="1"/>
      <c r="M83" s="1"/>
      <c r="N83" s="1"/>
      <c r="O83" s="1"/>
      <c r="P83" s="1"/>
      <c r="Q83" s="1"/>
    </row>
    <row r="84" spans="1:17" ht="22.5" customHeight="1">
      <c r="A84" s="61"/>
      <c r="B84" s="62"/>
      <c r="C84" s="62"/>
      <c r="D84" s="1"/>
      <c r="E84" s="1"/>
      <c r="F84" s="1"/>
      <c r="G84" s="1"/>
      <c r="H84" s="62"/>
      <c r="I84" s="1"/>
      <c r="J84" s="1"/>
      <c r="K84" s="1"/>
      <c r="L84" s="1"/>
      <c r="M84" s="1"/>
      <c r="N84" s="1"/>
      <c r="O84" s="1"/>
      <c r="P84" s="1"/>
      <c r="Q84" s="1"/>
    </row>
    <row r="85" spans="1:17" ht="22.5" customHeight="1">
      <c r="A85" s="61"/>
      <c r="B85" s="62"/>
      <c r="C85" s="62"/>
      <c r="D85" s="1"/>
      <c r="E85" s="1"/>
      <c r="F85" s="1"/>
      <c r="G85" s="1"/>
      <c r="H85" s="62"/>
      <c r="I85" s="1"/>
      <c r="J85" s="1"/>
      <c r="K85" s="1"/>
      <c r="L85" s="1"/>
      <c r="M85" s="1"/>
      <c r="N85" s="1"/>
      <c r="O85" s="1"/>
      <c r="P85" s="1"/>
      <c r="Q85" s="1"/>
    </row>
    <row r="86" spans="1:17" ht="22.5" customHeight="1">
      <c r="A86" s="61"/>
      <c r="B86" s="62"/>
      <c r="C86" s="62"/>
      <c r="D86" s="1"/>
      <c r="E86" s="1"/>
      <c r="F86" s="1"/>
      <c r="G86" s="1"/>
      <c r="H86" s="62"/>
      <c r="I86" s="1"/>
      <c r="J86" s="1"/>
      <c r="K86" s="1"/>
      <c r="L86" s="1"/>
      <c r="M86" s="1"/>
      <c r="N86" s="1"/>
      <c r="O86" s="1"/>
      <c r="P86" s="1"/>
      <c r="Q86" s="1"/>
    </row>
    <row r="87" spans="1:17" ht="22.5" customHeight="1">
      <c r="A87" s="61"/>
      <c r="B87" s="62"/>
      <c r="C87" s="62"/>
      <c r="D87" s="1"/>
      <c r="E87" s="1"/>
      <c r="F87" s="1"/>
      <c r="G87" s="1"/>
      <c r="H87" s="62"/>
      <c r="I87" s="1"/>
      <c r="J87" s="1"/>
      <c r="K87" s="1"/>
      <c r="L87" s="1"/>
      <c r="M87" s="1"/>
      <c r="N87" s="1"/>
      <c r="O87" s="1"/>
      <c r="P87" s="1"/>
      <c r="Q87" s="1"/>
    </row>
    <row r="88" spans="1:17" ht="22.5" customHeight="1">
      <c r="A88" s="61"/>
      <c r="B88" s="62"/>
      <c r="C88" s="62"/>
      <c r="D88" s="1"/>
      <c r="E88" s="1"/>
      <c r="F88" s="1"/>
      <c r="G88" s="1"/>
      <c r="H88" s="62"/>
      <c r="I88" s="1"/>
      <c r="J88" s="1"/>
      <c r="K88" s="1"/>
      <c r="L88" s="1"/>
      <c r="M88" s="1"/>
      <c r="N88" s="1"/>
      <c r="O88" s="1"/>
      <c r="P88" s="1"/>
      <c r="Q88" s="1"/>
    </row>
    <row r="89" spans="1:17" ht="22.5" customHeight="1">
      <c r="A89" s="61"/>
      <c r="B89" s="62"/>
      <c r="C89" s="62"/>
      <c r="D89" s="1"/>
      <c r="E89" s="1"/>
      <c r="F89" s="1"/>
      <c r="G89" s="1"/>
      <c r="H89" s="62"/>
      <c r="I89" s="1"/>
      <c r="J89" s="1"/>
      <c r="K89" s="1"/>
      <c r="L89" s="1"/>
      <c r="M89" s="1"/>
      <c r="N89" s="1"/>
      <c r="O89" s="1"/>
      <c r="P89" s="1"/>
      <c r="Q89" s="1"/>
    </row>
    <row r="90" spans="1:17" ht="22.5" customHeight="1">
      <c r="A90" s="61"/>
      <c r="B90" s="62"/>
      <c r="C90" s="62"/>
      <c r="D90" s="1"/>
      <c r="E90" s="1"/>
      <c r="F90" s="1"/>
      <c r="G90" s="1"/>
      <c r="H90" s="62"/>
      <c r="I90" s="1"/>
      <c r="J90" s="1"/>
      <c r="K90" s="1"/>
      <c r="L90" s="1"/>
      <c r="M90" s="1"/>
      <c r="N90" s="1"/>
      <c r="O90" s="1"/>
      <c r="P90" s="1"/>
      <c r="Q90" s="1"/>
    </row>
    <row r="91" spans="1:17" ht="22.5" customHeight="1">
      <c r="A91" s="61"/>
      <c r="B91" s="62"/>
      <c r="C91" s="62"/>
      <c r="D91" s="1"/>
      <c r="E91" s="1"/>
      <c r="F91" s="1"/>
      <c r="G91" s="1"/>
      <c r="H91" s="62"/>
      <c r="I91" s="1"/>
      <c r="J91" s="1"/>
      <c r="K91" s="1"/>
      <c r="L91" s="1"/>
      <c r="M91" s="1"/>
      <c r="N91" s="1"/>
      <c r="O91" s="1"/>
      <c r="P91" s="1"/>
      <c r="Q91" s="1"/>
    </row>
    <row r="92" spans="1:17" ht="22.5" customHeight="1">
      <c r="A92" s="61"/>
      <c r="B92" s="62"/>
      <c r="C92" s="62"/>
      <c r="D92" s="1"/>
      <c r="E92" s="1"/>
      <c r="F92" s="1"/>
      <c r="G92" s="1"/>
      <c r="H92" s="62"/>
      <c r="I92" s="1"/>
      <c r="J92" s="1"/>
      <c r="K92" s="1"/>
      <c r="L92" s="1"/>
      <c r="M92" s="1"/>
      <c r="N92" s="1"/>
      <c r="O92" s="1"/>
      <c r="P92" s="1"/>
      <c r="Q92" s="1"/>
    </row>
    <row r="93" spans="1:17" ht="22.5" customHeight="1">
      <c r="A93" s="61"/>
      <c r="B93" s="62"/>
      <c r="C93" s="62"/>
      <c r="D93" s="1"/>
      <c r="E93" s="1"/>
      <c r="F93" s="1"/>
      <c r="G93" s="1"/>
      <c r="H93" s="62"/>
      <c r="I93" s="1"/>
      <c r="J93" s="1"/>
      <c r="K93" s="1"/>
      <c r="L93" s="1"/>
      <c r="M93" s="1"/>
      <c r="N93" s="1"/>
      <c r="O93" s="1"/>
      <c r="P93" s="1"/>
      <c r="Q93" s="1"/>
    </row>
    <row r="94" spans="1:17" ht="22.5" customHeight="1">
      <c r="A94" s="61"/>
      <c r="B94" s="62"/>
      <c r="C94" s="62"/>
      <c r="D94" s="1"/>
      <c r="E94" s="1"/>
      <c r="F94" s="1"/>
      <c r="G94" s="1"/>
      <c r="H94" s="62"/>
      <c r="I94" s="1"/>
      <c r="J94" s="1"/>
      <c r="K94" s="1"/>
      <c r="L94" s="1"/>
      <c r="M94" s="1"/>
      <c r="N94" s="1"/>
      <c r="O94" s="1"/>
      <c r="P94" s="1"/>
      <c r="Q94" s="1"/>
    </row>
    <row r="95" spans="1:17" ht="22.5" customHeight="1">
      <c r="A95" s="61"/>
      <c r="B95" s="62"/>
      <c r="C95" s="62"/>
      <c r="D95" s="1"/>
      <c r="E95" s="1"/>
      <c r="F95" s="1"/>
      <c r="G95" s="1"/>
      <c r="H95" s="62"/>
      <c r="I95" s="1"/>
      <c r="J95" s="1"/>
      <c r="K95" s="1"/>
      <c r="L95" s="1"/>
      <c r="M95" s="1"/>
      <c r="N95" s="1"/>
      <c r="O95" s="1"/>
      <c r="P95" s="1"/>
      <c r="Q95" s="1"/>
    </row>
    <row r="96" spans="1:17" ht="22.5" customHeight="1">
      <c r="A96" s="61"/>
      <c r="B96" s="62"/>
      <c r="C96" s="62"/>
      <c r="D96" s="1"/>
      <c r="E96" s="1"/>
      <c r="F96" s="1"/>
      <c r="G96" s="1"/>
      <c r="H96" s="62"/>
      <c r="I96" s="1"/>
      <c r="J96" s="1"/>
      <c r="K96" s="1"/>
      <c r="L96" s="1"/>
      <c r="M96" s="1"/>
      <c r="N96" s="1"/>
      <c r="O96" s="1"/>
      <c r="P96" s="1"/>
      <c r="Q96" s="1"/>
    </row>
    <row r="97" spans="1:17" ht="22.5" customHeight="1">
      <c r="A97" s="61"/>
      <c r="B97" s="62"/>
      <c r="C97" s="62"/>
      <c r="D97" s="1"/>
      <c r="E97" s="1"/>
      <c r="F97" s="1"/>
      <c r="G97" s="1"/>
      <c r="H97" s="62"/>
      <c r="I97" s="1"/>
      <c r="J97" s="1"/>
      <c r="K97" s="1"/>
      <c r="L97" s="1"/>
      <c r="M97" s="1"/>
      <c r="N97" s="1"/>
      <c r="O97" s="1"/>
      <c r="P97" s="1"/>
      <c r="Q97" s="1"/>
    </row>
    <row r="98" spans="1:17" ht="22.5" customHeight="1">
      <c r="A98" s="61"/>
      <c r="B98" s="62"/>
      <c r="C98" s="62"/>
      <c r="D98" s="1"/>
      <c r="E98" s="1"/>
      <c r="F98" s="1"/>
      <c r="G98" s="1"/>
      <c r="H98" s="62"/>
      <c r="I98" s="1"/>
      <c r="J98" s="1"/>
      <c r="K98" s="1"/>
      <c r="L98" s="1"/>
      <c r="M98" s="1"/>
      <c r="N98" s="1"/>
      <c r="O98" s="1"/>
      <c r="P98" s="1"/>
      <c r="Q98" s="1"/>
    </row>
    <row r="99" spans="1:17" ht="22.5" customHeight="1">
      <c r="A99" s="61"/>
      <c r="B99" s="62"/>
      <c r="C99" s="62"/>
      <c r="D99" s="1"/>
      <c r="E99" s="1"/>
      <c r="F99" s="1"/>
      <c r="G99" s="1"/>
      <c r="H99" s="62"/>
      <c r="I99" s="1"/>
      <c r="J99" s="1"/>
      <c r="K99" s="1"/>
      <c r="L99" s="1"/>
      <c r="M99" s="1"/>
      <c r="N99" s="1"/>
      <c r="O99" s="1"/>
      <c r="P99" s="1"/>
      <c r="Q99" s="1"/>
    </row>
    <row r="100" spans="1:17" ht="22.5" customHeight="1">
      <c r="A100" s="61"/>
      <c r="B100" s="62"/>
      <c r="C100" s="62"/>
      <c r="D100" s="1"/>
      <c r="E100" s="1"/>
      <c r="F100" s="1"/>
      <c r="G100" s="1"/>
      <c r="H100" s="62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22.5" customHeight="1">
      <c r="A101" s="61"/>
      <c r="B101" s="62"/>
      <c r="C101" s="62"/>
      <c r="D101" s="1"/>
      <c r="E101" s="1"/>
      <c r="F101" s="1"/>
      <c r="G101" s="1"/>
      <c r="H101" s="62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22.5" customHeight="1">
      <c r="A102" s="61"/>
      <c r="B102" s="62"/>
      <c r="C102" s="62"/>
      <c r="D102" s="1"/>
      <c r="E102" s="1"/>
      <c r="F102" s="1"/>
      <c r="G102" s="1"/>
      <c r="H102" s="62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22.5" customHeight="1">
      <c r="A103" s="61"/>
      <c r="B103" s="62"/>
      <c r="C103" s="62"/>
      <c r="D103" s="1"/>
      <c r="E103" s="1"/>
      <c r="F103" s="1"/>
      <c r="G103" s="1"/>
      <c r="H103" s="62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22.5" customHeight="1">
      <c r="A104" s="61"/>
      <c r="B104" s="62"/>
      <c r="C104" s="62"/>
      <c r="D104" s="1"/>
      <c r="E104" s="1"/>
      <c r="F104" s="1"/>
      <c r="G104" s="1"/>
      <c r="H104" s="62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22.5" customHeight="1">
      <c r="A105" s="61"/>
      <c r="B105" s="62"/>
      <c r="C105" s="62"/>
      <c r="D105" s="1"/>
      <c r="E105" s="1"/>
      <c r="F105" s="1"/>
      <c r="G105" s="1"/>
      <c r="H105" s="62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22.5" customHeight="1">
      <c r="A106" s="61"/>
      <c r="B106" s="62"/>
      <c r="C106" s="62"/>
      <c r="D106" s="1"/>
      <c r="E106" s="1"/>
      <c r="F106" s="1"/>
      <c r="G106" s="1"/>
      <c r="H106" s="62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22.5" customHeight="1">
      <c r="A107" s="61"/>
      <c r="B107" s="62"/>
      <c r="C107" s="62"/>
      <c r="D107" s="1"/>
      <c r="E107" s="1"/>
      <c r="F107" s="1"/>
      <c r="G107" s="1"/>
      <c r="H107" s="62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22.5" customHeight="1">
      <c r="A108" s="61"/>
      <c r="B108" s="62"/>
      <c r="C108" s="62"/>
      <c r="D108" s="1"/>
      <c r="E108" s="1"/>
      <c r="F108" s="1"/>
      <c r="G108" s="1"/>
      <c r="H108" s="62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22.5" customHeight="1">
      <c r="A109" s="61"/>
      <c r="B109" s="62"/>
      <c r="C109" s="62"/>
      <c r="D109" s="1"/>
      <c r="E109" s="1"/>
      <c r="F109" s="1"/>
      <c r="G109" s="1"/>
      <c r="H109" s="62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22.5" customHeight="1">
      <c r="A110" s="61"/>
      <c r="B110" s="62"/>
      <c r="C110" s="62"/>
      <c r="D110" s="1"/>
      <c r="E110" s="1"/>
      <c r="F110" s="1"/>
      <c r="G110" s="1"/>
      <c r="H110" s="62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22.5" customHeight="1">
      <c r="A111" s="61"/>
      <c r="B111" s="62"/>
      <c r="C111" s="62"/>
      <c r="D111" s="1"/>
      <c r="E111" s="1"/>
      <c r="F111" s="1"/>
      <c r="G111" s="1"/>
      <c r="H111" s="62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22.5" customHeight="1">
      <c r="A112" s="61"/>
      <c r="B112" s="62"/>
      <c r="C112" s="62"/>
      <c r="D112" s="1"/>
      <c r="E112" s="1"/>
      <c r="F112" s="1"/>
      <c r="G112" s="1"/>
      <c r="H112" s="62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22.5" customHeight="1">
      <c r="A113" s="61"/>
      <c r="B113" s="62"/>
      <c r="C113" s="62"/>
      <c r="D113" s="1"/>
      <c r="E113" s="1"/>
      <c r="F113" s="1"/>
      <c r="G113" s="1"/>
      <c r="H113" s="62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22.5" customHeight="1">
      <c r="A114" s="61"/>
      <c r="B114" s="62"/>
      <c r="C114" s="62"/>
      <c r="D114" s="1"/>
      <c r="E114" s="1"/>
      <c r="F114" s="1"/>
      <c r="G114" s="1"/>
      <c r="H114" s="62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22.5" customHeight="1">
      <c r="A115" s="61"/>
      <c r="B115" s="62"/>
      <c r="C115" s="62"/>
      <c r="D115" s="1"/>
      <c r="E115" s="1"/>
      <c r="F115" s="1"/>
      <c r="G115" s="1"/>
      <c r="H115" s="62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22.5" customHeight="1">
      <c r="A116" s="61"/>
      <c r="B116" s="62"/>
      <c r="C116" s="62"/>
      <c r="D116" s="1"/>
      <c r="E116" s="1"/>
      <c r="F116" s="1"/>
      <c r="G116" s="1"/>
      <c r="H116" s="62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22.5" customHeight="1">
      <c r="A117" s="61"/>
      <c r="B117" s="62"/>
      <c r="C117" s="62"/>
      <c r="D117" s="1"/>
      <c r="E117" s="1"/>
      <c r="F117" s="1"/>
      <c r="G117" s="1"/>
      <c r="H117" s="62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22.5" customHeight="1">
      <c r="A118" s="61"/>
      <c r="B118" s="62"/>
      <c r="C118" s="62"/>
      <c r="D118" s="1"/>
      <c r="E118" s="1"/>
      <c r="F118" s="1"/>
      <c r="G118" s="1"/>
      <c r="H118" s="62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22.5" customHeight="1">
      <c r="A119" s="61"/>
      <c r="B119" s="62"/>
      <c r="C119" s="62"/>
      <c r="D119" s="1"/>
      <c r="E119" s="1"/>
      <c r="F119" s="1"/>
      <c r="G119" s="1"/>
      <c r="H119" s="62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22.5" customHeight="1">
      <c r="A120" s="61"/>
      <c r="B120" s="62"/>
      <c r="C120" s="62"/>
      <c r="D120" s="1"/>
      <c r="E120" s="1"/>
      <c r="F120" s="1"/>
      <c r="G120" s="1"/>
      <c r="H120" s="62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22.5" customHeight="1">
      <c r="A121" s="61"/>
      <c r="B121" s="62"/>
      <c r="C121" s="62"/>
      <c r="D121" s="1"/>
      <c r="E121" s="1"/>
      <c r="F121" s="1"/>
      <c r="G121" s="1"/>
      <c r="H121" s="62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22.5" customHeight="1">
      <c r="A122" s="61"/>
      <c r="B122" s="62"/>
      <c r="C122" s="62"/>
      <c r="D122" s="1"/>
      <c r="E122" s="1"/>
      <c r="F122" s="1"/>
      <c r="G122" s="1"/>
      <c r="H122" s="62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22.5" customHeight="1">
      <c r="A123" s="61"/>
      <c r="B123" s="62"/>
      <c r="C123" s="62"/>
      <c r="D123" s="1"/>
      <c r="E123" s="1"/>
      <c r="F123" s="1"/>
      <c r="G123" s="1"/>
      <c r="H123" s="62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22.5" customHeight="1">
      <c r="A124" s="61"/>
      <c r="B124" s="62"/>
      <c r="C124" s="62"/>
      <c r="D124" s="1"/>
      <c r="E124" s="1"/>
      <c r="F124" s="1"/>
      <c r="G124" s="1"/>
      <c r="H124" s="62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22.5" customHeight="1">
      <c r="A125" s="61"/>
      <c r="B125" s="62"/>
      <c r="C125" s="62"/>
      <c r="D125" s="1"/>
      <c r="E125" s="1"/>
      <c r="F125" s="1"/>
      <c r="G125" s="1"/>
      <c r="H125" s="62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22.5" customHeight="1">
      <c r="A126" s="61"/>
      <c r="B126" s="62"/>
      <c r="C126" s="62"/>
      <c r="D126" s="1"/>
      <c r="E126" s="1"/>
      <c r="F126" s="1"/>
      <c r="G126" s="1"/>
      <c r="H126" s="62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22.5" customHeight="1">
      <c r="A127" s="61"/>
      <c r="B127" s="62"/>
      <c r="C127" s="62"/>
      <c r="D127" s="1"/>
      <c r="E127" s="1"/>
      <c r="F127" s="1"/>
      <c r="G127" s="1"/>
      <c r="H127" s="62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22.5" customHeight="1">
      <c r="A128" s="61"/>
      <c r="B128" s="62"/>
      <c r="C128" s="62"/>
      <c r="D128" s="1"/>
      <c r="E128" s="1"/>
      <c r="F128" s="1"/>
      <c r="G128" s="1"/>
      <c r="H128" s="62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22.5" customHeight="1">
      <c r="A129" s="61"/>
      <c r="B129" s="62"/>
      <c r="C129" s="62"/>
      <c r="D129" s="1"/>
      <c r="E129" s="1"/>
      <c r="F129" s="1"/>
      <c r="G129" s="1"/>
      <c r="H129" s="62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22.5" customHeight="1">
      <c r="A130" s="61"/>
      <c r="B130" s="62"/>
      <c r="C130" s="62"/>
      <c r="D130" s="1"/>
      <c r="E130" s="1"/>
      <c r="F130" s="1"/>
      <c r="G130" s="1"/>
      <c r="H130" s="62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22.5" customHeight="1">
      <c r="A131" s="61"/>
      <c r="B131" s="62"/>
      <c r="C131" s="62"/>
      <c r="D131" s="1"/>
      <c r="E131" s="1"/>
      <c r="F131" s="1"/>
      <c r="G131" s="1"/>
      <c r="H131" s="62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22.5" customHeight="1">
      <c r="A132" s="61"/>
      <c r="B132" s="62"/>
      <c r="C132" s="62"/>
      <c r="D132" s="1"/>
      <c r="E132" s="1"/>
      <c r="F132" s="1"/>
      <c r="G132" s="1"/>
      <c r="H132" s="62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22.5" customHeight="1">
      <c r="A133" s="61"/>
      <c r="B133" s="62"/>
      <c r="C133" s="62"/>
      <c r="D133" s="1"/>
      <c r="E133" s="1"/>
      <c r="F133" s="1"/>
      <c r="G133" s="1"/>
      <c r="H133" s="62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22.5" customHeight="1">
      <c r="A134" s="61"/>
      <c r="B134" s="62"/>
      <c r="C134" s="62"/>
      <c r="D134" s="1"/>
      <c r="E134" s="1"/>
      <c r="F134" s="1"/>
      <c r="G134" s="1"/>
      <c r="H134" s="62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22.5" customHeight="1">
      <c r="A135" s="61"/>
      <c r="B135" s="62"/>
      <c r="C135" s="62"/>
      <c r="D135" s="1"/>
      <c r="E135" s="1"/>
      <c r="F135" s="1"/>
      <c r="G135" s="1"/>
      <c r="H135" s="62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22.5" customHeight="1">
      <c r="A136" s="61"/>
      <c r="B136" s="62"/>
      <c r="C136" s="62"/>
      <c r="D136" s="1"/>
      <c r="E136" s="1"/>
      <c r="F136" s="1"/>
      <c r="G136" s="1"/>
      <c r="H136" s="62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22.5" customHeight="1">
      <c r="A137" s="61"/>
      <c r="B137" s="62"/>
      <c r="C137" s="62"/>
      <c r="D137" s="1"/>
      <c r="E137" s="1"/>
      <c r="F137" s="1"/>
      <c r="G137" s="1"/>
      <c r="H137" s="62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22.5" customHeight="1">
      <c r="A138" s="61"/>
      <c r="B138" s="62"/>
      <c r="C138" s="62"/>
      <c r="D138" s="1"/>
      <c r="E138" s="1"/>
      <c r="F138" s="1"/>
      <c r="G138" s="1"/>
      <c r="H138" s="62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22.5" customHeight="1">
      <c r="A139" s="61"/>
      <c r="B139" s="62"/>
      <c r="C139" s="62"/>
      <c r="D139" s="1"/>
      <c r="E139" s="1"/>
      <c r="F139" s="1"/>
      <c r="G139" s="1"/>
      <c r="H139" s="62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22.5" customHeight="1">
      <c r="A140" s="61"/>
      <c r="B140" s="62"/>
      <c r="C140" s="62"/>
      <c r="D140" s="1"/>
      <c r="E140" s="1"/>
      <c r="F140" s="1"/>
      <c r="G140" s="1"/>
      <c r="H140" s="62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22.5" customHeight="1">
      <c r="A141" s="61"/>
      <c r="B141" s="62"/>
      <c r="C141" s="62"/>
      <c r="D141" s="1"/>
      <c r="E141" s="1"/>
      <c r="F141" s="1"/>
      <c r="G141" s="1"/>
      <c r="H141" s="62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22.5" customHeight="1">
      <c r="A142" s="61"/>
      <c r="B142" s="62"/>
      <c r="C142" s="62"/>
      <c r="D142" s="1"/>
      <c r="E142" s="1"/>
      <c r="F142" s="1"/>
      <c r="G142" s="1"/>
      <c r="H142" s="62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22.5" customHeight="1">
      <c r="A143" s="61"/>
      <c r="B143" s="62"/>
      <c r="C143" s="62"/>
      <c r="D143" s="1"/>
      <c r="E143" s="1"/>
      <c r="F143" s="1"/>
      <c r="G143" s="1"/>
      <c r="H143" s="62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22.5" customHeight="1">
      <c r="A144" s="61"/>
      <c r="B144" s="62"/>
      <c r="C144" s="62"/>
      <c r="D144" s="1"/>
      <c r="E144" s="1"/>
      <c r="F144" s="1"/>
      <c r="G144" s="1"/>
      <c r="H144" s="62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22.5" customHeight="1">
      <c r="A145" s="61"/>
      <c r="B145" s="62"/>
      <c r="C145" s="62"/>
      <c r="D145" s="1"/>
      <c r="E145" s="1"/>
      <c r="F145" s="1"/>
      <c r="G145" s="1"/>
      <c r="H145" s="62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22.5" customHeight="1">
      <c r="A146" s="61"/>
      <c r="B146" s="62"/>
      <c r="C146" s="62"/>
      <c r="D146" s="1"/>
      <c r="E146" s="1"/>
      <c r="F146" s="1"/>
      <c r="G146" s="1"/>
      <c r="H146" s="62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22.5" customHeight="1">
      <c r="A147" s="61"/>
      <c r="B147" s="62"/>
      <c r="C147" s="62"/>
      <c r="D147" s="1"/>
      <c r="E147" s="1"/>
      <c r="F147" s="1"/>
      <c r="G147" s="1"/>
      <c r="H147" s="62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22.5" customHeight="1">
      <c r="A148" s="61"/>
      <c r="B148" s="62"/>
      <c r="C148" s="62"/>
      <c r="D148" s="1"/>
      <c r="E148" s="1"/>
      <c r="F148" s="1"/>
      <c r="G148" s="1"/>
      <c r="H148" s="62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22.5" customHeight="1">
      <c r="A149" s="61"/>
      <c r="B149" s="62"/>
      <c r="C149" s="62"/>
      <c r="D149" s="1"/>
      <c r="E149" s="1"/>
      <c r="F149" s="1"/>
      <c r="G149" s="1"/>
      <c r="H149" s="62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22.5" customHeight="1">
      <c r="A150" s="61"/>
      <c r="B150" s="62"/>
      <c r="C150" s="62"/>
      <c r="D150" s="1"/>
      <c r="E150" s="1"/>
      <c r="F150" s="1"/>
      <c r="G150" s="1"/>
      <c r="H150" s="62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22.5" customHeight="1">
      <c r="A151" s="61"/>
      <c r="B151" s="62"/>
      <c r="C151" s="62"/>
      <c r="D151" s="1"/>
      <c r="E151" s="1"/>
      <c r="F151" s="1"/>
      <c r="G151" s="1"/>
      <c r="H151" s="62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22.5" customHeight="1">
      <c r="A152" s="61"/>
      <c r="B152" s="62"/>
      <c r="C152" s="62"/>
      <c r="D152" s="1"/>
      <c r="E152" s="1"/>
      <c r="F152" s="1"/>
      <c r="G152" s="1"/>
      <c r="H152" s="62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22.5" customHeight="1">
      <c r="A153" s="61"/>
      <c r="B153" s="62"/>
      <c r="C153" s="62"/>
      <c r="D153" s="1"/>
      <c r="E153" s="1"/>
      <c r="F153" s="1"/>
      <c r="G153" s="1"/>
      <c r="H153" s="62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22.5" customHeight="1">
      <c r="A154" s="61"/>
      <c r="B154" s="62"/>
      <c r="C154" s="62"/>
      <c r="D154" s="1"/>
      <c r="E154" s="1"/>
      <c r="F154" s="1"/>
      <c r="G154" s="1"/>
      <c r="H154" s="62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22.5" customHeight="1">
      <c r="A155" s="61"/>
      <c r="B155" s="62"/>
      <c r="C155" s="62"/>
      <c r="D155" s="1"/>
      <c r="E155" s="1"/>
      <c r="F155" s="1"/>
      <c r="G155" s="1"/>
      <c r="H155" s="62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22.5" customHeight="1">
      <c r="A156" s="61"/>
      <c r="B156" s="62"/>
      <c r="C156" s="62"/>
      <c r="D156" s="1"/>
      <c r="E156" s="1"/>
      <c r="F156" s="1"/>
      <c r="G156" s="1"/>
      <c r="H156" s="62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22.5" customHeight="1">
      <c r="A157" s="61"/>
      <c r="B157" s="62"/>
      <c r="C157" s="62"/>
      <c r="D157" s="1"/>
      <c r="E157" s="1"/>
      <c r="F157" s="1"/>
      <c r="G157" s="1"/>
      <c r="H157" s="62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22.5" customHeight="1">
      <c r="A158" s="61"/>
      <c r="B158" s="62"/>
      <c r="C158" s="62"/>
      <c r="D158" s="1"/>
      <c r="E158" s="1"/>
      <c r="F158" s="1"/>
      <c r="G158" s="1"/>
      <c r="H158" s="62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22.5" customHeight="1">
      <c r="A159" s="61"/>
      <c r="B159" s="62"/>
      <c r="C159" s="62"/>
      <c r="D159" s="1"/>
      <c r="E159" s="1"/>
      <c r="F159" s="1"/>
      <c r="G159" s="1"/>
      <c r="H159" s="62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22.5" customHeight="1">
      <c r="A160" s="61"/>
      <c r="B160" s="62"/>
      <c r="C160" s="62"/>
      <c r="D160" s="1"/>
      <c r="E160" s="1"/>
      <c r="F160" s="1"/>
      <c r="G160" s="1"/>
      <c r="H160" s="62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22.5" customHeight="1">
      <c r="A161" s="61"/>
      <c r="B161" s="62"/>
      <c r="C161" s="62"/>
      <c r="D161" s="1"/>
      <c r="E161" s="1"/>
      <c r="F161" s="1"/>
      <c r="G161" s="1"/>
      <c r="H161" s="62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22.5" customHeight="1">
      <c r="A162" s="61"/>
      <c r="B162" s="62"/>
      <c r="C162" s="62"/>
      <c r="D162" s="1"/>
      <c r="E162" s="1"/>
      <c r="F162" s="1"/>
      <c r="G162" s="1"/>
      <c r="H162" s="62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22.5" customHeight="1">
      <c r="A163" s="61"/>
      <c r="B163" s="62"/>
      <c r="C163" s="62"/>
      <c r="D163" s="1"/>
      <c r="E163" s="1"/>
      <c r="F163" s="1"/>
      <c r="G163" s="1"/>
      <c r="H163" s="62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22.5" customHeight="1">
      <c r="A164" s="61"/>
      <c r="B164" s="62"/>
      <c r="C164" s="62"/>
      <c r="D164" s="1"/>
      <c r="E164" s="1"/>
      <c r="F164" s="1"/>
      <c r="G164" s="1"/>
      <c r="H164" s="62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22.5" customHeight="1">
      <c r="A165" s="61"/>
      <c r="B165" s="62"/>
      <c r="C165" s="62"/>
      <c r="D165" s="1"/>
      <c r="E165" s="1"/>
      <c r="F165" s="1"/>
      <c r="G165" s="1"/>
      <c r="H165" s="62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22.5" customHeight="1">
      <c r="A166" s="61"/>
      <c r="B166" s="62"/>
      <c r="C166" s="62"/>
      <c r="D166" s="1"/>
      <c r="E166" s="1"/>
      <c r="F166" s="1"/>
      <c r="G166" s="1"/>
      <c r="H166" s="62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22.5" customHeight="1">
      <c r="A167" s="61"/>
      <c r="B167" s="62"/>
      <c r="C167" s="62"/>
      <c r="D167" s="1"/>
      <c r="E167" s="1"/>
      <c r="F167" s="1"/>
      <c r="G167" s="1"/>
      <c r="H167" s="62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22.5" customHeight="1">
      <c r="A168" s="61"/>
      <c r="B168" s="62"/>
      <c r="C168" s="62"/>
      <c r="D168" s="1"/>
      <c r="E168" s="1"/>
      <c r="F168" s="1"/>
      <c r="G168" s="1"/>
      <c r="H168" s="62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22.5" customHeight="1">
      <c r="A169" s="61"/>
      <c r="B169" s="62"/>
      <c r="C169" s="62"/>
      <c r="D169" s="1"/>
      <c r="E169" s="1"/>
      <c r="F169" s="1"/>
      <c r="G169" s="1"/>
      <c r="H169" s="62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22.5" customHeight="1">
      <c r="A170" s="61"/>
      <c r="B170" s="62"/>
      <c r="C170" s="62"/>
      <c r="D170" s="1"/>
      <c r="E170" s="1"/>
      <c r="F170" s="1"/>
      <c r="G170" s="1"/>
      <c r="H170" s="62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22.5" customHeight="1">
      <c r="A171" s="61"/>
      <c r="B171" s="62"/>
      <c r="C171" s="62"/>
      <c r="D171" s="1"/>
      <c r="E171" s="1"/>
      <c r="F171" s="1"/>
      <c r="G171" s="1"/>
      <c r="H171" s="62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22.5" customHeight="1">
      <c r="A172" s="61"/>
      <c r="B172" s="62"/>
      <c r="C172" s="62"/>
      <c r="D172" s="1"/>
      <c r="E172" s="1"/>
      <c r="F172" s="1"/>
      <c r="G172" s="1"/>
      <c r="H172" s="62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22.5" customHeight="1">
      <c r="A173" s="61"/>
      <c r="B173" s="62"/>
      <c r="C173" s="62"/>
      <c r="D173" s="1"/>
      <c r="E173" s="1"/>
      <c r="F173" s="1"/>
      <c r="G173" s="1"/>
      <c r="H173" s="62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22.5" customHeight="1">
      <c r="A174" s="61"/>
      <c r="B174" s="62"/>
      <c r="C174" s="62"/>
      <c r="D174" s="1"/>
      <c r="E174" s="1"/>
      <c r="F174" s="1"/>
      <c r="G174" s="1"/>
      <c r="H174" s="62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22.5" customHeight="1">
      <c r="A175" s="61"/>
      <c r="B175" s="62"/>
      <c r="C175" s="62"/>
      <c r="D175" s="1"/>
      <c r="E175" s="1"/>
      <c r="F175" s="1"/>
      <c r="G175" s="1"/>
      <c r="H175" s="62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22.5" customHeight="1">
      <c r="A176" s="61"/>
      <c r="B176" s="62"/>
      <c r="C176" s="62"/>
      <c r="D176" s="1"/>
      <c r="E176" s="1"/>
      <c r="F176" s="1"/>
      <c r="G176" s="1"/>
      <c r="H176" s="62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22.5" customHeight="1">
      <c r="A177" s="61"/>
      <c r="B177" s="62"/>
      <c r="C177" s="62"/>
      <c r="D177" s="1"/>
      <c r="E177" s="1"/>
      <c r="F177" s="1"/>
      <c r="G177" s="1"/>
      <c r="H177" s="62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22.5" customHeight="1">
      <c r="A178" s="61"/>
      <c r="B178" s="62"/>
      <c r="C178" s="62"/>
      <c r="D178" s="1"/>
      <c r="E178" s="1"/>
      <c r="F178" s="1"/>
      <c r="G178" s="1"/>
      <c r="H178" s="62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22.5" customHeight="1">
      <c r="A179" s="61"/>
      <c r="B179" s="62"/>
      <c r="C179" s="62"/>
      <c r="D179" s="1"/>
      <c r="E179" s="1"/>
      <c r="F179" s="1"/>
      <c r="G179" s="1"/>
      <c r="H179" s="62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22.5" customHeight="1">
      <c r="A180" s="61"/>
      <c r="B180" s="62"/>
      <c r="C180" s="62"/>
      <c r="D180" s="1"/>
      <c r="E180" s="1"/>
      <c r="F180" s="1"/>
      <c r="G180" s="1"/>
      <c r="H180" s="62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22.5" customHeight="1">
      <c r="A181" s="61"/>
      <c r="B181" s="62"/>
      <c r="C181" s="62"/>
      <c r="D181" s="1"/>
      <c r="E181" s="1"/>
      <c r="F181" s="1"/>
      <c r="G181" s="1"/>
      <c r="H181" s="62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22.5" customHeight="1">
      <c r="A182" s="61"/>
      <c r="B182" s="62"/>
      <c r="C182" s="62"/>
      <c r="D182" s="1"/>
      <c r="E182" s="1"/>
      <c r="F182" s="1"/>
      <c r="G182" s="1"/>
      <c r="H182" s="62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22.5" customHeight="1">
      <c r="A183" s="61"/>
      <c r="B183" s="62"/>
      <c r="C183" s="62"/>
      <c r="D183" s="1"/>
      <c r="E183" s="1"/>
      <c r="F183" s="1"/>
      <c r="G183" s="1"/>
      <c r="H183" s="62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22.5" customHeight="1">
      <c r="A184" s="61"/>
      <c r="B184" s="62"/>
      <c r="C184" s="62"/>
      <c r="D184" s="1"/>
      <c r="E184" s="1"/>
      <c r="F184" s="1"/>
      <c r="G184" s="1"/>
      <c r="H184" s="62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22.5" customHeight="1">
      <c r="A185" s="61"/>
      <c r="B185" s="62"/>
      <c r="C185" s="62"/>
      <c r="D185" s="1"/>
      <c r="E185" s="1"/>
      <c r="F185" s="1"/>
      <c r="G185" s="1"/>
      <c r="H185" s="62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22.5" customHeight="1">
      <c r="A186" s="61"/>
      <c r="B186" s="62"/>
      <c r="C186" s="62"/>
      <c r="D186" s="1"/>
      <c r="E186" s="1"/>
      <c r="F186" s="1"/>
      <c r="G186" s="1"/>
      <c r="H186" s="62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22.5" customHeight="1">
      <c r="A187" s="61"/>
      <c r="B187" s="62"/>
      <c r="C187" s="62"/>
      <c r="D187" s="1"/>
      <c r="E187" s="1"/>
      <c r="F187" s="1"/>
      <c r="G187" s="1"/>
      <c r="H187" s="62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22.5" customHeight="1">
      <c r="A188" s="61"/>
      <c r="B188" s="62"/>
      <c r="C188" s="62"/>
      <c r="D188" s="1"/>
      <c r="E188" s="1"/>
      <c r="F188" s="1"/>
      <c r="G188" s="1"/>
      <c r="H188" s="62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22.5" customHeight="1">
      <c r="A189" s="61"/>
      <c r="B189" s="62"/>
      <c r="C189" s="62"/>
      <c r="D189" s="1"/>
      <c r="E189" s="1"/>
      <c r="F189" s="1"/>
      <c r="G189" s="1"/>
      <c r="H189" s="62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22.5" customHeight="1">
      <c r="A190" s="61"/>
      <c r="B190" s="62"/>
      <c r="C190" s="62"/>
      <c r="D190" s="1"/>
      <c r="E190" s="1"/>
      <c r="F190" s="1"/>
      <c r="G190" s="1"/>
      <c r="H190" s="62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22.5" customHeight="1">
      <c r="A191" s="61"/>
      <c r="B191" s="62"/>
      <c r="C191" s="62"/>
      <c r="D191" s="1"/>
      <c r="E191" s="1"/>
      <c r="F191" s="1"/>
      <c r="G191" s="1"/>
      <c r="H191" s="62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22.5" customHeight="1">
      <c r="A192" s="61"/>
      <c r="B192" s="62"/>
      <c r="C192" s="62"/>
      <c r="D192" s="1"/>
      <c r="E192" s="1"/>
      <c r="F192" s="1"/>
      <c r="G192" s="1"/>
      <c r="H192" s="62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22.5" customHeight="1">
      <c r="A193" s="61"/>
      <c r="B193" s="62"/>
      <c r="C193" s="62"/>
      <c r="D193" s="1"/>
      <c r="E193" s="1"/>
      <c r="F193" s="1"/>
      <c r="G193" s="1"/>
      <c r="H193" s="62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22.5" customHeight="1">
      <c r="A194" s="61"/>
      <c r="B194" s="62"/>
      <c r="C194" s="62"/>
      <c r="D194" s="1"/>
      <c r="E194" s="1"/>
      <c r="F194" s="1"/>
      <c r="G194" s="1"/>
      <c r="H194" s="62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22.5" customHeight="1">
      <c r="A195" s="61"/>
      <c r="B195" s="62"/>
      <c r="C195" s="62"/>
      <c r="D195" s="1"/>
      <c r="E195" s="1"/>
      <c r="F195" s="1"/>
      <c r="G195" s="1"/>
      <c r="H195" s="62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22.5" customHeight="1">
      <c r="A196" s="61"/>
      <c r="B196" s="62"/>
      <c r="C196" s="62"/>
      <c r="D196" s="1"/>
      <c r="E196" s="1"/>
      <c r="F196" s="1"/>
      <c r="G196" s="1"/>
      <c r="H196" s="62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22.5" customHeight="1">
      <c r="A197" s="61"/>
      <c r="B197" s="62"/>
      <c r="C197" s="62"/>
      <c r="D197" s="1"/>
      <c r="E197" s="1"/>
      <c r="F197" s="1"/>
      <c r="G197" s="1"/>
      <c r="H197" s="62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22.5" customHeight="1">
      <c r="A198" s="61"/>
      <c r="B198" s="62"/>
      <c r="C198" s="62"/>
      <c r="D198" s="1"/>
      <c r="E198" s="1"/>
      <c r="F198" s="1"/>
      <c r="G198" s="1"/>
      <c r="H198" s="62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22.5" customHeight="1">
      <c r="A199" s="61"/>
      <c r="B199" s="62"/>
      <c r="C199" s="62"/>
      <c r="D199" s="1"/>
      <c r="E199" s="1"/>
      <c r="F199" s="1"/>
      <c r="G199" s="1"/>
      <c r="H199" s="62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22.5" customHeight="1">
      <c r="A200" s="61"/>
      <c r="B200" s="62"/>
      <c r="C200" s="62"/>
      <c r="D200" s="1"/>
      <c r="E200" s="1"/>
      <c r="F200" s="1"/>
      <c r="G200" s="1"/>
      <c r="H200" s="62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22.5" customHeight="1">
      <c r="A201" s="61"/>
      <c r="B201" s="62"/>
      <c r="C201" s="62"/>
      <c r="D201" s="1"/>
      <c r="E201" s="1"/>
      <c r="F201" s="1"/>
      <c r="G201" s="1"/>
      <c r="H201" s="62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22.5" customHeight="1">
      <c r="A202" s="61"/>
      <c r="B202" s="62"/>
      <c r="C202" s="62"/>
      <c r="D202" s="1"/>
      <c r="E202" s="1"/>
      <c r="F202" s="1"/>
      <c r="G202" s="1"/>
      <c r="H202" s="62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22.5" customHeight="1">
      <c r="A203" s="61"/>
      <c r="B203" s="62"/>
      <c r="C203" s="62"/>
      <c r="D203" s="1"/>
      <c r="E203" s="1"/>
      <c r="F203" s="1"/>
      <c r="G203" s="1"/>
      <c r="H203" s="62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22.5" customHeight="1">
      <c r="A204" s="61"/>
      <c r="B204" s="62"/>
      <c r="C204" s="62"/>
      <c r="D204" s="1"/>
      <c r="E204" s="1"/>
      <c r="F204" s="1"/>
      <c r="G204" s="1"/>
      <c r="H204" s="62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22.5" customHeight="1">
      <c r="A205" s="61"/>
      <c r="B205" s="62"/>
      <c r="C205" s="62"/>
      <c r="D205" s="1"/>
      <c r="E205" s="1"/>
      <c r="F205" s="1"/>
      <c r="G205" s="1"/>
      <c r="H205" s="62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22.5" customHeight="1">
      <c r="A206" s="61"/>
      <c r="B206" s="62"/>
      <c r="C206" s="62"/>
      <c r="D206" s="1"/>
      <c r="E206" s="1"/>
      <c r="F206" s="1"/>
      <c r="G206" s="1"/>
      <c r="H206" s="62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22.5" customHeight="1">
      <c r="A207" s="61"/>
      <c r="B207" s="62"/>
      <c r="C207" s="62"/>
      <c r="D207" s="1"/>
      <c r="E207" s="1"/>
      <c r="F207" s="1"/>
      <c r="G207" s="1"/>
      <c r="H207" s="62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22.5" customHeight="1">
      <c r="A208" s="61"/>
      <c r="B208" s="62"/>
      <c r="C208" s="62"/>
      <c r="D208" s="1"/>
      <c r="E208" s="1"/>
      <c r="F208" s="1"/>
      <c r="G208" s="1"/>
      <c r="H208" s="62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22.5" customHeight="1">
      <c r="A209" s="61"/>
      <c r="B209" s="62"/>
      <c r="C209" s="62"/>
      <c r="D209" s="1"/>
      <c r="E209" s="1"/>
      <c r="F209" s="1"/>
      <c r="G209" s="1"/>
      <c r="H209" s="62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22.5" customHeight="1">
      <c r="A210" s="61"/>
      <c r="B210" s="62"/>
      <c r="C210" s="62"/>
      <c r="D210" s="1"/>
      <c r="E210" s="1"/>
      <c r="F210" s="1"/>
      <c r="G210" s="1"/>
      <c r="H210" s="62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22.5" customHeight="1">
      <c r="A211" s="61"/>
      <c r="B211" s="62"/>
      <c r="C211" s="62"/>
      <c r="D211" s="1"/>
      <c r="E211" s="1"/>
      <c r="F211" s="1"/>
      <c r="G211" s="1"/>
      <c r="H211" s="62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22.5" customHeight="1">
      <c r="A212" s="61"/>
      <c r="B212" s="62"/>
      <c r="C212" s="62"/>
      <c r="D212" s="1"/>
      <c r="E212" s="1"/>
      <c r="F212" s="1"/>
      <c r="G212" s="1"/>
      <c r="H212" s="62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22.5" customHeight="1">
      <c r="A213" s="61"/>
      <c r="B213" s="62"/>
      <c r="C213" s="62"/>
      <c r="D213" s="1"/>
      <c r="E213" s="1"/>
      <c r="F213" s="1"/>
      <c r="G213" s="1"/>
      <c r="H213" s="62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22.5" customHeight="1">
      <c r="A214" s="61"/>
      <c r="B214" s="62"/>
      <c r="C214" s="62"/>
      <c r="D214" s="1"/>
      <c r="E214" s="1"/>
      <c r="F214" s="1"/>
      <c r="G214" s="1"/>
      <c r="H214" s="62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22.5" customHeight="1">
      <c r="A215" s="61"/>
      <c r="B215" s="62"/>
      <c r="C215" s="62"/>
      <c r="D215" s="1"/>
      <c r="E215" s="1"/>
      <c r="F215" s="1"/>
      <c r="G215" s="1"/>
      <c r="H215" s="62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22.5" customHeight="1">
      <c r="A216" s="61"/>
      <c r="B216" s="62"/>
      <c r="C216" s="62"/>
      <c r="D216" s="1"/>
      <c r="E216" s="1"/>
      <c r="F216" s="1"/>
      <c r="G216" s="1"/>
      <c r="H216" s="62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22.5" customHeight="1">
      <c r="A217" s="61"/>
      <c r="B217" s="62"/>
      <c r="C217" s="62"/>
      <c r="D217" s="1"/>
      <c r="E217" s="1"/>
      <c r="F217" s="1"/>
      <c r="G217" s="1"/>
      <c r="H217" s="62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22.5" customHeight="1">
      <c r="A218" s="61"/>
      <c r="B218" s="62"/>
      <c r="C218" s="62"/>
      <c r="D218" s="1"/>
      <c r="E218" s="1"/>
      <c r="F218" s="1"/>
      <c r="G218" s="1"/>
      <c r="H218" s="62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22.5" customHeight="1">
      <c r="A219" s="61"/>
      <c r="B219" s="62"/>
      <c r="C219" s="62"/>
      <c r="D219" s="1"/>
      <c r="E219" s="1"/>
      <c r="F219" s="1"/>
      <c r="G219" s="1"/>
      <c r="H219" s="62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22.5" customHeight="1">
      <c r="A220" s="61"/>
      <c r="B220" s="62"/>
      <c r="C220" s="62"/>
      <c r="D220" s="1"/>
      <c r="E220" s="1"/>
      <c r="F220" s="1"/>
      <c r="G220" s="1"/>
      <c r="H220" s="62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22.5" customHeight="1">
      <c r="A221" s="61"/>
      <c r="B221" s="62"/>
      <c r="C221" s="62"/>
      <c r="D221" s="1"/>
      <c r="E221" s="1"/>
      <c r="F221" s="1"/>
      <c r="G221" s="1"/>
      <c r="H221" s="62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22.5" customHeight="1">
      <c r="A222" s="61"/>
      <c r="B222" s="62"/>
      <c r="C222" s="62"/>
      <c r="D222" s="1"/>
      <c r="E222" s="1"/>
      <c r="F222" s="1"/>
      <c r="G222" s="1"/>
      <c r="H222" s="62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22.5" customHeight="1">
      <c r="A223" s="61"/>
      <c r="B223" s="62"/>
      <c r="C223" s="62"/>
      <c r="D223" s="1"/>
      <c r="E223" s="1"/>
      <c r="F223" s="1"/>
      <c r="G223" s="1"/>
      <c r="H223" s="62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22.5" customHeight="1">
      <c r="A224" s="61"/>
      <c r="B224" s="62"/>
      <c r="C224" s="62"/>
      <c r="D224" s="1"/>
      <c r="E224" s="1"/>
      <c r="F224" s="1"/>
      <c r="G224" s="1"/>
      <c r="H224" s="62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22.5" customHeight="1">
      <c r="A225" s="61"/>
      <c r="B225" s="62"/>
      <c r="C225" s="62"/>
      <c r="D225" s="1"/>
      <c r="E225" s="1"/>
      <c r="F225" s="1"/>
      <c r="G225" s="1"/>
      <c r="H225" s="62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22.5" customHeight="1">
      <c r="A226" s="61"/>
      <c r="B226" s="62"/>
      <c r="C226" s="62"/>
      <c r="D226" s="1"/>
      <c r="E226" s="1"/>
      <c r="F226" s="1"/>
      <c r="G226" s="1"/>
      <c r="H226" s="62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22.5" customHeight="1">
      <c r="A227" s="61"/>
      <c r="B227" s="62"/>
      <c r="C227" s="62"/>
      <c r="D227" s="1"/>
      <c r="E227" s="1"/>
      <c r="F227" s="1"/>
      <c r="G227" s="1"/>
      <c r="H227" s="62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22.5" customHeight="1">
      <c r="A228" s="61"/>
      <c r="B228" s="62"/>
      <c r="C228" s="62"/>
      <c r="D228" s="1"/>
      <c r="E228" s="1"/>
      <c r="F228" s="1"/>
      <c r="G228" s="1"/>
      <c r="H228" s="62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22.5" customHeight="1">
      <c r="A229" s="61"/>
      <c r="B229" s="62"/>
      <c r="C229" s="62"/>
      <c r="D229" s="1"/>
      <c r="E229" s="1"/>
      <c r="F229" s="1"/>
      <c r="G229" s="1"/>
      <c r="H229" s="62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22.5" customHeight="1">
      <c r="A230" s="61"/>
      <c r="B230" s="62"/>
      <c r="C230" s="62"/>
      <c r="D230" s="1"/>
      <c r="E230" s="1"/>
      <c r="F230" s="1"/>
      <c r="G230" s="1"/>
      <c r="H230" s="62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22.5" customHeight="1">
      <c r="A231" s="61"/>
      <c r="B231" s="62"/>
      <c r="C231" s="62"/>
      <c r="D231" s="1"/>
      <c r="E231" s="1"/>
      <c r="F231" s="1"/>
      <c r="G231" s="1"/>
      <c r="H231" s="62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22.5" customHeight="1">
      <c r="A232" s="61"/>
      <c r="B232" s="62"/>
      <c r="C232" s="62"/>
      <c r="D232" s="1"/>
      <c r="E232" s="1"/>
      <c r="F232" s="1"/>
      <c r="G232" s="1"/>
      <c r="H232" s="62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5.75" customHeight="1"/>
    <row r="234" spans="1:17" ht="15.75" customHeight="1"/>
    <row r="235" spans="1:17" ht="15.75" customHeight="1"/>
    <row r="236" spans="1:17" ht="15.75" customHeight="1"/>
    <row r="237" spans="1:17" ht="15.75" customHeight="1"/>
    <row r="238" spans="1:17" ht="15.75" customHeight="1"/>
    <row r="239" spans="1:17" ht="15.75" customHeight="1"/>
    <row r="240" spans="1:17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M1:N1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opLeftCell="F1" zoomScale="55" workbookViewId="0">
      <pane ySplit="3" topLeftCell="A4" activePane="bottomLeft" state="frozen"/>
      <selection pane="bottomLeft" activeCell="N9" sqref="N9"/>
    </sheetView>
  </sheetViews>
  <sheetFormatPr baseColWidth="10" defaultColWidth="14.453125" defaultRowHeight="15" customHeight="1"/>
  <cols>
    <col min="1" max="1" width="26.54296875" customWidth="1"/>
    <col min="2" max="2" width="13.08984375" customWidth="1"/>
    <col min="3" max="3" width="18" customWidth="1"/>
    <col min="4" max="4" width="32.7265625" customWidth="1"/>
    <col min="5" max="5" width="24.453125" customWidth="1"/>
    <col min="6" max="6" width="21.81640625" customWidth="1"/>
    <col min="7" max="7" width="15.08984375" customWidth="1"/>
    <col min="8" max="8" width="18.08984375" customWidth="1"/>
    <col min="9" max="9" width="19.08984375" customWidth="1"/>
    <col min="10" max="10" width="17.26953125" customWidth="1"/>
    <col min="11" max="11" width="15.08984375" customWidth="1"/>
    <col min="12" max="13" width="18.81640625" customWidth="1"/>
    <col min="14" max="14" width="13.54296875" customWidth="1"/>
    <col min="15" max="15" width="12.81640625" customWidth="1"/>
    <col min="16" max="16" width="13.81640625" customWidth="1"/>
    <col min="17" max="26" width="11.54296875" customWidth="1"/>
  </cols>
  <sheetData>
    <row r="1" spans="1:26" ht="49.5" customHeight="1">
      <c r="A1" s="16" t="s">
        <v>9</v>
      </c>
      <c r="B1" s="17"/>
      <c r="C1" s="17"/>
      <c r="D1" s="19"/>
      <c r="E1" s="19"/>
      <c r="F1" s="19"/>
      <c r="G1" s="19"/>
      <c r="H1" s="17"/>
      <c r="I1" s="72"/>
      <c r="J1" s="72"/>
      <c r="K1" s="19"/>
      <c r="L1" s="19"/>
      <c r="M1" s="125" t="s">
        <v>10</v>
      </c>
      <c r="N1" s="124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5.75" customHeight="1">
      <c r="A2" s="21"/>
      <c r="B2" s="22"/>
      <c r="C2" s="22"/>
      <c r="D2" s="21"/>
      <c r="E2" s="21"/>
      <c r="F2" s="21"/>
      <c r="G2" s="21"/>
      <c r="H2" s="22"/>
      <c r="I2" s="73"/>
      <c r="J2" s="73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51" customHeight="1">
      <c r="A3" s="25" t="s">
        <v>11</v>
      </c>
      <c r="B3" s="26" t="s">
        <v>12</v>
      </c>
      <c r="C3" s="26" t="s">
        <v>13</v>
      </c>
      <c r="D3" s="25" t="s">
        <v>14</v>
      </c>
      <c r="E3" s="25" t="s">
        <v>15</v>
      </c>
      <c r="F3" s="25" t="s">
        <v>69</v>
      </c>
      <c r="G3" s="25" t="s">
        <v>17</v>
      </c>
      <c r="H3" s="26" t="s">
        <v>18</v>
      </c>
      <c r="I3" s="74" t="s">
        <v>19</v>
      </c>
      <c r="J3" s="74" t="s">
        <v>20</v>
      </c>
      <c r="K3" s="25" t="s">
        <v>21</v>
      </c>
      <c r="L3" s="64" t="s">
        <v>121</v>
      </c>
      <c r="M3" s="25" t="s">
        <v>23</v>
      </c>
      <c r="N3" s="25" t="s">
        <v>24</v>
      </c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30" customHeight="1">
      <c r="A4" s="65" t="s">
        <v>122</v>
      </c>
      <c r="B4" s="65">
        <v>46066</v>
      </c>
      <c r="C4" s="65">
        <v>46437</v>
      </c>
      <c r="D4" s="28" t="s">
        <v>26</v>
      </c>
      <c r="E4" s="28" t="s">
        <v>27</v>
      </c>
      <c r="F4" s="28" t="s">
        <v>49</v>
      </c>
      <c r="G4" s="65" t="s">
        <v>47</v>
      </c>
      <c r="H4" s="65">
        <v>46066</v>
      </c>
      <c r="I4" s="75">
        <v>1228.1592330000001</v>
      </c>
      <c r="J4" s="31">
        <f t="shared" ref="J4:J9" si="0">+(I4*K4)/1000</f>
        <v>1228.1592330000001</v>
      </c>
      <c r="K4" s="75">
        <v>1000</v>
      </c>
      <c r="L4" s="76">
        <f t="shared" ref="L4:L9" si="1">C4-H4</f>
        <v>371</v>
      </c>
      <c r="M4" s="28" t="s">
        <v>30</v>
      </c>
      <c r="N4" s="28">
        <v>7</v>
      </c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30" customHeight="1">
      <c r="A5" s="65" t="s">
        <v>123</v>
      </c>
      <c r="B5" s="65">
        <v>46066</v>
      </c>
      <c r="C5" s="65">
        <v>46437</v>
      </c>
      <c r="D5" s="28" t="s">
        <v>26</v>
      </c>
      <c r="E5" s="28" t="s">
        <v>27</v>
      </c>
      <c r="F5" s="28" t="s">
        <v>49</v>
      </c>
      <c r="G5" s="65" t="s">
        <v>47</v>
      </c>
      <c r="H5" s="65">
        <v>46097</v>
      </c>
      <c r="I5" s="75">
        <v>6945920</v>
      </c>
      <c r="J5" s="31">
        <f t="shared" si="0"/>
        <v>6945920</v>
      </c>
      <c r="K5" s="75">
        <v>1000</v>
      </c>
      <c r="L5" s="76">
        <f t="shared" si="1"/>
        <v>340</v>
      </c>
      <c r="M5" s="28" t="s">
        <v>30</v>
      </c>
      <c r="N5" s="28">
        <v>14</v>
      </c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30" customHeight="1">
      <c r="A6" s="65" t="s">
        <v>123</v>
      </c>
      <c r="B6" s="65">
        <v>46097</v>
      </c>
      <c r="C6" s="65">
        <v>47924</v>
      </c>
      <c r="D6" s="28" t="s">
        <v>26</v>
      </c>
      <c r="E6" s="28" t="s">
        <v>27</v>
      </c>
      <c r="F6" s="28" t="s">
        <v>49</v>
      </c>
      <c r="G6" s="65" t="s">
        <v>47</v>
      </c>
      <c r="H6" s="65">
        <v>46106</v>
      </c>
      <c r="I6" s="75">
        <v>14140162</v>
      </c>
      <c r="J6" s="31">
        <f t="shared" si="0"/>
        <v>14140162</v>
      </c>
      <c r="K6" s="75">
        <v>1000</v>
      </c>
      <c r="L6" s="76">
        <f t="shared" si="1"/>
        <v>1818</v>
      </c>
      <c r="M6" s="28" t="s">
        <v>30</v>
      </c>
      <c r="N6" s="28">
        <v>14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30" customHeight="1">
      <c r="A7" s="65" t="s">
        <v>123</v>
      </c>
      <c r="B7" s="65">
        <v>46097</v>
      </c>
      <c r="C7" s="65">
        <v>47924</v>
      </c>
      <c r="D7" s="28" t="s">
        <v>26</v>
      </c>
      <c r="E7" s="28" t="s">
        <v>27</v>
      </c>
      <c r="F7" s="28" t="s">
        <v>49</v>
      </c>
      <c r="G7" s="65" t="s">
        <v>47</v>
      </c>
      <c r="H7" s="65">
        <v>46111</v>
      </c>
      <c r="I7" s="75">
        <v>9468757</v>
      </c>
      <c r="J7" s="31">
        <f t="shared" si="0"/>
        <v>9468757</v>
      </c>
      <c r="K7" s="75">
        <v>1000</v>
      </c>
      <c r="L7" s="76">
        <f t="shared" si="1"/>
        <v>1813</v>
      </c>
      <c r="M7" s="28" t="s">
        <v>30</v>
      </c>
      <c r="N7" s="28">
        <v>15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30" customHeight="1">
      <c r="A8" s="65" t="s">
        <v>123</v>
      </c>
      <c r="B8" s="65">
        <v>46097</v>
      </c>
      <c r="C8" s="65">
        <v>47924</v>
      </c>
      <c r="D8" s="28" t="s">
        <v>26</v>
      </c>
      <c r="E8" s="28" t="s">
        <v>27</v>
      </c>
      <c r="F8" s="28" t="s">
        <v>49</v>
      </c>
      <c r="G8" s="65" t="s">
        <v>47</v>
      </c>
      <c r="H8" s="65">
        <v>46118</v>
      </c>
      <c r="I8" s="75">
        <v>156568</v>
      </c>
      <c r="J8" s="31">
        <f t="shared" si="0"/>
        <v>156568</v>
      </c>
      <c r="K8" s="75">
        <v>1000</v>
      </c>
      <c r="L8" s="76">
        <f t="shared" si="1"/>
        <v>1806</v>
      </c>
      <c r="M8" s="28" t="s">
        <v>30</v>
      </c>
      <c r="N8" s="28">
        <v>15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30" customHeight="1">
      <c r="A9" s="65" t="s">
        <v>123</v>
      </c>
      <c r="B9" s="65">
        <v>46097</v>
      </c>
      <c r="C9" s="65">
        <v>47924</v>
      </c>
      <c r="D9" s="28" t="s">
        <v>26</v>
      </c>
      <c r="E9" s="28" t="s">
        <v>27</v>
      </c>
      <c r="F9" s="28" t="s">
        <v>49</v>
      </c>
      <c r="G9" s="65" t="s">
        <v>47</v>
      </c>
      <c r="H9" s="65">
        <v>46132</v>
      </c>
      <c r="I9" s="75">
        <v>25904348</v>
      </c>
      <c r="J9" s="31">
        <f t="shared" si="0"/>
        <v>25904348</v>
      </c>
      <c r="K9" s="75">
        <v>1000</v>
      </c>
      <c r="L9" s="76">
        <f t="shared" si="1"/>
        <v>1792</v>
      </c>
      <c r="M9" s="28" t="s">
        <v>30</v>
      </c>
      <c r="N9" s="28">
        <v>20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4.25" customHeight="1">
      <c r="A10" s="21" t="s">
        <v>66</v>
      </c>
      <c r="B10" s="54"/>
      <c r="C10" s="54"/>
      <c r="D10" s="51"/>
      <c r="E10" s="51"/>
      <c r="F10" s="51"/>
      <c r="G10" s="51"/>
      <c r="H10" s="54"/>
      <c r="I10" s="77"/>
      <c r="J10" s="77"/>
      <c r="K10" s="51"/>
      <c r="L10" s="51"/>
      <c r="M10" s="51"/>
      <c r="N10" s="5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5.75" customHeight="1">
      <c r="A11" s="21" t="s">
        <v>124</v>
      </c>
      <c r="B11" s="54"/>
      <c r="C11" s="54"/>
      <c r="D11" s="51"/>
      <c r="E11" s="51"/>
      <c r="F11" s="51"/>
      <c r="G11" s="51"/>
      <c r="H11" s="54"/>
      <c r="I11" s="77"/>
      <c r="J11" s="77"/>
      <c r="K11" s="51"/>
      <c r="L11" s="51"/>
      <c r="M11" s="51"/>
      <c r="N11" s="5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5.75" customHeight="1">
      <c r="A12" s="21"/>
      <c r="B12" s="22"/>
      <c r="C12" s="22"/>
      <c r="D12" s="21"/>
      <c r="E12" s="21"/>
      <c r="F12" s="21"/>
      <c r="G12" s="21"/>
      <c r="H12" s="22"/>
      <c r="I12" s="73"/>
      <c r="J12" s="73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5.75" customHeight="1">
      <c r="A13" s="21"/>
      <c r="B13" s="22"/>
      <c r="C13" s="22"/>
      <c r="D13" s="21"/>
      <c r="E13" s="21"/>
      <c r="F13" s="21"/>
      <c r="G13" s="21"/>
      <c r="H13" s="22"/>
      <c r="I13" s="73"/>
      <c r="J13" s="73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5.75" customHeight="1">
      <c r="A14" s="21"/>
      <c r="B14" s="22"/>
      <c r="C14" s="22"/>
      <c r="D14" s="21"/>
      <c r="E14" s="21"/>
      <c r="F14" s="21"/>
      <c r="G14" s="21"/>
      <c r="H14" s="22"/>
      <c r="I14" s="73"/>
      <c r="J14" s="73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5.75" customHeight="1">
      <c r="A15" s="21"/>
      <c r="B15" s="22"/>
      <c r="C15" s="22"/>
      <c r="D15" s="21"/>
      <c r="E15" s="21"/>
      <c r="F15" s="21"/>
      <c r="G15" s="21"/>
      <c r="H15" s="22"/>
      <c r="I15" s="73"/>
      <c r="J15" s="73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5.75" customHeight="1">
      <c r="A16" s="21"/>
      <c r="B16" s="22"/>
      <c r="C16" s="22"/>
      <c r="D16" s="21"/>
      <c r="E16" s="21"/>
      <c r="F16" s="21"/>
      <c r="G16" s="21"/>
      <c r="H16" s="22"/>
      <c r="I16" s="73"/>
      <c r="J16" s="73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5.75" customHeight="1">
      <c r="A17" s="21"/>
      <c r="B17" s="22"/>
      <c r="C17" s="22"/>
      <c r="D17" s="21"/>
      <c r="E17" s="21"/>
      <c r="F17" s="21"/>
      <c r="G17" s="21"/>
      <c r="H17" s="22"/>
      <c r="I17" s="73"/>
      <c r="J17" s="73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5.75" customHeight="1">
      <c r="A18" s="21"/>
      <c r="B18" s="22"/>
      <c r="C18" s="22"/>
      <c r="D18" s="21"/>
      <c r="E18" s="21"/>
      <c r="F18" s="21"/>
      <c r="G18" s="21"/>
      <c r="H18" s="22"/>
      <c r="I18" s="73"/>
      <c r="J18" s="73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ht="15.75" customHeight="1">
      <c r="A19" s="21"/>
      <c r="B19" s="22"/>
      <c r="C19" s="22"/>
      <c r="D19" s="21"/>
      <c r="E19" s="21"/>
      <c r="F19" s="21"/>
      <c r="G19" s="21"/>
      <c r="H19" s="22"/>
      <c r="I19" s="73"/>
      <c r="J19" s="73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ht="15.75" customHeight="1">
      <c r="A20" s="21"/>
      <c r="B20" s="22"/>
      <c r="C20" s="22"/>
      <c r="D20" s="21"/>
      <c r="E20" s="21"/>
      <c r="F20" s="21"/>
      <c r="G20" s="21"/>
      <c r="H20" s="22"/>
      <c r="I20" s="73"/>
      <c r="J20" s="73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ht="15.75" customHeight="1">
      <c r="A21" s="21"/>
      <c r="B21" s="22"/>
      <c r="C21" s="22"/>
      <c r="D21" s="21"/>
      <c r="E21" s="21"/>
      <c r="F21" s="21"/>
      <c r="G21" s="21"/>
      <c r="H21" s="22"/>
      <c r="I21" s="73"/>
      <c r="J21" s="73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ht="15.75" customHeight="1">
      <c r="A22" s="21"/>
      <c r="B22" s="22"/>
      <c r="C22" s="22"/>
      <c r="D22" s="21"/>
      <c r="E22" s="21"/>
      <c r="F22" s="21"/>
      <c r="G22" s="21"/>
      <c r="H22" s="22"/>
      <c r="I22" s="73"/>
      <c r="J22" s="73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5.75" customHeight="1">
      <c r="A23" s="21"/>
      <c r="B23" s="22"/>
      <c r="C23" s="22"/>
      <c r="D23" s="21"/>
      <c r="E23" s="21"/>
      <c r="F23" s="21"/>
      <c r="G23" s="21"/>
      <c r="H23" s="22"/>
      <c r="I23" s="73"/>
      <c r="J23" s="73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ht="15.75" customHeight="1">
      <c r="A24" s="21"/>
      <c r="B24" s="22"/>
      <c r="C24" s="22"/>
      <c r="D24" s="21"/>
      <c r="E24" s="21"/>
      <c r="F24" s="21"/>
      <c r="G24" s="21"/>
      <c r="H24" s="22"/>
      <c r="I24" s="73"/>
      <c r="J24" s="73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 ht="15.75" customHeight="1">
      <c r="A25" s="21"/>
      <c r="B25" s="22"/>
      <c r="C25" s="22"/>
      <c r="D25" s="21"/>
      <c r="E25" s="21"/>
      <c r="F25" s="21"/>
      <c r="G25" s="21"/>
      <c r="H25" s="22"/>
      <c r="I25" s="73"/>
      <c r="J25" s="73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 ht="15.75" customHeight="1">
      <c r="A26" s="21"/>
      <c r="B26" s="22"/>
      <c r="C26" s="22"/>
      <c r="D26" s="21"/>
      <c r="E26" s="21"/>
      <c r="F26" s="21"/>
      <c r="G26" s="21"/>
      <c r="H26" s="22"/>
      <c r="I26" s="73"/>
      <c r="J26" s="73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5.75" customHeight="1">
      <c r="A27" s="21"/>
      <c r="B27" s="22"/>
      <c r="C27" s="22"/>
      <c r="D27" s="21"/>
      <c r="E27" s="21"/>
      <c r="F27" s="21"/>
      <c r="G27" s="21"/>
      <c r="H27" s="22"/>
      <c r="I27" s="73"/>
      <c r="J27" s="73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 ht="15.75" customHeight="1">
      <c r="A28" s="21"/>
      <c r="B28" s="22"/>
      <c r="C28" s="22"/>
      <c r="D28" s="21"/>
      <c r="E28" s="21"/>
      <c r="F28" s="21"/>
      <c r="G28" s="21"/>
      <c r="H28" s="22"/>
      <c r="I28" s="73"/>
      <c r="J28" s="73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5.75" customHeight="1">
      <c r="A29" s="21"/>
      <c r="B29" s="22"/>
      <c r="C29" s="22"/>
      <c r="D29" s="21"/>
      <c r="E29" s="21"/>
      <c r="F29" s="21"/>
      <c r="G29" s="21"/>
      <c r="H29" s="22"/>
      <c r="I29" s="73"/>
      <c r="J29" s="73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5.75" customHeight="1">
      <c r="A30" s="21"/>
      <c r="B30" s="22"/>
      <c r="C30" s="22"/>
      <c r="D30" s="21"/>
      <c r="E30" s="21"/>
      <c r="F30" s="21"/>
      <c r="G30" s="21"/>
      <c r="H30" s="22"/>
      <c r="I30" s="73"/>
      <c r="J30" s="73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5.75" customHeight="1">
      <c r="A31" s="21"/>
      <c r="B31" s="22"/>
      <c r="C31" s="22"/>
      <c r="D31" s="21"/>
      <c r="E31" s="21"/>
      <c r="F31" s="21"/>
      <c r="G31" s="21"/>
      <c r="H31" s="22"/>
      <c r="I31" s="73"/>
      <c r="J31" s="73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5.75" customHeight="1">
      <c r="A32" s="21"/>
      <c r="B32" s="22"/>
      <c r="C32" s="22"/>
      <c r="D32" s="21"/>
      <c r="E32" s="21"/>
      <c r="F32" s="21"/>
      <c r="G32" s="21"/>
      <c r="H32" s="22"/>
      <c r="I32" s="73"/>
      <c r="J32" s="73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5.75" customHeight="1">
      <c r="A33" s="21"/>
      <c r="B33" s="22"/>
      <c r="C33" s="22"/>
      <c r="D33" s="21"/>
      <c r="E33" s="21"/>
      <c r="F33" s="21"/>
      <c r="G33" s="21"/>
      <c r="H33" s="22"/>
      <c r="I33" s="73"/>
      <c r="J33" s="73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5.75" customHeight="1">
      <c r="A34" s="21"/>
      <c r="B34" s="22"/>
      <c r="C34" s="22"/>
      <c r="D34" s="21"/>
      <c r="E34" s="21"/>
      <c r="F34" s="21"/>
      <c r="G34" s="21"/>
      <c r="H34" s="22"/>
      <c r="I34" s="73"/>
      <c r="J34" s="73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5.75" customHeight="1">
      <c r="A35" s="21"/>
      <c r="B35" s="22"/>
      <c r="C35" s="22"/>
      <c r="D35" s="21"/>
      <c r="E35" s="21"/>
      <c r="F35" s="21"/>
      <c r="G35" s="21"/>
      <c r="H35" s="22"/>
      <c r="I35" s="73"/>
      <c r="J35" s="73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5.75" customHeight="1">
      <c r="A36" s="21"/>
      <c r="B36" s="22"/>
      <c r="C36" s="22"/>
      <c r="D36" s="21"/>
      <c r="E36" s="21"/>
      <c r="F36" s="21"/>
      <c r="G36" s="21"/>
      <c r="H36" s="22"/>
      <c r="I36" s="73"/>
      <c r="J36" s="73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5.75" customHeight="1">
      <c r="A37" s="21"/>
      <c r="B37" s="22"/>
      <c r="C37" s="22"/>
      <c r="D37" s="21"/>
      <c r="E37" s="21"/>
      <c r="F37" s="21"/>
      <c r="G37" s="21"/>
      <c r="H37" s="22"/>
      <c r="I37" s="73"/>
      <c r="J37" s="73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5.75" customHeight="1">
      <c r="A38" s="21"/>
      <c r="B38" s="22"/>
      <c r="C38" s="22"/>
      <c r="D38" s="21"/>
      <c r="E38" s="21"/>
      <c r="F38" s="21"/>
      <c r="G38" s="21"/>
      <c r="H38" s="22"/>
      <c r="I38" s="73"/>
      <c r="J38" s="73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5.75" customHeight="1">
      <c r="A39" s="21"/>
      <c r="B39" s="22"/>
      <c r="C39" s="22"/>
      <c r="D39" s="21"/>
      <c r="E39" s="21"/>
      <c r="F39" s="21"/>
      <c r="G39" s="21"/>
      <c r="H39" s="22"/>
      <c r="I39" s="73"/>
      <c r="J39" s="73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5.75" customHeight="1">
      <c r="A40" s="21"/>
      <c r="B40" s="22"/>
      <c r="C40" s="22"/>
      <c r="D40" s="21"/>
      <c r="E40" s="21"/>
      <c r="F40" s="21"/>
      <c r="G40" s="21"/>
      <c r="H40" s="22"/>
      <c r="I40" s="73"/>
      <c r="J40" s="73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5.75" customHeight="1">
      <c r="A41" s="21"/>
      <c r="B41" s="22"/>
      <c r="C41" s="22"/>
      <c r="D41" s="21"/>
      <c r="E41" s="21"/>
      <c r="F41" s="21"/>
      <c r="G41" s="21"/>
      <c r="H41" s="22"/>
      <c r="I41" s="73"/>
      <c r="J41" s="73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5.75" customHeight="1">
      <c r="A42" s="21"/>
      <c r="B42" s="22"/>
      <c r="C42" s="22"/>
      <c r="D42" s="21"/>
      <c r="E42" s="21"/>
      <c r="F42" s="21"/>
      <c r="G42" s="21"/>
      <c r="H42" s="22"/>
      <c r="I42" s="73"/>
      <c r="J42" s="73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5.75" customHeight="1">
      <c r="A43" s="21"/>
      <c r="B43" s="22"/>
      <c r="C43" s="22"/>
      <c r="D43" s="21"/>
      <c r="E43" s="21"/>
      <c r="F43" s="21"/>
      <c r="G43" s="21"/>
      <c r="H43" s="22"/>
      <c r="I43" s="73"/>
      <c r="J43" s="73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5.75" customHeight="1">
      <c r="A44" s="21"/>
      <c r="B44" s="22"/>
      <c r="C44" s="22"/>
      <c r="D44" s="21"/>
      <c r="E44" s="21"/>
      <c r="F44" s="21"/>
      <c r="G44" s="21"/>
      <c r="H44" s="22"/>
      <c r="I44" s="73"/>
      <c r="J44" s="73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5.75" customHeight="1">
      <c r="A45" s="21"/>
      <c r="B45" s="22"/>
      <c r="C45" s="22"/>
      <c r="D45" s="21"/>
      <c r="E45" s="21"/>
      <c r="F45" s="21"/>
      <c r="G45" s="21"/>
      <c r="H45" s="22"/>
      <c r="I45" s="73"/>
      <c r="J45" s="73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5.75" customHeight="1">
      <c r="A46" s="21"/>
      <c r="B46" s="22"/>
      <c r="C46" s="22"/>
      <c r="D46" s="21"/>
      <c r="E46" s="21"/>
      <c r="F46" s="21"/>
      <c r="G46" s="21"/>
      <c r="H46" s="22"/>
      <c r="I46" s="73"/>
      <c r="J46" s="73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5.75" customHeight="1">
      <c r="A47" s="21"/>
      <c r="B47" s="22"/>
      <c r="C47" s="22"/>
      <c r="D47" s="21"/>
      <c r="E47" s="21"/>
      <c r="F47" s="21"/>
      <c r="G47" s="21"/>
      <c r="H47" s="22"/>
      <c r="I47" s="73"/>
      <c r="J47" s="73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5.75" customHeight="1">
      <c r="A48" s="21"/>
      <c r="B48" s="22"/>
      <c r="C48" s="22"/>
      <c r="D48" s="21"/>
      <c r="E48" s="21"/>
      <c r="F48" s="21"/>
      <c r="G48" s="21"/>
      <c r="H48" s="22"/>
      <c r="I48" s="73"/>
      <c r="J48" s="73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5.75" customHeight="1">
      <c r="A49" s="21"/>
      <c r="B49" s="22"/>
      <c r="C49" s="22"/>
      <c r="D49" s="21"/>
      <c r="E49" s="21"/>
      <c r="F49" s="21"/>
      <c r="G49" s="21"/>
      <c r="H49" s="22"/>
      <c r="I49" s="73"/>
      <c r="J49" s="73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5.75" customHeight="1">
      <c r="A50" s="21"/>
      <c r="B50" s="22"/>
      <c r="C50" s="22"/>
      <c r="D50" s="21"/>
      <c r="E50" s="21"/>
      <c r="F50" s="21"/>
      <c r="G50" s="21"/>
      <c r="H50" s="22"/>
      <c r="I50" s="73"/>
      <c r="J50" s="73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5.75" customHeight="1">
      <c r="A51" s="21"/>
      <c r="B51" s="22"/>
      <c r="C51" s="22"/>
      <c r="D51" s="21"/>
      <c r="E51" s="21"/>
      <c r="F51" s="21"/>
      <c r="G51" s="21"/>
      <c r="H51" s="22"/>
      <c r="I51" s="73"/>
      <c r="J51" s="73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5.75" customHeight="1">
      <c r="A52" s="21"/>
      <c r="B52" s="22"/>
      <c r="C52" s="22"/>
      <c r="D52" s="21"/>
      <c r="E52" s="21"/>
      <c r="F52" s="21"/>
      <c r="G52" s="21"/>
      <c r="H52" s="22"/>
      <c r="I52" s="73"/>
      <c r="J52" s="73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5.75" customHeight="1">
      <c r="A53" s="21"/>
      <c r="B53" s="22"/>
      <c r="C53" s="22"/>
      <c r="D53" s="21"/>
      <c r="E53" s="21"/>
      <c r="F53" s="21"/>
      <c r="G53" s="21"/>
      <c r="H53" s="22"/>
      <c r="I53" s="73"/>
      <c r="J53" s="73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5.75" customHeight="1">
      <c r="A54" s="21"/>
      <c r="B54" s="22"/>
      <c r="C54" s="22"/>
      <c r="D54" s="21"/>
      <c r="E54" s="21"/>
      <c r="F54" s="21"/>
      <c r="G54" s="21"/>
      <c r="H54" s="22"/>
      <c r="I54" s="73"/>
      <c r="J54" s="73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5.75" customHeight="1">
      <c r="A55" s="21"/>
      <c r="B55" s="22"/>
      <c r="C55" s="22"/>
      <c r="D55" s="21"/>
      <c r="E55" s="21"/>
      <c r="F55" s="21"/>
      <c r="G55" s="21"/>
      <c r="H55" s="22"/>
      <c r="I55" s="73"/>
      <c r="J55" s="73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5.75" customHeight="1">
      <c r="A56" s="21"/>
      <c r="B56" s="22"/>
      <c r="C56" s="22"/>
      <c r="D56" s="21"/>
      <c r="E56" s="21"/>
      <c r="F56" s="21"/>
      <c r="G56" s="21"/>
      <c r="H56" s="22"/>
      <c r="I56" s="73"/>
      <c r="J56" s="73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5.75" customHeight="1">
      <c r="A57" s="21"/>
      <c r="B57" s="22"/>
      <c r="C57" s="22"/>
      <c r="D57" s="21"/>
      <c r="E57" s="21"/>
      <c r="F57" s="21"/>
      <c r="G57" s="21"/>
      <c r="H57" s="22"/>
      <c r="I57" s="73"/>
      <c r="J57" s="73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5.75" customHeight="1">
      <c r="A58" s="21"/>
      <c r="B58" s="22"/>
      <c r="C58" s="22"/>
      <c r="D58" s="21"/>
      <c r="E58" s="21"/>
      <c r="F58" s="21"/>
      <c r="G58" s="21"/>
      <c r="H58" s="22"/>
      <c r="I58" s="73"/>
      <c r="J58" s="73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5.75" customHeight="1">
      <c r="A59" s="21"/>
      <c r="B59" s="22"/>
      <c r="C59" s="22"/>
      <c r="D59" s="21"/>
      <c r="E59" s="21"/>
      <c r="F59" s="21"/>
      <c r="G59" s="21"/>
      <c r="H59" s="22"/>
      <c r="I59" s="73"/>
      <c r="J59" s="73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5.75" customHeight="1">
      <c r="A60" s="21"/>
      <c r="B60" s="22"/>
      <c r="C60" s="22"/>
      <c r="D60" s="21"/>
      <c r="E60" s="21"/>
      <c r="F60" s="21"/>
      <c r="G60" s="21"/>
      <c r="H60" s="22"/>
      <c r="I60" s="73"/>
      <c r="J60" s="73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5.75" customHeight="1">
      <c r="A61" s="21"/>
      <c r="B61" s="22"/>
      <c r="C61" s="22"/>
      <c r="D61" s="21"/>
      <c r="E61" s="21"/>
      <c r="F61" s="21"/>
      <c r="G61" s="21"/>
      <c r="H61" s="22"/>
      <c r="I61" s="73"/>
      <c r="J61" s="73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5.75" customHeight="1">
      <c r="A62" s="21"/>
      <c r="B62" s="22"/>
      <c r="C62" s="22"/>
      <c r="D62" s="21"/>
      <c r="E62" s="21"/>
      <c r="F62" s="21"/>
      <c r="G62" s="21"/>
      <c r="H62" s="22"/>
      <c r="I62" s="73"/>
      <c r="J62" s="73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5.75" customHeight="1">
      <c r="A63" s="21"/>
      <c r="B63" s="22"/>
      <c r="C63" s="22"/>
      <c r="D63" s="21"/>
      <c r="E63" s="21"/>
      <c r="F63" s="21"/>
      <c r="G63" s="21"/>
      <c r="H63" s="22"/>
      <c r="I63" s="73"/>
      <c r="J63" s="73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5.75" customHeight="1">
      <c r="A64" s="21"/>
      <c r="B64" s="22"/>
      <c r="C64" s="22"/>
      <c r="D64" s="21"/>
      <c r="E64" s="21"/>
      <c r="F64" s="21"/>
      <c r="G64" s="21"/>
      <c r="H64" s="22"/>
      <c r="I64" s="73"/>
      <c r="J64" s="73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5.75" customHeight="1">
      <c r="A65" s="21"/>
      <c r="B65" s="22"/>
      <c r="C65" s="22"/>
      <c r="D65" s="21"/>
      <c r="E65" s="21"/>
      <c r="F65" s="21"/>
      <c r="G65" s="21"/>
      <c r="H65" s="22"/>
      <c r="I65" s="73"/>
      <c r="J65" s="73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5.75" customHeight="1">
      <c r="A66" s="21"/>
      <c r="B66" s="22"/>
      <c r="C66" s="22"/>
      <c r="D66" s="21"/>
      <c r="E66" s="21"/>
      <c r="F66" s="21"/>
      <c r="G66" s="21"/>
      <c r="H66" s="22"/>
      <c r="I66" s="73"/>
      <c r="J66" s="73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5.75" customHeight="1">
      <c r="A67" s="21"/>
      <c r="B67" s="22"/>
      <c r="C67" s="22"/>
      <c r="D67" s="21"/>
      <c r="E67" s="21"/>
      <c r="F67" s="21"/>
      <c r="G67" s="21"/>
      <c r="H67" s="22"/>
      <c r="I67" s="73"/>
      <c r="J67" s="73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5.75" customHeight="1">
      <c r="A68" s="21"/>
      <c r="B68" s="22"/>
      <c r="C68" s="22"/>
      <c r="D68" s="21"/>
      <c r="E68" s="21"/>
      <c r="F68" s="21"/>
      <c r="G68" s="21"/>
      <c r="H68" s="22"/>
      <c r="I68" s="73"/>
      <c r="J68" s="73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5.75" customHeight="1">
      <c r="A69" s="21"/>
      <c r="B69" s="22"/>
      <c r="C69" s="22"/>
      <c r="D69" s="21"/>
      <c r="E69" s="21"/>
      <c r="F69" s="21"/>
      <c r="G69" s="21"/>
      <c r="H69" s="22"/>
      <c r="I69" s="73"/>
      <c r="J69" s="73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5.75" customHeight="1">
      <c r="A70" s="21"/>
      <c r="B70" s="22"/>
      <c r="C70" s="22"/>
      <c r="D70" s="21"/>
      <c r="E70" s="21"/>
      <c r="F70" s="21"/>
      <c r="G70" s="21"/>
      <c r="H70" s="22"/>
      <c r="I70" s="73"/>
      <c r="J70" s="73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5.75" customHeight="1">
      <c r="A71" s="21"/>
      <c r="B71" s="22"/>
      <c r="C71" s="22"/>
      <c r="D71" s="21"/>
      <c r="E71" s="21"/>
      <c r="F71" s="21"/>
      <c r="G71" s="21"/>
      <c r="H71" s="22"/>
      <c r="I71" s="73"/>
      <c r="J71" s="73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5.75" customHeight="1">
      <c r="A72" s="21"/>
      <c r="B72" s="22"/>
      <c r="C72" s="22"/>
      <c r="D72" s="21"/>
      <c r="E72" s="21"/>
      <c r="F72" s="21"/>
      <c r="G72" s="21"/>
      <c r="H72" s="22"/>
      <c r="I72" s="73"/>
      <c r="J72" s="73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5.75" customHeight="1">
      <c r="A73" s="21"/>
      <c r="B73" s="22"/>
      <c r="C73" s="22"/>
      <c r="D73" s="21"/>
      <c r="E73" s="21"/>
      <c r="F73" s="21"/>
      <c r="G73" s="21"/>
      <c r="H73" s="22"/>
      <c r="I73" s="73"/>
      <c r="J73" s="73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5.75" customHeight="1">
      <c r="A74" s="21"/>
      <c r="B74" s="22"/>
      <c r="C74" s="22"/>
      <c r="D74" s="21"/>
      <c r="E74" s="21"/>
      <c r="F74" s="21"/>
      <c r="G74" s="21"/>
      <c r="H74" s="22"/>
      <c r="I74" s="73"/>
      <c r="J74" s="73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5.75" customHeight="1">
      <c r="A75" s="21"/>
      <c r="B75" s="22"/>
      <c r="C75" s="22"/>
      <c r="D75" s="21"/>
      <c r="E75" s="21"/>
      <c r="F75" s="21"/>
      <c r="G75" s="21"/>
      <c r="H75" s="22"/>
      <c r="I75" s="73"/>
      <c r="J75" s="73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5.75" customHeight="1">
      <c r="A76" s="21"/>
      <c r="B76" s="22"/>
      <c r="C76" s="22"/>
      <c r="D76" s="21"/>
      <c r="E76" s="21"/>
      <c r="F76" s="21"/>
      <c r="G76" s="21"/>
      <c r="H76" s="22"/>
      <c r="I76" s="73"/>
      <c r="J76" s="73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5.75" customHeight="1">
      <c r="A77" s="21"/>
      <c r="B77" s="22"/>
      <c r="C77" s="22"/>
      <c r="D77" s="21"/>
      <c r="E77" s="21"/>
      <c r="F77" s="21"/>
      <c r="G77" s="21"/>
      <c r="H77" s="22"/>
      <c r="I77" s="73"/>
      <c r="J77" s="73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5.75" customHeight="1">
      <c r="A78" s="21"/>
      <c r="B78" s="22"/>
      <c r="C78" s="22"/>
      <c r="D78" s="21"/>
      <c r="E78" s="21"/>
      <c r="F78" s="21"/>
      <c r="G78" s="21"/>
      <c r="H78" s="22"/>
      <c r="I78" s="73"/>
      <c r="J78" s="73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5.75" customHeight="1">
      <c r="A79" s="21"/>
      <c r="B79" s="22"/>
      <c r="C79" s="22"/>
      <c r="D79" s="21"/>
      <c r="E79" s="21"/>
      <c r="F79" s="21"/>
      <c r="G79" s="21"/>
      <c r="H79" s="22"/>
      <c r="I79" s="73"/>
      <c r="J79" s="73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5.75" customHeight="1">
      <c r="A80" s="21"/>
      <c r="B80" s="22"/>
      <c r="C80" s="22"/>
      <c r="D80" s="21"/>
      <c r="E80" s="21"/>
      <c r="F80" s="21"/>
      <c r="G80" s="21"/>
      <c r="H80" s="22"/>
      <c r="I80" s="73"/>
      <c r="J80" s="73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5.75" customHeight="1">
      <c r="A81" s="21"/>
      <c r="B81" s="22"/>
      <c r="C81" s="22"/>
      <c r="D81" s="21"/>
      <c r="E81" s="21"/>
      <c r="F81" s="21"/>
      <c r="G81" s="21"/>
      <c r="H81" s="22"/>
      <c r="I81" s="73"/>
      <c r="J81" s="73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5.75" customHeight="1">
      <c r="A82" s="21"/>
      <c r="B82" s="22"/>
      <c r="C82" s="22"/>
      <c r="D82" s="21"/>
      <c r="E82" s="21"/>
      <c r="F82" s="21"/>
      <c r="G82" s="21"/>
      <c r="H82" s="22"/>
      <c r="I82" s="73"/>
      <c r="J82" s="73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5.75" customHeight="1">
      <c r="A83" s="21"/>
      <c r="B83" s="22"/>
      <c r="C83" s="22"/>
      <c r="D83" s="21"/>
      <c r="E83" s="21"/>
      <c r="F83" s="21"/>
      <c r="G83" s="21"/>
      <c r="H83" s="22"/>
      <c r="I83" s="73"/>
      <c r="J83" s="73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5.75" customHeight="1">
      <c r="A84" s="21"/>
      <c r="B84" s="22"/>
      <c r="C84" s="22"/>
      <c r="D84" s="21"/>
      <c r="E84" s="21"/>
      <c r="F84" s="21"/>
      <c r="G84" s="21"/>
      <c r="H84" s="22"/>
      <c r="I84" s="73"/>
      <c r="J84" s="73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5.75" customHeight="1">
      <c r="A85" s="21"/>
      <c r="B85" s="22"/>
      <c r="C85" s="22"/>
      <c r="D85" s="21"/>
      <c r="E85" s="21"/>
      <c r="F85" s="21"/>
      <c r="G85" s="21"/>
      <c r="H85" s="22"/>
      <c r="I85" s="73"/>
      <c r="J85" s="73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5.75" customHeight="1">
      <c r="A86" s="21"/>
      <c r="B86" s="22"/>
      <c r="C86" s="22"/>
      <c r="D86" s="21"/>
      <c r="E86" s="21"/>
      <c r="F86" s="21"/>
      <c r="G86" s="21"/>
      <c r="H86" s="22"/>
      <c r="I86" s="73"/>
      <c r="J86" s="73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5.75" customHeight="1">
      <c r="A87" s="21"/>
      <c r="B87" s="22"/>
      <c r="C87" s="22"/>
      <c r="D87" s="21"/>
      <c r="E87" s="21"/>
      <c r="F87" s="21"/>
      <c r="G87" s="21"/>
      <c r="H87" s="22"/>
      <c r="I87" s="73"/>
      <c r="J87" s="73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5.75" customHeight="1">
      <c r="A88" s="21"/>
      <c r="B88" s="22"/>
      <c r="C88" s="22"/>
      <c r="D88" s="21"/>
      <c r="E88" s="21"/>
      <c r="F88" s="21"/>
      <c r="G88" s="21"/>
      <c r="H88" s="22"/>
      <c r="I88" s="73"/>
      <c r="J88" s="73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5.75" customHeight="1">
      <c r="A89" s="21"/>
      <c r="B89" s="22"/>
      <c r="C89" s="22"/>
      <c r="D89" s="21"/>
      <c r="E89" s="21"/>
      <c r="F89" s="21"/>
      <c r="G89" s="21"/>
      <c r="H89" s="22"/>
      <c r="I89" s="73"/>
      <c r="J89" s="73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5.75" customHeight="1">
      <c r="A90" s="21"/>
      <c r="B90" s="22"/>
      <c r="C90" s="22"/>
      <c r="D90" s="21"/>
      <c r="E90" s="21"/>
      <c r="F90" s="21"/>
      <c r="G90" s="21"/>
      <c r="H90" s="22"/>
      <c r="I90" s="73"/>
      <c r="J90" s="73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5.75" customHeight="1">
      <c r="A91" s="21"/>
      <c r="B91" s="22"/>
      <c r="C91" s="22"/>
      <c r="D91" s="21"/>
      <c r="E91" s="21"/>
      <c r="F91" s="21"/>
      <c r="G91" s="21"/>
      <c r="H91" s="22"/>
      <c r="I91" s="73"/>
      <c r="J91" s="73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5.75" customHeight="1">
      <c r="A92" s="21"/>
      <c r="B92" s="22"/>
      <c r="C92" s="22"/>
      <c r="D92" s="21"/>
      <c r="E92" s="21"/>
      <c r="F92" s="21"/>
      <c r="G92" s="21"/>
      <c r="H92" s="22"/>
      <c r="I92" s="73"/>
      <c r="J92" s="73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5.75" customHeight="1">
      <c r="A93" s="21"/>
      <c r="B93" s="22"/>
      <c r="C93" s="22"/>
      <c r="D93" s="21"/>
      <c r="E93" s="21"/>
      <c r="F93" s="21"/>
      <c r="G93" s="21"/>
      <c r="H93" s="22"/>
      <c r="I93" s="73"/>
      <c r="J93" s="73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5.75" customHeight="1">
      <c r="A94" s="21"/>
      <c r="B94" s="22"/>
      <c r="C94" s="22"/>
      <c r="D94" s="21"/>
      <c r="E94" s="21"/>
      <c r="F94" s="21"/>
      <c r="G94" s="21"/>
      <c r="H94" s="22"/>
      <c r="I94" s="73"/>
      <c r="J94" s="73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5.75" customHeight="1">
      <c r="A95" s="21"/>
      <c r="B95" s="22"/>
      <c r="C95" s="22"/>
      <c r="D95" s="21"/>
      <c r="E95" s="21"/>
      <c r="F95" s="21"/>
      <c r="G95" s="21"/>
      <c r="H95" s="22"/>
      <c r="I95" s="73"/>
      <c r="J95" s="73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5.75" customHeight="1">
      <c r="A96" s="21"/>
      <c r="B96" s="22"/>
      <c r="C96" s="22"/>
      <c r="D96" s="21"/>
      <c r="E96" s="21"/>
      <c r="F96" s="21"/>
      <c r="G96" s="21"/>
      <c r="H96" s="22"/>
      <c r="I96" s="73"/>
      <c r="J96" s="73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5.75" customHeight="1">
      <c r="A97" s="21"/>
      <c r="B97" s="22"/>
      <c r="C97" s="22"/>
      <c r="D97" s="21"/>
      <c r="E97" s="21"/>
      <c r="F97" s="21"/>
      <c r="G97" s="21"/>
      <c r="H97" s="22"/>
      <c r="I97" s="73"/>
      <c r="J97" s="73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5.75" customHeight="1">
      <c r="A98" s="21"/>
      <c r="B98" s="22"/>
      <c r="C98" s="22"/>
      <c r="D98" s="21"/>
      <c r="E98" s="21"/>
      <c r="F98" s="21"/>
      <c r="G98" s="21"/>
      <c r="H98" s="22"/>
      <c r="I98" s="73"/>
      <c r="J98" s="73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5.75" customHeight="1">
      <c r="A99" s="21"/>
      <c r="B99" s="22"/>
      <c r="C99" s="22"/>
      <c r="D99" s="21"/>
      <c r="E99" s="21"/>
      <c r="F99" s="21"/>
      <c r="G99" s="21"/>
      <c r="H99" s="22"/>
      <c r="I99" s="73"/>
      <c r="J99" s="73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5.75" customHeight="1">
      <c r="A100" s="21"/>
      <c r="B100" s="22"/>
      <c r="C100" s="22"/>
      <c r="D100" s="21"/>
      <c r="E100" s="21"/>
      <c r="F100" s="21"/>
      <c r="G100" s="21"/>
      <c r="H100" s="22"/>
      <c r="I100" s="73"/>
      <c r="J100" s="73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5.75" customHeight="1">
      <c r="A101" s="21"/>
      <c r="B101" s="22"/>
      <c r="C101" s="22"/>
      <c r="D101" s="21"/>
      <c r="E101" s="21"/>
      <c r="F101" s="21"/>
      <c r="G101" s="21"/>
      <c r="H101" s="22"/>
      <c r="I101" s="73"/>
      <c r="J101" s="73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5.75" customHeight="1">
      <c r="A102" s="21"/>
      <c r="B102" s="22"/>
      <c r="C102" s="22"/>
      <c r="D102" s="21"/>
      <c r="E102" s="21"/>
      <c r="F102" s="21"/>
      <c r="G102" s="21"/>
      <c r="H102" s="22"/>
      <c r="I102" s="73"/>
      <c r="J102" s="73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5.75" customHeight="1">
      <c r="A103" s="21"/>
      <c r="B103" s="22"/>
      <c r="C103" s="22"/>
      <c r="D103" s="21"/>
      <c r="E103" s="21"/>
      <c r="F103" s="21"/>
      <c r="G103" s="21"/>
      <c r="H103" s="22"/>
      <c r="I103" s="73"/>
      <c r="J103" s="73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5.75" customHeight="1">
      <c r="A104" s="21"/>
      <c r="B104" s="22"/>
      <c r="C104" s="22"/>
      <c r="D104" s="21"/>
      <c r="E104" s="21"/>
      <c r="F104" s="21"/>
      <c r="G104" s="21"/>
      <c r="H104" s="22"/>
      <c r="I104" s="73"/>
      <c r="J104" s="73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5.75" customHeight="1">
      <c r="A105" s="21"/>
      <c r="B105" s="22"/>
      <c r="C105" s="22"/>
      <c r="D105" s="21"/>
      <c r="E105" s="21"/>
      <c r="F105" s="21"/>
      <c r="G105" s="21"/>
      <c r="H105" s="22"/>
      <c r="I105" s="73"/>
      <c r="J105" s="73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5.75" customHeight="1">
      <c r="A106" s="21"/>
      <c r="B106" s="22"/>
      <c r="C106" s="22"/>
      <c r="D106" s="21"/>
      <c r="E106" s="21"/>
      <c r="F106" s="21"/>
      <c r="G106" s="21"/>
      <c r="H106" s="22"/>
      <c r="I106" s="73"/>
      <c r="J106" s="73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5.75" customHeight="1">
      <c r="A107" s="21"/>
      <c r="B107" s="22"/>
      <c r="C107" s="22"/>
      <c r="D107" s="21"/>
      <c r="E107" s="21"/>
      <c r="F107" s="21"/>
      <c r="G107" s="21"/>
      <c r="H107" s="22"/>
      <c r="I107" s="73"/>
      <c r="J107" s="73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5.75" customHeight="1">
      <c r="A108" s="21"/>
      <c r="B108" s="22"/>
      <c r="C108" s="22"/>
      <c r="D108" s="21"/>
      <c r="E108" s="21"/>
      <c r="F108" s="21"/>
      <c r="G108" s="21"/>
      <c r="H108" s="22"/>
      <c r="I108" s="73"/>
      <c r="J108" s="73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5.75" customHeight="1">
      <c r="A109" s="21"/>
      <c r="B109" s="22"/>
      <c r="C109" s="22"/>
      <c r="D109" s="21"/>
      <c r="E109" s="21"/>
      <c r="F109" s="21"/>
      <c r="G109" s="21"/>
      <c r="H109" s="22"/>
      <c r="I109" s="73"/>
      <c r="J109" s="73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5.75" customHeight="1">
      <c r="A110" s="21"/>
      <c r="B110" s="22"/>
      <c r="C110" s="22"/>
      <c r="D110" s="21"/>
      <c r="E110" s="21"/>
      <c r="F110" s="21"/>
      <c r="G110" s="21"/>
      <c r="H110" s="22"/>
      <c r="I110" s="73"/>
      <c r="J110" s="73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5.75" customHeight="1">
      <c r="A111" s="21"/>
      <c r="B111" s="22"/>
      <c r="C111" s="22"/>
      <c r="D111" s="21"/>
      <c r="E111" s="21"/>
      <c r="F111" s="21"/>
      <c r="G111" s="21"/>
      <c r="H111" s="22"/>
      <c r="I111" s="73"/>
      <c r="J111" s="73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5.75" customHeight="1">
      <c r="A112" s="21"/>
      <c r="B112" s="22"/>
      <c r="C112" s="22"/>
      <c r="D112" s="21"/>
      <c r="E112" s="21"/>
      <c r="F112" s="21"/>
      <c r="G112" s="21"/>
      <c r="H112" s="22"/>
      <c r="I112" s="73"/>
      <c r="J112" s="73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5.75" customHeight="1">
      <c r="A113" s="21"/>
      <c r="B113" s="22"/>
      <c r="C113" s="22"/>
      <c r="D113" s="21"/>
      <c r="E113" s="21"/>
      <c r="F113" s="21"/>
      <c r="G113" s="21"/>
      <c r="H113" s="22"/>
      <c r="I113" s="73"/>
      <c r="J113" s="73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5.75" customHeight="1">
      <c r="A114" s="21"/>
      <c r="B114" s="22"/>
      <c r="C114" s="22"/>
      <c r="D114" s="21"/>
      <c r="E114" s="21"/>
      <c r="F114" s="21"/>
      <c r="G114" s="21"/>
      <c r="H114" s="22"/>
      <c r="I114" s="73"/>
      <c r="J114" s="73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5.75" customHeight="1">
      <c r="A115" s="21"/>
      <c r="B115" s="22"/>
      <c r="C115" s="22"/>
      <c r="D115" s="21"/>
      <c r="E115" s="21"/>
      <c r="F115" s="21"/>
      <c r="G115" s="21"/>
      <c r="H115" s="22"/>
      <c r="I115" s="73"/>
      <c r="J115" s="73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5.75" customHeight="1">
      <c r="A116" s="21"/>
      <c r="B116" s="22"/>
      <c r="C116" s="22"/>
      <c r="D116" s="21"/>
      <c r="E116" s="21"/>
      <c r="F116" s="21"/>
      <c r="G116" s="21"/>
      <c r="H116" s="22"/>
      <c r="I116" s="73"/>
      <c r="J116" s="73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5.75" customHeight="1">
      <c r="A117" s="21"/>
      <c r="B117" s="22"/>
      <c r="C117" s="22"/>
      <c r="D117" s="21"/>
      <c r="E117" s="21"/>
      <c r="F117" s="21"/>
      <c r="G117" s="21"/>
      <c r="H117" s="22"/>
      <c r="I117" s="73"/>
      <c r="J117" s="73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5.75" customHeight="1">
      <c r="A118" s="21"/>
      <c r="B118" s="22"/>
      <c r="C118" s="22"/>
      <c r="D118" s="21"/>
      <c r="E118" s="21"/>
      <c r="F118" s="21"/>
      <c r="G118" s="21"/>
      <c r="H118" s="22"/>
      <c r="I118" s="73"/>
      <c r="J118" s="73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5.75" customHeight="1">
      <c r="A119" s="21"/>
      <c r="B119" s="22"/>
      <c r="C119" s="22"/>
      <c r="D119" s="21"/>
      <c r="E119" s="21"/>
      <c r="F119" s="21"/>
      <c r="G119" s="21"/>
      <c r="H119" s="22"/>
      <c r="I119" s="73"/>
      <c r="J119" s="73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5.75" customHeight="1">
      <c r="A120" s="21"/>
      <c r="B120" s="22"/>
      <c r="C120" s="22"/>
      <c r="D120" s="21"/>
      <c r="E120" s="21"/>
      <c r="F120" s="21"/>
      <c r="G120" s="21"/>
      <c r="H120" s="22"/>
      <c r="I120" s="73"/>
      <c r="J120" s="73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5.75" customHeight="1">
      <c r="A121" s="21"/>
      <c r="B121" s="22"/>
      <c r="C121" s="22"/>
      <c r="D121" s="21"/>
      <c r="E121" s="21"/>
      <c r="F121" s="21"/>
      <c r="G121" s="21"/>
      <c r="H121" s="22"/>
      <c r="I121" s="73"/>
      <c r="J121" s="73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5.75" customHeight="1">
      <c r="A122" s="21"/>
      <c r="B122" s="22"/>
      <c r="C122" s="22"/>
      <c r="D122" s="21"/>
      <c r="E122" s="21"/>
      <c r="F122" s="21"/>
      <c r="G122" s="21"/>
      <c r="H122" s="22"/>
      <c r="I122" s="73"/>
      <c r="J122" s="73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5.75" customHeight="1">
      <c r="A123" s="21"/>
      <c r="B123" s="22"/>
      <c r="C123" s="22"/>
      <c r="D123" s="21"/>
      <c r="E123" s="21"/>
      <c r="F123" s="21"/>
      <c r="G123" s="21"/>
      <c r="H123" s="22"/>
      <c r="I123" s="73"/>
      <c r="J123" s="73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5.75" customHeight="1">
      <c r="A124" s="21"/>
      <c r="B124" s="22"/>
      <c r="C124" s="22"/>
      <c r="D124" s="21"/>
      <c r="E124" s="21"/>
      <c r="F124" s="21"/>
      <c r="G124" s="21"/>
      <c r="H124" s="22"/>
      <c r="I124" s="73"/>
      <c r="J124" s="73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5.75" customHeight="1">
      <c r="A125" s="21"/>
      <c r="B125" s="22"/>
      <c r="C125" s="22"/>
      <c r="D125" s="21"/>
      <c r="E125" s="21"/>
      <c r="F125" s="21"/>
      <c r="G125" s="21"/>
      <c r="H125" s="22"/>
      <c r="I125" s="73"/>
      <c r="J125" s="73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5.75" customHeight="1">
      <c r="A126" s="21"/>
      <c r="B126" s="22"/>
      <c r="C126" s="22"/>
      <c r="D126" s="21"/>
      <c r="E126" s="21"/>
      <c r="F126" s="21"/>
      <c r="G126" s="21"/>
      <c r="H126" s="22"/>
      <c r="I126" s="73"/>
      <c r="J126" s="73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5.75" customHeight="1">
      <c r="A127" s="21"/>
      <c r="B127" s="22"/>
      <c r="C127" s="22"/>
      <c r="D127" s="21"/>
      <c r="E127" s="21"/>
      <c r="F127" s="21"/>
      <c r="G127" s="21"/>
      <c r="H127" s="22"/>
      <c r="I127" s="73"/>
      <c r="J127" s="73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5.75" customHeight="1">
      <c r="A128" s="21"/>
      <c r="B128" s="22"/>
      <c r="C128" s="22"/>
      <c r="D128" s="21"/>
      <c r="E128" s="21"/>
      <c r="F128" s="21"/>
      <c r="G128" s="21"/>
      <c r="H128" s="22"/>
      <c r="I128" s="73"/>
      <c r="J128" s="73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5.75" customHeight="1">
      <c r="A129" s="21"/>
      <c r="B129" s="22"/>
      <c r="C129" s="22"/>
      <c r="D129" s="21"/>
      <c r="E129" s="21"/>
      <c r="F129" s="21"/>
      <c r="G129" s="21"/>
      <c r="H129" s="22"/>
      <c r="I129" s="73"/>
      <c r="J129" s="73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5.75" customHeight="1">
      <c r="A130" s="21"/>
      <c r="B130" s="22"/>
      <c r="C130" s="22"/>
      <c r="D130" s="21"/>
      <c r="E130" s="21"/>
      <c r="F130" s="21"/>
      <c r="G130" s="21"/>
      <c r="H130" s="22"/>
      <c r="I130" s="73"/>
      <c r="J130" s="73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5.75" customHeight="1">
      <c r="A131" s="21"/>
      <c r="B131" s="22"/>
      <c r="C131" s="22"/>
      <c r="D131" s="21"/>
      <c r="E131" s="21"/>
      <c r="F131" s="21"/>
      <c r="G131" s="21"/>
      <c r="H131" s="22"/>
      <c r="I131" s="73"/>
      <c r="J131" s="73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5.75" customHeight="1">
      <c r="A132" s="21"/>
      <c r="B132" s="22"/>
      <c r="C132" s="22"/>
      <c r="D132" s="21"/>
      <c r="E132" s="21"/>
      <c r="F132" s="21"/>
      <c r="G132" s="21"/>
      <c r="H132" s="22"/>
      <c r="I132" s="73"/>
      <c r="J132" s="73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5.75" customHeight="1">
      <c r="A133" s="21"/>
      <c r="B133" s="22"/>
      <c r="C133" s="22"/>
      <c r="D133" s="21"/>
      <c r="E133" s="21"/>
      <c r="F133" s="21"/>
      <c r="G133" s="21"/>
      <c r="H133" s="22"/>
      <c r="I133" s="73"/>
      <c r="J133" s="73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5.75" customHeight="1">
      <c r="A134" s="21"/>
      <c r="B134" s="22"/>
      <c r="C134" s="22"/>
      <c r="D134" s="21"/>
      <c r="E134" s="21"/>
      <c r="F134" s="21"/>
      <c r="G134" s="21"/>
      <c r="H134" s="22"/>
      <c r="I134" s="73"/>
      <c r="J134" s="73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5.75" customHeight="1">
      <c r="A135" s="21"/>
      <c r="B135" s="22"/>
      <c r="C135" s="22"/>
      <c r="D135" s="21"/>
      <c r="E135" s="21"/>
      <c r="F135" s="21"/>
      <c r="G135" s="21"/>
      <c r="H135" s="22"/>
      <c r="I135" s="73"/>
      <c r="J135" s="73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5.75" customHeight="1">
      <c r="A136" s="21"/>
      <c r="B136" s="22"/>
      <c r="C136" s="22"/>
      <c r="D136" s="21"/>
      <c r="E136" s="21"/>
      <c r="F136" s="21"/>
      <c r="G136" s="21"/>
      <c r="H136" s="22"/>
      <c r="I136" s="73"/>
      <c r="J136" s="73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5.75" customHeight="1">
      <c r="A137" s="21"/>
      <c r="B137" s="22"/>
      <c r="C137" s="22"/>
      <c r="D137" s="21"/>
      <c r="E137" s="21"/>
      <c r="F137" s="21"/>
      <c r="G137" s="21"/>
      <c r="H137" s="22"/>
      <c r="I137" s="73"/>
      <c r="J137" s="73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5.75" customHeight="1">
      <c r="A138" s="21"/>
      <c r="B138" s="22"/>
      <c r="C138" s="22"/>
      <c r="D138" s="21"/>
      <c r="E138" s="21"/>
      <c r="F138" s="21"/>
      <c r="G138" s="21"/>
      <c r="H138" s="22"/>
      <c r="I138" s="73"/>
      <c r="J138" s="73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5.75" customHeight="1">
      <c r="A139" s="21"/>
      <c r="B139" s="22"/>
      <c r="C139" s="22"/>
      <c r="D139" s="21"/>
      <c r="E139" s="21"/>
      <c r="F139" s="21"/>
      <c r="G139" s="21"/>
      <c r="H139" s="22"/>
      <c r="I139" s="73"/>
      <c r="J139" s="73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5.75" customHeight="1">
      <c r="A140" s="21"/>
      <c r="B140" s="22"/>
      <c r="C140" s="22"/>
      <c r="D140" s="21"/>
      <c r="E140" s="21"/>
      <c r="F140" s="21"/>
      <c r="G140" s="21"/>
      <c r="H140" s="22"/>
      <c r="I140" s="73"/>
      <c r="J140" s="73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5.75" customHeight="1">
      <c r="A141" s="21"/>
      <c r="B141" s="22"/>
      <c r="C141" s="22"/>
      <c r="D141" s="21"/>
      <c r="E141" s="21"/>
      <c r="F141" s="21"/>
      <c r="G141" s="21"/>
      <c r="H141" s="22"/>
      <c r="I141" s="73"/>
      <c r="J141" s="73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5.75" customHeight="1">
      <c r="A142" s="21"/>
      <c r="B142" s="22"/>
      <c r="C142" s="22"/>
      <c r="D142" s="21"/>
      <c r="E142" s="21"/>
      <c r="F142" s="21"/>
      <c r="G142" s="21"/>
      <c r="H142" s="22"/>
      <c r="I142" s="73"/>
      <c r="J142" s="73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5.75" customHeight="1">
      <c r="A143" s="21"/>
      <c r="B143" s="22"/>
      <c r="C143" s="22"/>
      <c r="D143" s="21"/>
      <c r="E143" s="21"/>
      <c r="F143" s="21"/>
      <c r="G143" s="21"/>
      <c r="H143" s="22"/>
      <c r="I143" s="73"/>
      <c r="J143" s="73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5.75" customHeight="1">
      <c r="A144" s="21"/>
      <c r="B144" s="22"/>
      <c r="C144" s="22"/>
      <c r="D144" s="21"/>
      <c r="E144" s="21"/>
      <c r="F144" s="21"/>
      <c r="G144" s="21"/>
      <c r="H144" s="22"/>
      <c r="I144" s="73"/>
      <c r="J144" s="73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5.75" customHeight="1">
      <c r="A145" s="21"/>
      <c r="B145" s="22"/>
      <c r="C145" s="22"/>
      <c r="D145" s="21"/>
      <c r="E145" s="21"/>
      <c r="F145" s="21"/>
      <c r="G145" s="21"/>
      <c r="H145" s="22"/>
      <c r="I145" s="73"/>
      <c r="J145" s="73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5.75" customHeight="1">
      <c r="A146" s="21"/>
      <c r="B146" s="22"/>
      <c r="C146" s="22"/>
      <c r="D146" s="21"/>
      <c r="E146" s="21"/>
      <c r="F146" s="21"/>
      <c r="G146" s="21"/>
      <c r="H146" s="22"/>
      <c r="I146" s="73"/>
      <c r="J146" s="73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5.75" customHeight="1">
      <c r="A147" s="21"/>
      <c r="B147" s="22"/>
      <c r="C147" s="22"/>
      <c r="D147" s="21"/>
      <c r="E147" s="21"/>
      <c r="F147" s="21"/>
      <c r="G147" s="21"/>
      <c r="H147" s="22"/>
      <c r="I147" s="73"/>
      <c r="J147" s="73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5.75" customHeight="1">
      <c r="A148" s="21"/>
      <c r="B148" s="22"/>
      <c r="C148" s="22"/>
      <c r="D148" s="21"/>
      <c r="E148" s="21"/>
      <c r="F148" s="21"/>
      <c r="G148" s="21"/>
      <c r="H148" s="22"/>
      <c r="I148" s="73"/>
      <c r="J148" s="73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5.75" customHeight="1">
      <c r="A149" s="21"/>
      <c r="B149" s="22"/>
      <c r="C149" s="22"/>
      <c r="D149" s="21"/>
      <c r="E149" s="21"/>
      <c r="F149" s="21"/>
      <c r="G149" s="21"/>
      <c r="H149" s="22"/>
      <c r="I149" s="73"/>
      <c r="J149" s="73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5.75" customHeight="1">
      <c r="A150" s="21"/>
      <c r="B150" s="22"/>
      <c r="C150" s="22"/>
      <c r="D150" s="21"/>
      <c r="E150" s="21"/>
      <c r="F150" s="21"/>
      <c r="G150" s="21"/>
      <c r="H150" s="22"/>
      <c r="I150" s="73"/>
      <c r="J150" s="73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5.75" customHeight="1">
      <c r="A151" s="21"/>
      <c r="B151" s="22"/>
      <c r="C151" s="22"/>
      <c r="D151" s="21"/>
      <c r="E151" s="21"/>
      <c r="F151" s="21"/>
      <c r="G151" s="21"/>
      <c r="H151" s="22"/>
      <c r="I151" s="73"/>
      <c r="J151" s="73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5.75" customHeight="1">
      <c r="A152" s="21"/>
      <c r="B152" s="22"/>
      <c r="C152" s="22"/>
      <c r="D152" s="21"/>
      <c r="E152" s="21"/>
      <c r="F152" s="21"/>
      <c r="G152" s="21"/>
      <c r="H152" s="22"/>
      <c r="I152" s="73"/>
      <c r="J152" s="73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5.75" customHeight="1">
      <c r="A153" s="21"/>
      <c r="B153" s="22"/>
      <c r="C153" s="22"/>
      <c r="D153" s="21"/>
      <c r="E153" s="21"/>
      <c r="F153" s="21"/>
      <c r="G153" s="21"/>
      <c r="H153" s="22"/>
      <c r="I153" s="73"/>
      <c r="J153" s="73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5.75" customHeight="1">
      <c r="A154" s="21"/>
      <c r="B154" s="22"/>
      <c r="C154" s="22"/>
      <c r="D154" s="21"/>
      <c r="E154" s="21"/>
      <c r="F154" s="21"/>
      <c r="G154" s="21"/>
      <c r="H154" s="22"/>
      <c r="I154" s="73"/>
      <c r="J154" s="73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5.75" customHeight="1">
      <c r="A155" s="21"/>
      <c r="B155" s="22"/>
      <c r="C155" s="22"/>
      <c r="D155" s="21"/>
      <c r="E155" s="21"/>
      <c r="F155" s="21"/>
      <c r="G155" s="21"/>
      <c r="H155" s="22"/>
      <c r="I155" s="73"/>
      <c r="J155" s="73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5.75" customHeight="1">
      <c r="A156" s="21"/>
      <c r="B156" s="22"/>
      <c r="C156" s="22"/>
      <c r="D156" s="21"/>
      <c r="E156" s="21"/>
      <c r="F156" s="21"/>
      <c r="G156" s="21"/>
      <c r="H156" s="22"/>
      <c r="I156" s="73"/>
      <c r="J156" s="73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5.75" customHeight="1">
      <c r="A157" s="21"/>
      <c r="B157" s="22"/>
      <c r="C157" s="22"/>
      <c r="D157" s="21"/>
      <c r="E157" s="21"/>
      <c r="F157" s="21"/>
      <c r="G157" s="21"/>
      <c r="H157" s="22"/>
      <c r="I157" s="73"/>
      <c r="J157" s="73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5.75" customHeight="1">
      <c r="A158" s="21"/>
      <c r="B158" s="22"/>
      <c r="C158" s="22"/>
      <c r="D158" s="21"/>
      <c r="E158" s="21"/>
      <c r="F158" s="21"/>
      <c r="G158" s="21"/>
      <c r="H158" s="22"/>
      <c r="I158" s="73"/>
      <c r="J158" s="73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5.75" customHeight="1">
      <c r="A159" s="21"/>
      <c r="B159" s="22"/>
      <c r="C159" s="22"/>
      <c r="D159" s="21"/>
      <c r="E159" s="21"/>
      <c r="F159" s="21"/>
      <c r="G159" s="21"/>
      <c r="H159" s="22"/>
      <c r="I159" s="73"/>
      <c r="J159" s="73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5.75" customHeight="1">
      <c r="A160" s="21"/>
      <c r="B160" s="22"/>
      <c r="C160" s="22"/>
      <c r="D160" s="21"/>
      <c r="E160" s="21"/>
      <c r="F160" s="21"/>
      <c r="G160" s="21"/>
      <c r="H160" s="22"/>
      <c r="I160" s="73"/>
      <c r="J160" s="73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5.75" customHeight="1">
      <c r="A161" s="21"/>
      <c r="B161" s="22"/>
      <c r="C161" s="22"/>
      <c r="D161" s="21"/>
      <c r="E161" s="21"/>
      <c r="F161" s="21"/>
      <c r="G161" s="21"/>
      <c r="H161" s="22"/>
      <c r="I161" s="73"/>
      <c r="J161" s="73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5.75" customHeight="1">
      <c r="A162" s="21"/>
      <c r="B162" s="22"/>
      <c r="C162" s="22"/>
      <c r="D162" s="21"/>
      <c r="E162" s="21"/>
      <c r="F162" s="21"/>
      <c r="G162" s="21"/>
      <c r="H162" s="22"/>
      <c r="I162" s="73"/>
      <c r="J162" s="73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5.75" customHeight="1">
      <c r="A163" s="21"/>
      <c r="B163" s="22"/>
      <c r="C163" s="22"/>
      <c r="D163" s="21"/>
      <c r="E163" s="21"/>
      <c r="F163" s="21"/>
      <c r="G163" s="21"/>
      <c r="H163" s="22"/>
      <c r="I163" s="73"/>
      <c r="J163" s="73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5.75" customHeight="1">
      <c r="A164" s="21"/>
      <c r="B164" s="22"/>
      <c r="C164" s="22"/>
      <c r="D164" s="21"/>
      <c r="E164" s="21"/>
      <c r="F164" s="21"/>
      <c r="G164" s="21"/>
      <c r="H164" s="22"/>
      <c r="I164" s="73"/>
      <c r="J164" s="73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5.75" customHeight="1">
      <c r="A165" s="21"/>
      <c r="B165" s="22"/>
      <c r="C165" s="22"/>
      <c r="D165" s="21"/>
      <c r="E165" s="21"/>
      <c r="F165" s="21"/>
      <c r="G165" s="21"/>
      <c r="H165" s="22"/>
      <c r="I165" s="73"/>
      <c r="J165" s="73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5.75" customHeight="1">
      <c r="A166" s="21"/>
      <c r="B166" s="22"/>
      <c r="C166" s="22"/>
      <c r="D166" s="21"/>
      <c r="E166" s="21"/>
      <c r="F166" s="21"/>
      <c r="G166" s="21"/>
      <c r="H166" s="22"/>
      <c r="I166" s="73"/>
      <c r="J166" s="73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5.75" customHeight="1">
      <c r="A167" s="21"/>
      <c r="B167" s="22"/>
      <c r="C167" s="22"/>
      <c r="D167" s="21"/>
      <c r="E167" s="21"/>
      <c r="F167" s="21"/>
      <c r="G167" s="21"/>
      <c r="H167" s="22"/>
      <c r="I167" s="73"/>
      <c r="J167" s="73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5.75" customHeight="1">
      <c r="A168" s="21"/>
      <c r="B168" s="22"/>
      <c r="C168" s="22"/>
      <c r="D168" s="21"/>
      <c r="E168" s="21"/>
      <c r="F168" s="21"/>
      <c r="G168" s="21"/>
      <c r="H168" s="22"/>
      <c r="I168" s="73"/>
      <c r="J168" s="73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5.75" customHeight="1">
      <c r="A169" s="21"/>
      <c r="B169" s="22"/>
      <c r="C169" s="22"/>
      <c r="D169" s="21"/>
      <c r="E169" s="21"/>
      <c r="F169" s="21"/>
      <c r="G169" s="21"/>
      <c r="H169" s="22"/>
      <c r="I169" s="73"/>
      <c r="J169" s="73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5.75" customHeight="1">
      <c r="A170" s="21"/>
      <c r="B170" s="22"/>
      <c r="C170" s="22"/>
      <c r="D170" s="21"/>
      <c r="E170" s="21"/>
      <c r="F170" s="21"/>
      <c r="G170" s="21"/>
      <c r="H170" s="22"/>
      <c r="I170" s="73"/>
      <c r="J170" s="73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5.75" customHeight="1">
      <c r="A171" s="21"/>
      <c r="B171" s="22"/>
      <c r="C171" s="22"/>
      <c r="D171" s="21"/>
      <c r="E171" s="21"/>
      <c r="F171" s="21"/>
      <c r="G171" s="21"/>
      <c r="H171" s="22"/>
      <c r="I171" s="73"/>
      <c r="J171" s="73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5.75" customHeight="1">
      <c r="A172" s="21"/>
      <c r="B172" s="22"/>
      <c r="C172" s="22"/>
      <c r="D172" s="21"/>
      <c r="E172" s="21"/>
      <c r="F172" s="21"/>
      <c r="G172" s="21"/>
      <c r="H172" s="22"/>
      <c r="I172" s="73"/>
      <c r="J172" s="73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5.75" customHeight="1">
      <c r="A173" s="21"/>
      <c r="B173" s="22"/>
      <c r="C173" s="22"/>
      <c r="D173" s="21"/>
      <c r="E173" s="21"/>
      <c r="F173" s="21"/>
      <c r="G173" s="21"/>
      <c r="H173" s="22"/>
      <c r="I173" s="73"/>
      <c r="J173" s="73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5.75" customHeight="1">
      <c r="A174" s="21"/>
      <c r="B174" s="22"/>
      <c r="C174" s="22"/>
      <c r="D174" s="21"/>
      <c r="E174" s="21"/>
      <c r="F174" s="21"/>
      <c r="G174" s="21"/>
      <c r="H174" s="22"/>
      <c r="I174" s="73"/>
      <c r="J174" s="73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5.75" customHeight="1">
      <c r="A175" s="21"/>
      <c r="B175" s="22"/>
      <c r="C175" s="22"/>
      <c r="D175" s="21"/>
      <c r="E175" s="21"/>
      <c r="F175" s="21"/>
      <c r="G175" s="21"/>
      <c r="H175" s="22"/>
      <c r="I175" s="73"/>
      <c r="J175" s="73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5.75" customHeight="1">
      <c r="A176" s="21"/>
      <c r="B176" s="22"/>
      <c r="C176" s="22"/>
      <c r="D176" s="21"/>
      <c r="E176" s="21"/>
      <c r="F176" s="21"/>
      <c r="G176" s="21"/>
      <c r="H176" s="22"/>
      <c r="I176" s="73"/>
      <c r="J176" s="73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5.75" customHeight="1">
      <c r="A177" s="21"/>
      <c r="B177" s="22"/>
      <c r="C177" s="22"/>
      <c r="D177" s="21"/>
      <c r="E177" s="21"/>
      <c r="F177" s="21"/>
      <c r="G177" s="21"/>
      <c r="H177" s="22"/>
      <c r="I177" s="73"/>
      <c r="J177" s="73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5.75" customHeight="1">
      <c r="A178" s="21"/>
      <c r="B178" s="22"/>
      <c r="C178" s="22"/>
      <c r="D178" s="21"/>
      <c r="E178" s="21"/>
      <c r="F178" s="21"/>
      <c r="G178" s="21"/>
      <c r="H178" s="22"/>
      <c r="I178" s="73"/>
      <c r="J178" s="73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5.75" customHeight="1">
      <c r="A179" s="21"/>
      <c r="B179" s="22"/>
      <c r="C179" s="22"/>
      <c r="D179" s="21"/>
      <c r="E179" s="21"/>
      <c r="F179" s="21"/>
      <c r="G179" s="21"/>
      <c r="H179" s="22"/>
      <c r="I179" s="73"/>
      <c r="J179" s="73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5.75" customHeight="1">
      <c r="A180" s="21"/>
      <c r="B180" s="22"/>
      <c r="C180" s="22"/>
      <c r="D180" s="21"/>
      <c r="E180" s="21"/>
      <c r="F180" s="21"/>
      <c r="G180" s="21"/>
      <c r="H180" s="22"/>
      <c r="I180" s="73"/>
      <c r="J180" s="73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5.75" customHeight="1">
      <c r="A181" s="21"/>
      <c r="B181" s="22"/>
      <c r="C181" s="22"/>
      <c r="D181" s="21"/>
      <c r="E181" s="21"/>
      <c r="F181" s="21"/>
      <c r="G181" s="21"/>
      <c r="H181" s="22"/>
      <c r="I181" s="73"/>
      <c r="J181" s="73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5.75" customHeight="1">
      <c r="A182" s="21"/>
      <c r="B182" s="22"/>
      <c r="C182" s="22"/>
      <c r="D182" s="21"/>
      <c r="E182" s="21"/>
      <c r="F182" s="21"/>
      <c r="G182" s="21"/>
      <c r="H182" s="22"/>
      <c r="I182" s="73"/>
      <c r="J182" s="73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5.75" customHeight="1">
      <c r="A183" s="21"/>
      <c r="B183" s="22"/>
      <c r="C183" s="22"/>
      <c r="D183" s="21"/>
      <c r="E183" s="21"/>
      <c r="F183" s="21"/>
      <c r="G183" s="21"/>
      <c r="H183" s="22"/>
      <c r="I183" s="73"/>
      <c r="J183" s="73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5.75" customHeight="1">
      <c r="A184" s="21"/>
      <c r="B184" s="22"/>
      <c r="C184" s="22"/>
      <c r="D184" s="21"/>
      <c r="E184" s="21"/>
      <c r="F184" s="21"/>
      <c r="G184" s="21"/>
      <c r="H184" s="22"/>
      <c r="I184" s="73"/>
      <c r="J184" s="73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5.75" customHeight="1">
      <c r="A185" s="21"/>
      <c r="B185" s="22"/>
      <c r="C185" s="22"/>
      <c r="D185" s="21"/>
      <c r="E185" s="21"/>
      <c r="F185" s="21"/>
      <c r="G185" s="21"/>
      <c r="H185" s="22"/>
      <c r="I185" s="73"/>
      <c r="J185" s="73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5.75" customHeight="1">
      <c r="A186" s="21"/>
      <c r="B186" s="22"/>
      <c r="C186" s="22"/>
      <c r="D186" s="21"/>
      <c r="E186" s="21"/>
      <c r="F186" s="21"/>
      <c r="G186" s="21"/>
      <c r="H186" s="22"/>
      <c r="I186" s="73"/>
      <c r="J186" s="73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5.75" customHeight="1">
      <c r="A187" s="21"/>
      <c r="B187" s="22"/>
      <c r="C187" s="22"/>
      <c r="D187" s="21"/>
      <c r="E187" s="21"/>
      <c r="F187" s="21"/>
      <c r="G187" s="21"/>
      <c r="H187" s="22"/>
      <c r="I187" s="73"/>
      <c r="J187" s="73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5.75" customHeight="1">
      <c r="A188" s="21"/>
      <c r="B188" s="22"/>
      <c r="C188" s="22"/>
      <c r="D188" s="21"/>
      <c r="E188" s="21"/>
      <c r="F188" s="21"/>
      <c r="G188" s="21"/>
      <c r="H188" s="22"/>
      <c r="I188" s="73"/>
      <c r="J188" s="73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5.75" customHeight="1">
      <c r="A189" s="21"/>
      <c r="B189" s="22"/>
      <c r="C189" s="22"/>
      <c r="D189" s="21"/>
      <c r="E189" s="21"/>
      <c r="F189" s="21"/>
      <c r="G189" s="21"/>
      <c r="H189" s="22"/>
      <c r="I189" s="73"/>
      <c r="J189" s="73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5.75" customHeight="1">
      <c r="A190" s="21"/>
      <c r="B190" s="22"/>
      <c r="C190" s="22"/>
      <c r="D190" s="21"/>
      <c r="E190" s="21"/>
      <c r="F190" s="21"/>
      <c r="G190" s="21"/>
      <c r="H190" s="22"/>
      <c r="I190" s="73"/>
      <c r="J190" s="73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5.75" customHeight="1">
      <c r="A191" s="21"/>
      <c r="B191" s="22"/>
      <c r="C191" s="22"/>
      <c r="D191" s="21"/>
      <c r="E191" s="21"/>
      <c r="F191" s="21"/>
      <c r="G191" s="21"/>
      <c r="H191" s="22"/>
      <c r="I191" s="73"/>
      <c r="J191" s="73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5.75" customHeight="1">
      <c r="A192" s="21"/>
      <c r="B192" s="22"/>
      <c r="C192" s="22"/>
      <c r="D192" s="21"/>
      <c r="E192" s="21"/>
      <c r="F192" s="21"/>
      <c r="G192" s="21"/>
      <c r="H192" s="22"/>
      <c r="I192" s="73"/>
      <c r="J192" s="73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5.75" customHeight="1">
      <c r="A193" s="21"/>
      <c r="B193" s="22"/>
      <c r="C193" s="22"/>
      <c r="D193" s="21"/>
      <c r="E193" s="21"/>
      <c r="F193" s="21"/>
      <c r="G193" s="21"/>
      <c r="H193" s="22"/>
      <c r="I193" s="73"/>
      <c r="J193" s="73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5.75" customHeight="1">
      <c r="A194" s="21"/>
      <c r="B194" s="22"/>
      <c r="C194" s="22"/>
      <c r="D194" s="21"/>
      <c r="E194" s="21"/>
      <c r="F194" s="21"/>
      <c r="G194" s="21"/>
      <c r="H194" s="22"/>
      <c r="I194" s="73"/>
      <c r="J194" s="73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5.75" customHeight="1">
      <c r="A195" s="21"/>
      <c r="B195" s="22"/>
      <c r="C195" s="22"/>
      <c r="D195" s="21"/>
      <c r="E195" s="21"/>
      <c r="F195" s="21"/>
      <c r="G195" s="21"/>
      <c r="H195" s="22"/>
      <c r="I195" s="73"/>
      <c r="J195" s="73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5.75" customHeight="1">
      <c r="A196" s="21"/>
      <c r="B196" s="22"/>
      <c r="C196" s="22"/>
      <c r="D196" s="21"/>
      <c r="E196" s="21"/>
      <c r="F196" s="21"/>
      <c r="G196" s="21"/>
      <c r="H196" s="22"/>
      <c r="I196" s="73"/>
      <c r="J196" s="73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5.75" customHeight="1">
      <c r="A197" s="21"/>
      <c r="B197" s="22"/>
      <c r="C197" s="22"/>
      <c r="D197" s="21"/>
      <c r="E197" s="21"/>
      <c r="F197" s="21"/>
      <c r="G197" s="21"/>
      <c r="H197" s="22"/>
      <c r="I197" s="73"/>
      <c r="J197" s="73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5.75" customHeight="1">
      <c r="A198" s="21"/>
      <c r="B198" s="22"/>
      <c r="C198" s="22"/>
      <c r="D198" s="21"/>
      <c r="E198" s="21"/>
      <c r="F198" s="21"/>
      <c r="G198" s="21"/>
      <c r="H198" s="22"/>
      <c r="I198" s="73"/>
      <c r="J198" s="73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5.75" customHeight="1">
      <c r="A199" s="21"/>
      <c r="B199" s="22"/>
      <c r="C199" s="22"/>
      <c r="D199" s="21"/>
      <c r="E199" s="21"/>
      <c r="F199" s="21"/>
      <c r="G199" s="21"/>
      <c r="H199" s="22"/>
      <c r="I199" s="73"/>
      <c r="J199" s="73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5.75" customHeight="1">
      <c r="A200" s="21"/>
      <c r="B200" s="22"/>
      <c r="C200" s="22"/>
      <c r="D200" s="21"/>
      <c r="E200" s="21"/>
      <c r="F200" s="21"/>
      <c r="G200" s="21"/>
      <c r="H200" s="22"/>
      <c r="I200" s="73"/>
      <c r="J200" s="73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5.75" customHeight="1">
      <c r="A201" s="21"/>
      <c r="B201" s="22"/>
      <c r="C201" s="22"/>
      <c r="D201" s="21"/>
      <c r="E201" s="21"/>
      <c r="F201" s="21"/>
      <c r="G201" s="21"/>
      <c r="H201" s="22"/>
      <c r="I201" s="73"/>
      <c r="J201" s="73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5.75" customHeight="1">
      <c r="A202" s="21"/>
      <c r="B202" s="22"/>
      <c r="C202" s="22"/>
      <c r="D202" s="21"/>
      <c r="E202" s="21"/>
      <c r="F202" s="21"/>
      <c r="G202" s="21"/>
      <c r="H202" s="22"/>
      <c r="I202" s="73"/>
      <c r="J202" s="73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5.75" customHeight="1">
      <c r="A203" s="21"/>
      <c r="B203" s="22"/>
      <c r="C203" s="22"/>
      <c r="D203" s="21"/>
      <c r="E203" s="21"/>
      <c r="F203" s="21"/>
      <c r="G203" s="21"/>
      <c r="H203" s="22"/>
      <c r="I203" s="73"/>
      <c r="J203" s="73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5.75" customHeight="1">
      <c r="A204" s="21"/>
      <c r="B204" s="22"/>
      <c r="C204" s="22"/>
      <c r="D204" s="21"/>
      <c r="E204" s="21"/>
      <c r="F204" s="21"/>
      <c r="G204" s="21"/>
      <c r="H204" s="22"/>
      <c r="I204" s="73"/>
      <c r="J204" s="73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5.75" customHeight="1">
      <c r="A205" s="21"/>
      <c r="B205" s="22"/>
      <c r="C205" s="22"/>
      <c r="D205" s="21"/>
      <c r="E205" s="21"/>
      <c r="F205" s="21"/>
      <c r="G205" s="21"/>
      <c r="H205" s="22"/>
      <c r="I205" s="73"/>
      <c r="J205" s="73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5.75" customHeight="1">
      <c r="A206" s="21"/>
      <c r="B206" s="22"/>
      <c r="C206" s="22"/>
      <c r="D206" s="21"/>
      <c r="E206" s="21"/>
      <c r="F206" s="21"/>
      <c r="G206" s="21"/>
      <c r="H206" s="22"/>
      <c r="I206" s="73"/>
      <c r="J206" s="73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5.75" customHeight="1">
      <c r="A207" s="21"/>
      <c r="B207" s="22"/>
      <c r="C207" s="22"/>
      <c r="D207" s="21"/>
      <c r="E207" s="21"/>
      <c r="F207" s="21"/>
      <c r="G207" s="21"/>
      <c r="H207" s="22"/>
      <c r="I207" s="73"/>
      <c r="J207" s="73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5.75" customHeight="1">
      <c r="A208" s="21"/>
      <c r="B208" s="22"/>
      <c r="C208" s="22"/>
      <c r="D208" s="21"/>
      <c r="E208" s="21"/>
      <c r="F208" s="21"/>
      <c r="G208" s="21"/>
      <c r="H208" s="22"/>
      <c r="I208" s="73"/>
      <c r="J208" s="73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5.75" customHeight="1">
      <c r="A209" s="21"/>
      <c r="B209" s="22"/>
      <c r="C209" s="22"/>
      <c r="D209" s="21"/>
      <c r="E209" s="21"/>
      <c r="F209" s="21"/>
      <c r="G209" s="21"/>
      <c r="H209" s="22"/>
      <c r="I209" s="73"/>
      <c r="J209" s="73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5.75" customHeight="1">
      <c r="A210" s="21"/>
      <c r="B210" s="22"/>
      <c r="C210" s="22"/>
      <c r="D210" s="21"/>
      <c r="E210" s="21"/>
      <c r="F210" s="21"/>
      <c r="G210" s="21"/>
      <c r="H210" s="22"/>
      <c r="I210" s="73"/>
      <c r="J210" s="73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5.75" customHeight="1">
      <c r="A211" s="21"/>
      <c r="B211" s="22"/>
      <c r="C211" s="22"/>
      <c r="D211" s="21"/>
      <c r="E211" s="21"/>
      <c r="F211" s="21"/>
      <c r="G211" s="21"/>
      <c r="H211" s="22"/>
      <c r="I211" s="73"/>
      <c r="J211" s="73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5.75" customHeight="1"/>
    <row r="213" spans="1:26" ht="15.75" customHeight="1"/>
    <row r="214" spans="1:26" ht="15.75" customHeight="1"/>
    <row r="215" spans="1:26" ht="15.75" customHeight="1"/>
    <row r="216" spans="1:26" ht="15.75" customHeight="1"/>
    <row r="217" spans="1:26" ht="15.75" customHeight="1"/>
    <row r="218" spans="1:26" ht="15.75" customHeight="1"/>
    <row r="219" spans="1:26" ht="15.75" customHeight="1"/>
    <row r="220" spans="1:26" ht="15.75" customHeight="1"/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M1:N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zoomScale="46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5" sqref="A5"/>
    </sheetView>
  </sheetViews>
  <sheetFormatPr baseColWidth="10" defaultColWidth="14.453125" defaultRowHeight="15" customHeight="1"/>
  <cols>
    <col min="1" max="1" width="44.7265625" customWidth="1"/>
    <col min="2" max="2" width="9.54296875" customWidth="1"/>
    <col min="3" max="3" width="12.54296875" customWidth="1"/>
    <col min="4" max="4" width="36.08984375" customWidth="1"/>
    <col min="5" max="5" width="29.7265625" customWidth="1"/>
    <col min="6" max="6" width="17.7265625" customWidth="1"/>
    <col min="7" max="7" width="11.54296875" customWidth="1"/>
    <col min="8" max="8" width="17.54296875" customWidth="1"/>
    <col min="9" max="9" width="14.08984375" customWidth="1"/>
    <col min="10" max="10" width="13.54296875" customWidth="1"/>
    <col min="11" max="11" width="11.08984375" customWidth="1"/>
    <col min="12" max="12" width="13.7265625" customWidth="1"/>
    <col min="13" max="13" width="12.81640625" customWidth="1"/>
    <col min="14" max="26" width="11.54296875" customWidth="1"/>
  </cols>
  <sheetData>
    <row r="1" spans="1:26" ht="49.5" customHeight="1">
      <c r="A1" s="16" t="s">
        <v>9</v>
      </c>
      <c r="B1" s="17"/>
      <c r="C1" s="17"/>
      <c r="D1" s="19"/>
      <c r="E1" s="19"/>
      <c r="F1" s="19"/>
      <c r="G1" s="19"/>
      <c r="H1" s="17"/>
      <c r="I1" s="19"/>
      <c r="J1" s="19"/>
      <c r="K1" s="126" t="s">
        <v>10</v>
      </c>
      <c r="L1" s="124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22.5" customHeight="1">
      <c r="A2" s="1"/>
      <c r="B2" s="62"/>
      <c r="C2" s="62"/>
      <c r="D2" s="1"/>
      <c r="E2" s="1"/>
      <c r="F2" s="1"/>
      <c r="G2" s="1"/>
      <c r="H2" s="6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>
      <c r="A3" s="79" t="s">
        <v>11</v>
      </c>
      <c r="B3" s="80" t="s">
        <v>12</v>
      </c>
      <c r="C3" s="80" t="s">
        <v>13</v>
      </c>
      <c r="D3" s="81" t="s">
        <v>14</v>
      </c>
      <c r="E3" s="81" t="s">
        <v>15</v>
      </c>
      <c r="F3" s="82" t="s">
        <v>69</v>
      </c>
      <c r="G3" s="25" t="s">
        <v>17</v>
      </c>
      <c r="H3" s="80" t="s">
        <v>18</v>
      </c>
      <c r="I3" s="81" t="s">
        <v>19</v>
      </c>
      <c r="J3" s="81" t="s">
        <v>22</v>
      </c>
      <c r="K3" s="81" t="s">
        <v>125</v>
      </c>
      <c r="L3" s="83" t="s">
        <v>24</v>
      </c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 spans="1:26" ht="22.5" customHeight="1">
      <c r="A4" s="30" t="s">
        <v>33</v>
      </c>
      <c r="B4" s="29">
        <v>46038</v>
      </c>
      <c r="C4" s="29">
        <f t="shared" ref="C4:C12" si="0">+RIGHT(A4,10)*1</f>
        <v>46568</v>
      </c>
      <c r="D4" s="30" t="s">
        <v>34</v>
      </c>
      <c r="E4" s="30" t="s">
        <v>27</v>
      </c>
      <c r="F4" s="30" t="s">
        <v>28</v>
      </c>
      <c r="G4" s="30" t="s">
        <v>35</v>
      </c>
      <c r="H4" s="85">
        <v>46048</v>
      </c>
      <c r="I4" s="86">
        <v>539352.80086099997</v>
      </c>
      <c r="J4" s="87">
        <f t="shared" ref="J4:J13" si="1">YEARFRAC(H4,C4)</f>
        <v>1.4277777777777778</v>
      </c>
      <c r="K4" s="88" t="s">
        <v>30</v>
      </c>
      <c r="L4" s="88">
        <v>5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.5" customHeight="1">
      <c r="A5" s="28" t="s">
        <v>126</v>
      </c>
      <c r="B5" s="65">
        <v>45961</v>
      </c>
      <c r="C5" s="29">
        <f t="shared" si="0"/>
        <v>46507</v>
      </c>
      <c r="D5" s="28" t="s">
        <v>127</v>
      </c>
      <c r="E5" s="89" t="s">
        <v>27</v>
      </c>
      <c r="F5" s="28" t="s">
        <v>28</v>
      </c>
      <c r="G5" s="28" t="s">
        <v>35</v>
      </c>
      <c r="H5" s="85">
        <v>46048</v>
      </c>
      <c r="I5" s="86">
        <v>539352.80086099997</v>
      </c>
      <c r="J5" s="87">
        <f t="shared" si="1"/>
        <v>1.2611111111111111</v>
      </c>
      <c r="K5" s="88" t="s">
        <v>30</v>
      </c>
      <c r="L5" s="88">
        <v>5</v>
      </c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22.5" customHeight="1">
      <c r="A6" s="28" t="s">
        <v>126</v>
      </c>
      <c r="B6" s="65">
        <v>45961</v>
      </c>
      <c r="C6" s="29">
        <f t="shared" si="0"/>
        <v>46507</v>
      </c>
      <c r="D6" s="28" t="s">
        <v>127</v>
      </c>
      <c r="E6" s="89" t="s">
        <v>27</v>
      </c>
      <c r="F6" s="28" t="s">
        <v>28</v>
      </c>
      <c r="G6" s="28" t="s">
        <v>35</v>
      </c>
      <c r="H6" s="29">
        <v>46062</v>
      </c>
      <c r="I6" s="86">
        <v>6686059.0196900005</v>
      </c>
      <c r="J6" s="87">
        <f t="shared" si="1"/>
        <v>1.2250000000000001</v>
      </c>
      <c r="K6" s="30" t="s">
        <v>30</v>
      </c>
      <c r="L6" s="30">
        <v>8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22.5" customHeight="1">
      <c r="A7" s="28" t="s">
        <v>33</v>
      </c>
      <c r="B7" s="29">
        <v>46038</v>
      </c>
      <c r="C7" s="29">
        <f t="shared" si="0"/>
        <v>46568</v>
      </c>
      <c r="D7" s="30" t="s">
        <v>34</v>
      </c>
      <c r="E7" s="30" t="s">
        <v>27</v>
      </c>
      <c r="F7" s="30" t="s">
        <v>28</v>
      </c>
      <c r="G7" s="30" t="s">
        <v>35</v>
      </c>
      <c r="H7" s="29">
        <v>46062</v>
      </c>
      <c r="I7" s="86">
        <v>6686059.0196900005</v>
      </c>
      <c r="J7" s="87">
        <f t="shared" si="1"/>
        <v>1.3916666666666666</v>
      </c>
      <c r="K7" s="30" t="s">
        <v>30</v>
      </c>
      <c r="L7" s="30">
        <v>8</v>
      </c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22.5" customHeight="1">
      <c r="A8" s="28" t="s">
        <v>126</v>
      </c>
      <c r="B8" s="65">
        <v>45961</v>
      </c>
      <c r="C8" s="29">
        <f t="shared" si="0"/>
        <v>46507</v>
      </c>
      <c r="D8" s="28" t="s">
        <v>127</v>
      </c>
      <c r="E8" s="89" t="s">
        <v>27</v>
      </c>
      <c r="F8" s="28" t="s">
        <v>28</v>
      </c>
      <c r="G8" s="28" t="s">
        <v>35</v>
      </c>
      <c r="H8" s="29">
        <v>46090</v>
      </c>
      <c r="I8" s="86">
        <v>358991.31697400002</v>
      </c>
      <c r="J8" s="87">
        <f t="shared" si="1"/>
        <v>1.1416666666666666</v>
      </c>
      <c r="K8" s="30" t="s">
        <v>30</v>
      </c>
      <c r="L8" s="30">
        <v>12</v>
      </c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22.5" customHeight="1">
      <c r="A9" s="28" t="s">
        <v>33</v>
      </c>
      <c r="B9" s="29">
        <v>46038</v>
      </c>
      <c r="C9" s="29">
        <f t="shared" si="0"/>
        <v>46568</v>
      </c>
      <c r="D9" s="30" t="s">
        <v>34</v>
      </c>
      <c r="E9" s="30" t="s">
        <v>27</v>
      </c>
      <c r="F9" s="30" t="s">
        <v>28</v>
      </c>
      <c r="G9" s="30" t="s">
        <v>35</v>
      </c>
      <c r="H9" s="29">
        <v>46090</v>
      </c>
      <c r="I9" s="86">
        <v>358991.31697400002</v>
      </c>
      <c r="J9" s="87">
        <f t="shared" si="1"/>
        <v>1.3083333333333333</v>
      </c>
      <c r="K9" s="30" t="s">
        <v>30</v>
      </c>
      <c r="L9" s="30">
        <v>12</v>
      </c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22.5" customHeight="1">
      <c r="A10" s="122" t="s">
        <v>36</v>
      </c>
      <c r="B10" s="65">
        <v>45688</v>
      </c>
      <c r="C10" s="29">
        <f t="shared" si="0"/>
        <v>46402</v>
      </c>
      <c r="D10" s="30" t="s">
        <v>37</v>
      </c>
      <c r="E10" s="30" t="s">
        <v>27</v>
      </c>
      <c r="F10" s="30" t="s">
        <v>28</v>
      </c>
      <c r="G10" s="30" t="s">
        <v>35</v>
      </c>
      <c r="H10" s="29">
        <v>46125</v>
      </c>
      <c r="I10" s="86">
        <v>4726969.5644239997</v>
      </c>
      <c r="J10" s="87">
        <f t="shared" si="1"/>
        <v>0.75555555555555554</v>
      </c>
      <c r="K10" s="30" t="s">
        <v>30</v>
      </c>
      <c r="L10" s="30">
        <v>18</v>
      </c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22.5" customHeight="1">
      <c r="A11" s="122" t="s">
        <v>128</v>
      </c>
      <c r="B11" s="65">
        <v>46006</v>
      </c>
      <c r="C11" s="29">
        <f t="shared" si="0"/>
        <v>46538</v>
      </c>
      <c r="D11" s="28" t="s">
        <v>129</v>
      </c>
      <c r="E11" s="30" t="s">
        <v>27</v>
      </c>
      <c r="F11" s="30" t="s">
        <v>28</v>
      </c>
      <c r="G11" s="30" t="s">
        <v>35</v>
      </c>
      <c r="H11" s="29">
        <v>46125</v>
      </c>
      <c r="I11" s="86">
        <v>4726969.5599999996</v>
      </c>
      <c r="J11" s="87">
        <f t="shared" si="1"/>
        <v>1.1333333333333333</v>
      </c>
      <c r="K11" s="30" t="s">
        <v>30</v>
      </c>
      <c r="L11" s="30">
        <v>18</v>
      </c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22.5" customHeight="1">
      <c r="A12" s="122" t="s">
        <v>130</v>
      </c>
      <c r="B12" s="65">
        <v>46097</v>
      </c>
      <c r="C12" s="29">
        <f t="shared" si="0"/>
        <v>46295</v>
      </c>
      <c r="D12" s="30" t="s">
        <v>82</v>
      </c>
      <c r="E12" s="30" t="s">
        <v>74</v>
      </c>
      <c r="F12" s="30" t="s">
        <v>28</v>
      </c>
      <c r="G12" s="30" t="s">
        <v>47</v>
      </c>
      <c r="H12" s="29">
        <v>46125</v>
      </c>
      <c r="I12" s="86">
        <v>612.41</v>
      </c>
      <c r="J12" s="87">
        <f t="shared" si="1"/>
        <v>0.46388888888888891</v>
      </c>
      <c r="K12" s="30" t="s">
        <v>30</v>
      </c>
      <c r="L12" s="30">
        <v>18</v>
      </c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22.5" customHeight="1">
      <c r="A13" s="122" t="s">
        <v>46</v>
      </c>
      <c r="B13" s="65">
        <v>46080</v>
      </c>
      <c r="C13" s="29">
        <v>46568</v>
      </c>
      <c r="D13" s="30" t="s">
        <v>26</v>
      </c>
      <c r="E13" s="33" t="s">
        <v>27</v>
      </c>
      <c r="F13" s="33" t="s">
        <v>28</v>
      </c>
      <c r="G13" s="33" t="s">
        <v>47</v>
      </c>
      <c r="H13" s="29">
        <v>46125</v>
      </c>
      <c r="I13" s="86">
        <v>612.41</v>
      </c>
      <c r="J13" s="87">
        <f t="shared" si="1"/>
        <v>1.2138888888888888</v>
      </c>
      <c r="K13" s="30" t="s">
        <v>30</v>
      </c>
      <c r="L13" s="30">
        <v>18</v>
      </c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22.5" customHeight="1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22.5" customHeight="1">
      <c r="A15" s="21" t="s">
        <v>66</v>
      </c>
      <c r="B15" s="57"/>
      <c r="C15" s="57"/>
      <c r="D15" s="34"/>
      <c r="E15" s="90"/>
      <c r="F15" s="34"/>
      <c r="G15" s="34"/>
      <c r="H15" s="57"/>
      <c r="I15" s="90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22.5" customHeight="1">
      <c r="A16" s="21" t="s">
        <v>124</v>
      </c>
      <c r="B16" s="57"/>
      <c r="C16" s="57"/>
      <c r="D16" s="34"/>
      <c r="E16" s="90"/>
      <c r="F16" s="34"/>
      <c r="G16" s="34"/>
      <c r="H16" s="57"/>
      <c r="I16" s="90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22.5" customHeight="1">
      <c r="A17" s="1"/>
      <c r="B17" s="62"/>
      <c r="C17" s="62"/>
      <c r="D17" s="1"/>
      <c r="E17" s="1"/>
      <c r="F17" s="1"/>
      <c r="G17" s="1"/>
      <c r="H17" s="6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2.5" customHeight="1">
      <c r="A18" s="1"/>
      <c r="B18" s="62"/>
      <c r="C18" s="62"/>
      <c r="D18" s="1"/>
      <c r="E18" s="1"/>
      <c r="F18" s="1"/>
      <c r="G18" s="1"/>
      <c r="H18" s="6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2.5" customHeight="1">
      <c r="A19" s="1"/>
      <c r="B19" s="62"/>
      <c r="C19" s="62"/>
      <c r="D19" s="1"/>
      <c r="E19" s="1"/>
      <c r="F19" s="1"/>
      <c r="G19" s="1"/>
      <c r="H19" s="6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2.5" customHeight="1">
      <c r="A20" s="1"/>
      <c r="B20" s="62"/>
      <c r="C20" s="62"/>
      <c r="D20" s="1"/>
      <c r="E20" s="1"/>
      <c r="F20" s="1"/>
      <c r="G20" s="1"/>
      <c r="H20" s="6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2.5" customHeight="1">
      <c r="A21" s="1"/>
      <c r="B21" s="62"/>
      <c r="C21" s="62"/>
      <c r="D21" s="1"/>
      <c r="E21" s="1"/>
      <c r="F21" s="1"/>
      <c r="G21" s="1"/>
      <c r="H21" s="6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2.5" customHeight="1">
      <c r="A22" s="1"/>
      <c r="B22" s="62"/>
      <c r="C22" s="62"/>
      <c r="D22" s="1"/>
      <c r="E22" s="1"/>
      <c r="F22" s="1"/>
      <c r="G22" s="1"/>
      <c r="H22" s="6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2.5" customHeight="1">
      <c r="A23" s="1"/>
      <c r="B23" s="62"/>
      <c r="C23" s="62"/>
      <c r="D23" s="1"/>
      <c r="E23" s="1"/>
      <c r="F23" s="1"/>
      <c r="G23" s="1"/>
      <c r="H23" s="6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2.5" customHeight="1">
      <c r="A24" s="1"/>
      <c r="B24" s="62"/>
      <c r="C24" s="62"/>
      <c r="D24" s="1"/>
      <c r="E24" s="1"/>
      <c r="F24" s="1"/>
      <c r="G24" s="1"/>
      <c r="H24" s="6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2.5" customHeight="1">
      <c r="A25" s="1"/>
      <c r="B25" s="62"/>
      <c r="C25" s="62"/>
      <c r="D25" s="1"/>
      <c r="E25" s="1"/>
      <c r="F25" s="1"/>
      <c r="G25" s="1"/>
      <c r="H25" s="6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2.5" customHeight="1">
      <c r="A26" s="1"/>
      <c r="B26" s="62"/>
      <c r="C26" s="62"/>
      <c r="D26" s="1"/>
      <c r="E26" s="1"/>
      <c r="F26" s="1"/>
      <c r="G26" s="1"/>
      <c r="H26" s="6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2.5" customHeight="1">
      <c r="A27" s="1"/>
      <c r="B27" s="62"/>
      <c r="C27" s="62"/>
      <c r="D27" s="1"/>
      <c r="E27" s="1"/>
      <c r="F27" s="1"/>
      <c r="G27" s="1"/>
      <c r="H27" s="6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2.5" customHeight="1">
      <c r="A28" s="1"/>
      <c r="B28" s="62"/>
      <c r="C28" s="62"/>
      <c r="D28" s="1"/>
      <c r="E28" s="1"/>
      <c r="F28" s="1"/>
      <c r="G28" s="1"/>
      <c r="H28" s="6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2.5" customHeight="1">
      <c r="A29" s="1"/>
      <c r="B29" s="62"/>
      <c r="C29" s="62"/>
      <c r="D29" s="1"/>
      <c r="E29" s="1"/>
      <c r="F29" s="1"/>
      <c r="G29" s="1"/>
      <c r="H29" s="6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2.5" customHeight="1">
      <c r="A30" s="1"/>
      <c r="B30" s="62"/>
      <c r="C30" s="62"/>
      <c r="D30" s="1"/>
      <c r="E30" s="1"/>
      <c r="F30" s="1"/>
      <c r="G30" s="1"/>
      <c r="H30" s="6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2.5" customHeight="1">
      <c r="A31" s="1"/>
      <c r="B31" s="62"/>
      <c r="C31" s="62"/>
      <c r="D31" s="1"/>
      <c r="E31" s="1"/>
      <c r="F31" s="1"/>
      <c r="G31" s="1"/>
      <c r="H31" s="6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2.5" customHeight="1">
      <c r="A32" s="1"/>
      <c r="B32" s="62"/>
      <c r="C32" s="62"/>
      <c r="D32" s="1"/>
      <c r="E32" s="1"/>
      <c r="F32" s="1"/>
      <c r="G32" s="1"/>
      <c r="H32" s="6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2.5" customHeight="1">
      <c r="A33" s="1"/>
      <c r="B33" s="62"/>
      <c r="C33" s="62"/>
      <c r="D33" s="1"/>
      <c r="E33" s="1"/>
      <c r="F33" s="1"/>
      <c r="G33" s="1"/>
      <c r="H33" s="6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2.5" customHeight="1">
      <c r="A34" s="1"/>
      <c r="B34" s="62"/>
      <c r="C34" s="62"/>
      <c r="D34" s="1"/>
      <c r="E34" s="1"/>
      <c r="F34" s="1"/>
      <c r="G34" s="1"/>
      <c r="H34" s="6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2.5" customHeight="1">
      <c r="A35" s="1"/>
      <c r="B35" s="62"/>
      <c r="C35" s="62"/>
      <c r="D35" s="1"/>
      <c r="E35" s="1"/>
      <c r="F35" s="1"/>
      <c r="G35" s="1"/>
      <c r="H35" s="6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2.5" customHeight="1">
      <c r="A36" s="1"/>
      <c r="B36" s="62"/>
      <c r="C36" s="62"/>
      <c r="D36" s="1"/>
      <c r="E36" s="1"/>
      <c r="F36" s="1"/>
      <c r="G36" s="1"/>
      <c r="H36" s="6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2.5" customHeight="1">
      <c r="A37" s="1"/>
      <c r="B37" s="62"/>
      <c r="C37" s="62"/>
      <c r="D37" s="1"/>
      <c r="E37" s="1"/>
      <c r="F37" s="1"/>
      <c r="G37" s="1"/>
      <c r="H37" s="6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2.5" customHeight="1">
      <c r="A38" s="1"/>
      <c r="B38" s="62"/>
      <c r="C38" s="62"/>
      <c r="D38" s="1"/>
      <c r="E38" s="1"/>
      <c r="F38" s="1"/>
      <c r="G38" s="1"/>
      <c r="H38" s="6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2.5" customHeight="1">
      <c r="A39" s="1"/>
      <c r="B39" s="62"/>
      <c r="C39" s="62"/>
      <c r="D39" s="1"/>
      <c r="E39" s="1"/>
      <c r="F39" s="1"/>
      <c r="G39" s="1"/>
      <c r="H39" s="6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2.5" customHeight="1">
      <c r="A40" s="1"/>
      <c r="B40" s="62"/>
      <c r="C40" s="62"/>
      <c r="D40" s="1"/>
      <c r="E40" s="1"/>
      <c r="F40" s="1"/>
      <c r="G40" s="1"/>
      <c r="H40" s="6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2.5" customHeight="1">
      <c r="A41" s="1"/>
      <c r="B41" s="62"/>
      <c r="C41" s="62"/>
      <c r="D41" s="1"/>
      <c r="E41" s="1"/>
      <c r="F41" s="1"/>
      <c r="G41" s="1"/>
      <c r="H41" s="6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2.5" customHeight="1">
      <c r="A42" s="1"/>
      <c r="B42" s="62"/>
      <c r="C42" s="62"/>
      <c r="D42" s="1"/>
      <c r="E42" s="1"/>
      <c r="F42" s="1"/>
      <c r="G42" s="1"/>
      <c r="H42" s="6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2.5" customHeight="1">
      <c r="A43" s="1"/>
      <c r="B43" s="62"/>
      <c r="C43" s="62"/>
      <c r="D43" s="1"/>
      <c r="E43" s="1"/>
      <c r="F43" s="1"/>
      <c r="G43" s="1"/>
      <c r="H43" s="6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2.5" customHeight="1">
      <c r="A44" s="1"/>
      <c r="B44" s="62"/>
      <c r="C44" s="62"/>
      <c r="D44" s="1"/>
      <c r="E44" s="1"/>
      <c r="F44" s="1"/>
      <c r="G44" s="1"/>
      <c r="H44" s="6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2.5" customHeight="1">
      <c r="A45" s="1"/>
      <c r="B45" s="62"/>
      <c r="C45" s="62"/>
      <c r="D45" s="1"/>
      <c r="E45" s="1"/>
      <c r="F45" s="1"/>
      <c r="G45" s="1"/>
      <c r="H45" s="6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2.5" customHeight="1">
      <c r="A46" s="1"/>
      <c r="B46" s="62"/>
      <c r="C46" s="62"/>
      <c r="D46" s="1"/>
      <c r="E46" s="1"/>
      <c r="F46" s="1"/>
      <c r="G46" s="1"/>
      <c r="H46" s="6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2.5" customHeight="1">
      <c r="A47" s="1"/>
      <c r="B47" s="62"/>
      <c r="C47" s="62"/>
      <c r="D47" s="1"/>
      <c r="E47" s="1"/>
      <c r="F47" s="1"/>
      <c r="G47" s="1"/>
      <c r="H47" s="6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2.5" customHeight="1">
      <c r="A48" s="1"/>
      <c r="B48" s="62"/>
      <c r="C48" s="62"/>
      <c r="D48" s="1"/>
      <c r="E48" s="1"/>
      <c r="F48" s="1"/>
      <c r="G48" s="1"/>
      <c r="H48" s="6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2.5" customHeight="1">
      <c r="A49" s="1"/>
      <c r="B49" s="62"/>
      <c r="C49" s="62"/>
      <c r="D49" s="1"/>
      <c r="E49" s="1"/>
      <c r="F49" s="1"/>
      <c r="G49" s="1"/>
      <c r="H49" s="6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2.5" customHeight="1">
      <c r="A50" s="1"/>
      <c r="B50" s="62"/>
      <c r="C50" s="62"/>
      <c r="D50" s="1"/>
      <c r="E50" s="1"/>
      <c r="F50" s="1"/>
      <c r="G50" s="1"/>
      <c r="H50" s="6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2.5" customHeight="1">
      <c r="A51" s="1"/>
      <c r="B51" s="62"/>
      <c r="C51" s="62"/>
      <c r="D51" s="1"/>
      <c r="E51" s="1"/>
      <c r="F51" s="1"/>
      <c r="G51" s="1"/>
      <c r="H51" s="6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2.5" customHeight="1">
      <c r="A52" s="1"/>
      <c r="B52" s="62"/>
      <c r="C52" s="62"/>
      <c r="D52" s="1"/>
      <c r="E52" s="1"/>
      <c r="F52" s="1"/>
      <c r="G52" s="1"/>
      <c r="H52" s="6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2.5" customHeight="1">
      <c r="A53" s="1"/>
      <c r="B53" s="62"/>
      <c r="C53" s="62"/>
      <c r="D53" s="1"/>
      <c r="E53" s="1"/>
      <c r="F53" s="1"/>
      <c r="G53" s="1"/>
      <c r="H53" s="6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2.5" customHeight="1">
      <c r="A54" s="1"/>
      <c r="B54" s="62"/>
      <c r="C54" s="62"/>
      <c r="D54" s="1"/>
      <c r="E54" s="1"/>
      <c r="F54" s="1"/>
      <c r="G54" s="1"/>
      <c r="H54" s="6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2.5" customHeight="1">
      <c r="A55" s="1"/>
      <c r="B55" s="62"/>
      <c r="C55" s="62"/>
      <c r="D55" s="1"/>
      <c r="E55" s="1"/>
      <c r="F55" s="1"/>
      <c r="G55" s="1"/>
      <c r="H55" s="6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2.5" customHeight="1">
      <c r="A56" s="1"/>
      <c r="B56" s="62"/>
      <c r="C56" s="62"/>
      <c r="D56" s="1"/>
      <c r="E56" s="1"/>
      <c r="F56" s="1"/>
      <c r="G56" s="1"/>
      <c r="H56" s="6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2.5" customHeight="1">
      <c r="A57" s="1"/>
      <c r="B57" s="62"/>
      <c r="C57" s="62"/>
      <c r="D57" s="1"/>
      <c r="E57" s="1"/>
      <c r="F57" s="1"/>
      <c r="G57" s="1"/>
      <c r="H57" s="6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2.5" customHeight="1">
      <c r="A58" s="1"/>
      <c r="B58" s="62"/>
      <c r="C58" s="62"/>
      <c r="D58" s="1"/>
      <c r="E58" s="1"/>
      <c r="F58" s="1"/>
      <c r="G58" s="1"/>
      <c r="H58" s="6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2.5" customHeight="1">
      <c r="A59" s="1"/>
      <c r="B59" s="62"/>
      <c r="C59" s="62"/>
      <c r="D59" s="1"/>
      <c r="E59" s="1"/>
      <c r="F59" s="1"/>
      <c r="G59" s="1"/>
      <c r="H59" s="6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2.5" customHeight="1">
      <c r="A60" s="1"/>
      <c r="B60" s="62"/>
      <c r="C60" s="62"/>
      <c r="D60" s="1"/>
      <c r="E60" s="1"/>
      <c r="F60" s="1"/>
      <c r="G60" s="1"/>
      <c r="H60" s="6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2.5" customHeight="1">
      <c r="A61" s="1"/>
      <c r="B61" s="62"/>
      <c r="C61" s="62"/>
      <c r="D61" s="1"/>
      <c r="E61" s="1"/>
      <c r="F61" s="1"/>
      <c r="G61" s="1"/>
      <c r="H61" s="6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2.5" customHeight="1">
      <c r="A62" s="1"/>
      <c r="B62" s="62"/>
      <c r="C62" s="62"/>
      <c r="D62" s="1"/>
      <c r="E62" s="1"/>
      <c r="F62" s="1"/>
      <c r="G62" s="1"/>
      <c r="H62" s="6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2.5" customHeight="1">
      <c r="A63" s="1"/>
      <c r="B63" s="62"/>
      <c r="C63" s="62"/>
      <c r="D63" s="1"/>
      <c r="E63" s="1"/>
      <c r="F63" s="1"/>
      <c r="G63" s="1"/>
      <c r="H63" s="6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2.5" customHeight="1">
      <c r="A64" s="1"/>
      <c r="B64" s="62"/>
      <c r="C64" s="62"/>
      <c r="D64" s="1"/>
      <c r="E64" s="1"/>
      <c r="F64" s="1"/>
      <c r="G64" s="1"/>
      <c r="H64" s="6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2.5" customHeight="1">
      <c r="A65" s="1"/>
      <c r="B65" s="62"/>
      <c r="C65" s="62"/>
      <c r="D65" s="1"/>
      <c r="E65" s="1"/>
      <c r="F65" s="1"/>
      <c r="G65" s="1"/>
      <c r="H65" s="6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2.5" customHeight="1">
      <c r="A66" s="1"/>
      <c r="B66" s="62"/>
      <c r="C66" s="62"/>
      <c r="D66" s="1"/>
      <c r="E66" s="1"/>
      <c r="F66" s="1"/>
      <c r="G66" s="1"/>
      <c r="H66" s="6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2.5" customHeight="1">
      <c r="A67" s="1"/>
      <c r="B67" s="62"/>
      <c r="C67" s="62"/>
      <c r="D67" s="1"/>
      <c r="E67" s="1"/>
      <c r="F67" s="1"/>
      <c r="G67" s="1"/>
      <c r="H67" s="6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2.5" customHeight="1">
      <c r="A68" s="1"/>
      <c r="B68" s="62"/>
      <c r="C68" s="62"/>
      <c r="D68" s="1"/>
      <c r="E68" s="1"/>
      <c r="F68" s="1"/>
      <c r="G68" s="1"/>
      <c r="H68" s="6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2.5" customHeight="1">
      <c r="A69" s="1"/>
      <c r="B69" s="62"/>
      <c r="C69" s="62"/>
      <c r="D69" s="1"/>
      <c r="E69" s="1"/>
      <c r="F69" s="1"/>
      <c r="G69" s="1"/>
      <c r="H69" s="6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2.5" customHeight="1">
      <c r="A70" s="1"/>
      <c r="B70" s="62"/>
      <c r="C70" s="62"/>
      <c r="D70" s="1"/>
      <c r="E70" s="1"/>
      <c r="F70" s="1"/>
      <c r="G70" s="1"/>
      <c r="H70" s="6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2.5" customHeight="1">
      <c r="A71" s="1"/>
      <c r="B71" s="62"/>
      <c r="C71" s="62"/>
      <c r="D71" s="1"/>
      <c r="E71" s="1"/>
      <c r="F71" s="1"/>
      <c r="G71" s="1"/>
      <c r="H71" s="6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2.5" customHeight="1">
      <c r="A72" s="1"/>
      <c r="B72" s="62"/>
      <c r="C72" s="62"/>
      <c r="D72" s="1"/>
      <c r="E72" s="1"/>
      <c r="F72" s="1"/>
      <c r="G72" s="1"/>
      <c r="H72" s="6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2.5" customHeight="1">
      <c r="A73" s="1"/>
      <c r="B73" s="62"/>
      <c r="C73" s="62"/>
      <c r="D73" s="1"/>
      <c r="E73" s="1"/>
      <c r="F73" s="1"/>
      <c r="G73" s="1"/>
      <c r="H73" s="6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2.5" customHeight="1">
      <c r="A74" s="1"/>
      <c r="B74" s="62"/>
      <c r="C74" s="62"/>
      <c r="D74" s="1"/>
      <c r="E74" s="1"/>
      <c r="F74" s="1"/>
      <c r="G74" s="1"/>
      <c r="H74" s="6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2.5" customHeight="1">
      <c r="A75" s="1"/>
      <c r="B75" s="62"/>
      <c r="C75" s="62"/>
      <c r="D75" s="1"/>
      <c r="E75" s="1"/>
      <c r="F75" s="1"/>
      <c r="G75" s="1"/>
      <c r="H75" s="6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2.5" customHeight="1">
      <c r="A76" s="1"/>
      <c r="B76" s="62"/>
      <c r="C76" s="62"/>
      <c r="D76" s="1"/>
      <c r="E76" s="1"/>
      <c r="F76" s="1"/>
      <c r="G76" s="1"/>
      <c r="H76" s="6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2.5" customHeight="1">
      <c r="A77" s="1"/>
      <c r="B77" s="62"/>
      <c r="C77" s="62"/>
      <c r="D77" s="1"/>
      <c r="E77" s="1"/>
      <c r="F77" s="1"/>
      <c r="G77" s="1"/>
      <c r="H77" s="6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2.5" customHeight="1">
      <c r="A78" s="1"/>
      <c r="B78" s="62"/>
      <c r="C78" s="62"/>
      <c r="D78" s="1"/>
      <c r="E78" s="1"/>
      <c r="F78" s="1"/>
      <c r="G78" s="1"/>
      <c r="H78" s="6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2.5" customHeight="1">
      <c r="A79" s="1"/>
      <c r="B79" s="62"/>
      <c r="C79" s="62"/>
      <c r="D79" s="1"/>
      <c r="E79" s="1"/>
      <c r="F79" s="1"/>
      <c r="G79" s="1"/>
      <c r="H79" s="6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2.5" customHeight="1">
      <c r="A80" s="1"/>
      <c r="B80" s="62"/>
      <c r="C80" s="62"/>
      <c r="D80" s="1"/>
      <c r="E80" s="1"/>
      <c r="F80" s="1"/>
      <c r="G80" s="1"/>
      <c r="H80" s="6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2.5" customHeight="1">
      <c r="A81" s="1"/>
      <c r="B81" s="62"/>
      <c r="C81" s="62"/>
      <c r="D81" s="1"/>
      <c r="E81" s="1"/>
      <c r="F81" s="1"/>
      <c r="G81" s="1"/>
      <c r="H81" s="6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2.5" customHeight="1">
      <c r="A82" s="1"/>
      <c r="B82" s="62"/>
      <c r="C82" s="62"/>
      <c r="D82" s="1"/>
      <c r="E82" s="1"/>
      <c r="F82" s="1"/>
      <c r="G82" s="1"/>
      <c r="H82" s="6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2.5" customHeight="1">
      <c r="A83" s="1"/>
      <c r="B83" s="62"/>
      <c r="C83" s="62"/>
      <c r="D83" s="1"/>
      <c r="E83" s="1"/>
      <c r="F83" s="1"/>
      <c r="G83" s="1"/>
      <c r="H83" s="6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2.5" customHeight="1">
      <c r="A84" s="1"/>
      <c r="B84" s="62"/>
      <c r="C84" s="62"/>
      <c r="D84" s="1"/>
      <c r="E84" s="1"/>
      <c r="F84" s="1"/>
      <c r="G84" s="1"/>
      <c r="H84" s="6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2.5" customHeight="1">
      <c r="A85" s="1"/>
      <c r="B85" s="62"/>
      <c r="C85" s="62"/>
      <c r="D85" s="1"/>
      <c r="E85" s="1"/>
      <c r="F85" s="1"/>
      <c r="G85" s="1"/>
      <c r="H85" s="6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2.5" customHeight="1">
      <c r="A86" s="1"/>
      <c r="B86" s="62"/>
      <c r="C86" s="62"/>
      <c r="D86" s="1"/>
      <c r="E86" s="1"/>
      <c r="F86" s="1"/>
      <c r="G86" s="1"/>
      <c r="H86" s="6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2.5" customHeight="1">
      <c r="A87" s="1"/>
      <c r="B87" s="62"/>
      <c r="C87" s="62"/>
      <c r="D87" s="1"/>
      <c r="E87" s="1"/>
      <c r="F87" s="1"/>
      <c r="G87" s="1"/>
      <c r="H87" s="6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2.5" customHeight="1">
      <c r="A88" s="1"/>
      <c r="B88" s="62"/>
      <c r="C88" s="62"/>
      <c r="D88" s="1"/>
      <c r="E88" s="1"/>
      <c r="F88" s="1"/>
      <c r="G88" s="1"/>
      <c r="H88" s="6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2.5" customHeight="1">
      <c r="A89" s="1"/>
      <c r="B89" s="62"/>
      <c r="C89" s="62"/>
      <c r="D89" s="1"/>
      <c r="E89" s="1"/>
      <c r="F89" s="1"/>
      <c r="G89" s="1"/>
      <c r="H89" s="6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2.5" customHeight="1">
      <c r="A90" s="1"/>
      <c r="B90" s="62"/>
      <c r="C90" s="62"/>
      <c r="D90" s="1"/>
      <c r="E90" s="1"/>
      <c r="F90" s="1"/>
      <c r="G90" s="1"/>
      <c r="H90" s="6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2.5" customHeight="1">
      <c r="A91" s="1"/>
      <c r="B91" s="62"/>
      <c r="C91" s="62"/>
      <c r="D91" s="1"/>
      <c r="E91" s="1"/>
      <c r="F91" s="1"/>
      <c r="G91" s="1"/>
      <c r="H91" s="6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2.5" customHeight="1">
      <c r="A92" s="1"/>
      <c r="B92" s="62"/>
      <c r="C92" s="62"/>
      <c r="D92" s="1"/>
      <c r="E92" s="1"/>
      <c r="F92" s="1"/>
      <c r="G92" s="1"/>
      <c r="H92" s="6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2.5" customHeight="1">
      <c r="A93" s="1"/>
      <c r="B93" s="62"/>
      <c r="C93" s="62"/>
      <c r="D93" s="1"/>
      <c r="E93" s="1"/>
      <c r="F93" s="1"/>
      <c r="G93" s="1"/>
      <c r="H93" s="6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2.5" customHeight="1">
      <c r="A94" s="1"/>
      <c r="B94" s="62"/>
      <c r="C94" s="62"/>
      <c r="D94" s="1"/>
      <c r="E94" s="1"/>
      <c r="F94" s="1"/>
      <c r="G94" s="1"/>
      <c r="H94" s="6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2.5" customHeight="1">
      <c r="A95" s="1"/>
      <c r="B95" s="62"/>
      <c r="C95" s="62"/>
      <c r="D95" s="1"/>
      <c r="E95" s="1"/>
      <c r="F95" s="1"/>
      <c r="G95" s="1"/>
      <c r="H95" s="6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2.5" customHeight="1">
      <c r="A96" s="1"/>
      <c r="B96" s="62"/>
      <c r="C96" s="62"/>
      <c r="D96" s="1"/>
      <c r="E96" s="1"/>
      <c r="F96" s="1"/>
      <c r="G96" s="1"/>
      <c r="H96" s="6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2.5" customHeight="1">
      <c r="A97" s="1"/>
      <c r="B97" s="62"/>
      <c r="C97" s="62"/>
      <c r="D97" s="1"/>
      <c r="E97" s="1"/>
      <c r="F97" s="1"/>
      <c r="G97" s="1"/>
      <c r="H97" s="6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2.5" customHeight="1">
      <c r="A98" s="1"/>
      <c r="B98" s="62"/>
      <c r="C98" s="62"/>
      <c r="D98" s="1"/>
      <c r="E98" s="1"/>
      <c r="F98" s="1"/>
      <c r="G98" s="1"/>
      <c r="H98" s="6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2.5" customHeight="1">
      <c r="A99" s="1"/>
      <c r="B99" s="62"/>
      <c r="C99" s="62"/>
      <c r="D99" s="1"/>
      <c r="E99" s="1"/>
      <c r="F99" s="1"/>
      <c r="G99" s="1"/>
      <c r="H99" s="6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2.5" customHeight="1">
      <c r="A100" s="1"/>
      <c r="B100" s="62"/>
      <c r="C100" s="62"/>
      <c r="D100" s="1"/>
      <c r="E100" s="1"/>
      <c r="F100" s="1"/>
      <c r="G100" s="1"/>
      <c r="H100" s="6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2.5" customHeight="1">
      <c r="A101" s="1"/>
      <c r="B101" s="62"/>
      <c r="C101" s="62"/>
      <c r="D101" s="1"/>
      <c r="E101" s="1"/>
      <c r="F101" s="1"/>
      <c r="G101" s="1"/>
      <c r="H101" s="6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2.5" customHeight="1">
      <c r="A102" s="1"/>
      <c r="B102" s="62"/>
      <c r="C102" s="62"/>
      <c r="D102" s="1"/>
      <c r="E102" s="1"/>
      <c r="F102" s="1"/>
      <c r="G102" s="1"/>
      <c r="H102" s="6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2.5" customHeight="1">
      <c r="A103" s="1"/>
      <c r="B103" s="62"/>
      <c r="C103" s="62"/>
      <c r="D103" s="1"/>
      <c r="E103" s="1"/>
      <c r="F103" s="1"/>
      <c r="G103" s="1"/>
      <c r="H103" s="6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2.5" customHeight="1">
      <c r="A104" s="1"/>
      <c r="B104" s="62"/>
      <c r="C104" s="62"/>
      <c r="D104" s="1"/>
      <c r="E104" s="1"/>
      <c r="F104" s="1"/>
      <c r="G104" s="1"/>
      <c r="H104" s="6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2.5" customHeight="1">
      <c r="A105" s="1"/>
      <c r="B105" s="62"/>
      <c r="C105" s="62"/>
      <c r="D105" s="1"/>
      <c r="E105" s="1"/>
      <c r="F105" s="1"/>
      <c r="G105" s="1"/>
      <c r="H105" s="6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2.5" customHeight="1">
      <c r="A106" s="1"/>
      <c r="B106" s="62"/>
      <c r="C106" s="62"/>
      <c r="D106" s="1"/>
      <c r="E106" s="1"/>
      <c r="F106" s="1"/>
      <c r="G106" s="1"/>
      <c r="H106" s="6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2.5" customHeight="1">
      <c r="A107" s="1"/>
      <c r="B107" s="62"/>
      <c r="C107" s="62"/>
      <c r="D107" s="1"/>
      <c r="E107" s="1"/>
      <c r="F107" s="1"/>
      <c r="G107" s="1"/>
      <c r="H107" s="6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2.5" customHeight="1">
      <c r="A108" s="1"/>
      <c r="B108" s="62"/>
      <c r="C108" s="62"/>
      <c r="D108" s="1"/>
      <c r="E108" s="1"/>
      <c r="F108" s="1"/>
      <c r="G108" s="1"/>
      <c r="H108" s="6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2.5" customHeight="1">
      <c r="A109" s="1"/>
      <c r="B109" s="62"/>
      <c r="C109" s="62"/>
      <c r="D109" s="1"/>
      <c r="E109" s="1"/>
      <c r="F109" s="1"/>
      <c r="G109" s="1"/>
      <c r="H109" s="6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2.5" customHeight="1">
      <c r="A110" s="1"/>
      <c r="B110" s="62"/>
      <c r="C110" s="62"/>
      <c r="D110" s="1"/>
      <c r="E110" s="1"/>
      <c r="F110" s="1"/>
      <c r="G110" s="1"/>
      <c r="H110" s="6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2.5" customHeight="1">
      <c r="A111" s="1"/>
      <c r="B111" s="62"/>
      <c r="C111" s="62"/>
      <c r="D111" s="1"/>
      <c r="E111" s="1"/>
      <c r="F111" s="1"/>
      <c r="G111" s="1"/>
      <c r="H111" s="6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2.5" customHeight="1">
      <c r="A112" s="1"/>
      <c r="B112" s="62"/>
      <c r="C112" s="62"/>
      <c r="D112" s="1"/>
      <c r="E112" s="1"/>
      <c r="F112" s="1"/>
      <c r="G112" s="1"/>
      <c r="H112" s="6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2.5" customHeight="1">
      <c r="A113" s="1"/>
      <c r="B113" s="62"/>
      <c r="C113" s="62"/>
      <c r="D113" s="1"/>
      <c r="E113" s="1"/>
      <c r="F113" s="1"/>
      <c r="G113" s="1"/>
      <c r="H113" s="6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2.5" customHeight="1">
      <c r="A114" s="1"/>
      <c r="B114" s="62"/>
      <c r="C114" s="62"/>
      <c r="D114" s="1"/>
      <c r="E114" s="1"/>
      <c r="F114" s="1"/>
      <c r="G114" s="1"/>
      <c r="H114" s="6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2.5" customHeight="1">
      <c r="A115" s="1"/>
      <c r="B115" s="62"/>
      <c r="C115" s="62"/>
      <c r="D115" s="1"/>
      <c r="E115" s="1"/>
      <c r="F115" s="1"/>
      <c r="G115" s="1"/>
      <c r="H115" s="6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2.5" customHeight="1">
      <c r="A116" s="1"/>
      <c r="B116" s="62"/>
      <c r="C116" s="62"/>
      <c r="D116" s="1"/>
      <c r="E116" s="1"/>
      <c r="F116" s="1"/>
      <c r="G116" s="1"/>
      <c r="H116" s="6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2.5" customHeight="1">
      <c r="A117" s="1"/>
      <c r="B117" s="62"/>
      <c r="C117" s="62"/>
      <c r="D117" s="1"/>
      <c r="E117" s="1"/>
      <c r="F117" s="1"/>
      <c r="G117" s="1"/>
      <c r="H117" s="6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2.5" customHeight="1">
      <c r="A118" s="1"/>
      <c r="B118" s="62"/>
      <c r="C118" s="62"/>
      <c r="D118" s="1"/>
      <c r="E118" s="1"/>
      <c r="F118" s="1"/>
      <c r="G118" s="1"/>
      <c r="H118" s="6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2.5" customHeight="1">
      <c r="A119" s="1"/>
      <c r="B119" s="62"/>
      <c r="C119" s="62"/>
      <c r="D119" s="1"/>
      <c r="E119" s="1"/>
      <c r="F119" s="1"/>
      <c r="G119" s="1"/>
      <c r="H119" s="6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2.5" customHeight="1">
      <c r="A120" s="1"/>
      <c r="B120" s="62"/>
      <c r="C120" s="62"/>
      <c r="D120" s="1"/>
      <c r="E120" s="1"/>
      <c r="F120" s="1"/>
      <c r="G120" s="1"/>
      <c r="H120" s="6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2.5" customHeight="1">
      <c r="A121" s="1"/>
      <c r="B121" s="62"/>
      <c r="C121" s="62"/>
      <c r="D121" s="1"/>
      <c r="E121" s="1"/>
      <c r="F121" s="1"/>
      <c r="G121" s="1"/>
      <c r="H121" s="6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2.5" customHeight="1">
      <c r="A122" s="1"/>
      <c r="B122" s="62"/>
      <c r="C122" s="62"/>
      <c r="D122" s="1"/>
      <c r="E122" s="1"/>
      <c r="F122" s="1"/>
      <c r="G122" s="1"/>
      <c r="H122" s="6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2.5" customHeight="1">
      <c r="A123" s="1"/>
      <c r="B123" s="62"/>
      <c r="C123" s="62"/>
      <c r="D123" s="1"/>
      <c r="E123" s="1"/>
      <c r="F123" s="1"/>
      <c r="G123" s="1"/>
      <c r="H123" s="6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2.5" customHeight="1">
      <c r="A124" s="1"/>
      <c r="B124" s="62"/>
      <c r="C124" s="62"/>
      <c r="D124" s="1"/>
      <c r="E124" s="1"/>
      <c r="F124" s="1"/>
      <c r="G124" s="1"/>
      <c r="H124" s="6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2.5" customHeight="1">
      <c r="A125" s="1"/>
      <c r="B125" s="62"/>
      <c r="C125" s="62"/>
      <c r="D125" s="1"/>
      <c r="E125" s="1"/>
      <c r="F125" s="1"/>
      <c r="G125" s="1"/>
      <c r="H125" s="6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2.5" customHeight="1">
      <c r="A126" s="1"/>
      <c r="B126" s="62"/>
      <c r="C126" s="62"/>
      <c r="D126" s="1"/>
      <c r="E126" s="1"/>
      <c r="F126" s="1"/>
      <c r="G126" s="1"/>
      <c r="H126" s="6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2.5" customHeight="1">
      <c r="A127" s="1"/>
      <c r="B127" s="62"/>
      <c r="C127" s="62"/>
      <c r="D127" s="1"/>
      <c r="E127" s="1"/>
      <c r="F127" s="1"/>
      <c r="G127" s="1"/>
      <c r="H127" s="6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2.5" customHeight="1">
      <c r="A128" s="1"/>
      <c r="B128" s="62"/>
      <c r="C128" s="62"/>
      <c r="D128" s="1"/>
      <c r="E128" s="1"/>
      <c r="F128" s="1"/>
      <c r="G128" s="1"/>
      <c r="H128" s="6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2.5" customHeight="1">
      <c r="A129" s="1"/>
      <c r="B129" s="62"/>
      <c r="C129" s="62"/>
      <c r="D129" s="1"/>
      <c r="E129" s="1"/>
      <c r="F129" s="1"/>
      <c r="G129" s="1"/>
      <c r="H129" s="6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2.5" customHeight="1">
      <c r="A130" s="1"/>
      <c r="B130" s="62"/>
      <c r="C130" s="62"/>
      <c r="D130" s="1"/>
      <c r="E130" s="1"/>
      <c r="F130" s="1"/>
      <c r="G130" s="1"/>
      <c r="H130" s="6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2.5" customHeight="1">
      <c r="A131" s="1"/>
      <c r="B131" s="62"/>
      <c r="C131" s="62"/>
      <c r="D131" s="1"/>
      <c r="E131" s="1"/>
      <c r="F131" s="1"/>
      <c r="G131" s="1"/>
      <c r="H131" s="6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2.5" customHeight="1">
      <c r="A132" s="1"/>
      <c r="B132" s="62"/>
      <c r="C132" s="62"/>
      <c r="D132" s="1"/>
      <c r="E132" s="1"/>
      <c r="F132" s="1"/>
      <c r="G132" s="1"/>
      <c r="H132" s="6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2.5" customHeight="1">
      <c r="A133" s="1"/>
      <c r="B133" s="62"/>
      <c r="C133" s="62"/>
      <c r="D133" s="1"/>
      <c r="E133" s="1"/>
      <c r="F133" s="1"/>
      <c r="G133" s="1"/>
      <c r="H133" s="6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2.5" customHeight="1">
      <c r="A134" s="1"/>
      <c r="B134" s="62"/>
      <c r="C134" s="62"/>
      <c r="D134" s="1"/>
      <c r="E134" s="1"/>
      <c r="F134" s="1"/>
      <c r="G134" s="1"/>
      <c r="H134" s="6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2.5" customHeight="1">
      <c r="A135" s="1"/>
      <c r="B135" s="62"/>
      <c r="C135" s="62"/>
      <c r="D135" s="1"/>
      <c r="E135" s="1"/>
      <c r="F135" s="1"/>
      <c r="G135" s="1"/>
      <c r="H135" s="6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2.5" customHeight="1">
      <c r="A136" s="1"/>
      <c r="B136" s="62"/>
      <c r="C136" s="62"/>
      <c r="D136" s="1"/>
      <c r="E136" s="1"/>
      <c r="F136" s="1"/>
      <c r="G136" s="1"/>
      <c r="H136" s="6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2.5" customHeight="1">
      <c r="A137" s="1"/>
      <c r="B137" s="62"/>
      <c r="C137" s="62"/>
      <c r="D137" s="1"/>
      <c r="E137" s="1"/>
      <c r="F137" s="1"/>
      <c r="G137" s="1"/>
      <c r="H137" s="6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2.5" customHeight="1">
      <c r="A138" s="1"/>
      <c r="B138" s="62"/>
      <c r="C138" s="62"/>
      <c r="D138" s="1"/>
      <c r="E138" s="1"/>
      <c r="F138" s="1"/>
      <c r="G138" s="1"/>
      <c r="H138" s="6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2.5" customHeight="1">
      <c r="A139" s="1"/>
      <c r="B139" s="62"/>
      <c r="C139" s="62"/>
      <c r="D139" s="1"/>
      <c r="E139" s="1"/>
      <c r="F139" s="1"/>
      <c r="G139" s="1"/>
      <c r="H139" s="6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2.5" customHeight="1">
      <c r="A140" s="1"/>
      <c r="B140" s="62"/>
      <c r="C140" s="62"/>
      <c r="D140" s="1"/>
      <c r="E140" s="1"/>
      <c r="F140" s="1"/>
      <c r="G140" s="1"/>
      <c r="H140" s="6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2.5" customHeight="1">
      <c r="A141" s="1"/>
      <c r="B141" s="62"/>
      <c r="C141" s="62"/>
      <c r="D141" s="1"/>
      <c r="E141" s="1"/>
      <c r="F141" s="1"/>
      <c r="G141" s="1"/>
      <c r="H141" s="6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2.5" customHeight="1">
      <c r="A142" s="1"/>
      <c r="B142" s="62"/>
      <c r="C142" s="62"/>
      <c r="D142" s="1"/>
      <c r="E142" s="1"/>
      <c r="F142" s="1"/>
      <c r="G142" s="1"/>
      <c r="H142" s="6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2.5" customHeight="1">
      <c r="A143" s="1"/>
      <c r="B143" s="62"/>
      <c r="C143" s="62"/>
      <c r="D143" s="1"/>
      <c r="E143" s="1"/>
      <c r="F143" s="1"/>
      <c r="G143" s="1"/>
      <c r="H143" s="6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2.5" customHeight="1">
      <c r="A144" s="1"/>
      <c r="B144" s="62"/>
      <c r="C144" s="62"/>
      <c r="D144" s="1"/>
      <c r="E144" s="1"/>
      <c r="F144" s="1"/>
      <c r="G144" s="1"/>
      <c r="H144" s="6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2.5" customHeight="1">
      <c r="A145" s="1"/>
      <c r="B145" s="62"/>
      <c r="C145" s="62"/>
      <c r="D145" s="1"/>
      <c r="E145" s="1"/>
      <c r="F145" s="1"/>
      <c r="G145" s="1"/>
      <c r="H145" s="6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2.5" customHeight="1">
      <c r="A146" s="1"/>
      <c r="B146" s="62"/>
      <c r="C146" s="62"/>
      <c r="D146" s="1"/>
      <c r="E146" s="1"/>
      <c r="F146" s="1"/>
      <c r="G146" s="1"/>
      <c r="H146" s="6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2.5" customHeight="1">
      <c r="A147" s="1"/>
      <c r="B147" s="62"/>
      <c r="C147" s="62"/>
      <c r="D147" s="1"/>
      <c r="E147" s="1"/>
      <c r="F147" s="1"/>
      <c r="G147" s="1"/>
      <c r="H147" s="6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2.5" customHeight="1">
      <c r="A148" s="1"/>
      <c r="B148" s="62"/>
      <c r="C148" s="62"/>
      <c r="D148" s="1"/>
      <c r="E148" s="1"/>
      <c r="F148" s="1"/>
      <c r="G148" s="1"/>
      <c r="H148" s="6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2.5" customHeight="1">
      <c r="A149" s="1"/>
      <c r="B149" s="62"/>
      <c r="C149" s="62"/>
      <c r="D149" s="1"/>
      <c r="E149" s="1"/>
      <c r="F149" s="1"/>
      <c r="G149" s="1"/>
      <c r="H149" s="6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2.5" customHeight="1">
      <c r="A150" s="1"/>
      <c r="B150" s="62"/>
      <c r="C150" s="62"/>
      <c r="D150" s="1"/>
      <c r="E150" s="1"/>
      <c r="F150" s="1"/>
      <c r="G150" s="1"/>
      <c r="H150" s="6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2.5" customHeight="1">
      <c r="A151" s="1"/>
      <c r="B151" s="62"/>
      <c r="C151" s="62"/>
      <c r="D151" s="1"/>
      <c r="E151" s="1"/>
      <c r="F151" s="1"/>
      <c r="G151" s="1"/>
      <c r="H151" s="6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2.5" customHeight="1">
      <c r="A152" s="1"/>
      <c r="B152" s="62"/>
      <c r="C152" s="62"/>
      <c r="D152" s="1"/>
      <c r="E152" s="1"/>
      <c r="F152" s="1"/>
      <c r="G152" s="1"/>
      <c r="H152" s="6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2.5" customHeight="1">
      <c r="A153" s="1"/>
      <c r="B153" s="62"/>
      <c r="C153" s="62"/>
      <c r="D153" s="1"/>
      <c r="E153" s="1"/>
      <c r="F153" s="1"/>
      <c r="G153" s="1"/>
      <c r="H153" s="6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2.5" customHeight="1">
      <c r="A154" s="1"/>
      <c r="B154" s="62"/>
      <c r="C154" s="62"/>
      <c r="D154" s="1"/>
      <c r="E154" s="1"/>
      <c r="F154" s="1"/>
      <c r="G154" s="1"/>
      <c r="H154" s="6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2.5" customHeight="1">
      <c r="A155" s="1"/>
      <c r="B155" s="62"/>
      <c r="C155" s="62"/>
      <c r="D155" s="1"/>
      <c r="E155" s="1"/>
      <c r="F155" s="1"/>
      <c r="G155" s="1"/>
      <c r="H155" s="6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2.5" customHeight="1">
      <c r="A156" s="1"/>
      <c r="B156" s="62"/>
      <c r="C156" s="62"/>
      <c r="D156" s="1"/>
      <c r="E156" s="1"/>
      <c r="F156" s="1"/>
      <c r="G156" s="1"/>
      <c r="H156" s="6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2.5" customHeight="1">
      <c r="A157" s="1"/>
      <c r="B157" s="62"/>
      <c r="C157" s="62"/>
      <c r="D157" s="1"/>
      <c r="E157" s="1"/>
      <c r="F157" s="1"/>
      <c r="G157" s="1"/>
      <c r="H157" s="6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2.5" customHeight="1">
      <c r="A158" s="1"/>
      <c r="B158" s="62"/>
      <c r="C158" s="62"/>
      <c r="D158" s="1"/>
      <c r="E158" s="1"/>
      <c r="F158" s="1"/>
      <c r="G158" s="1"/>
      <c r="H158" s="6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2.5" customHeight="1">
      <c r="A159" s="1"/>
      <c r="B159" s="62"/>
      <c r="C159" s="62"/>
      <c r="D159" s="1"/>
      <c r="E159" s="1"/>
      <c r="F159" s="1"/>
      <c r="G159" s="1"/>
      <c r="H159" s="6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2.5" customHeight="1">
      <c r="A160" s="1"/>
      <c r="B160" s="62"/>
      <c r="C160" s="62"/>
      <c r="D160" s="1"/>
      <c r="E160" s="1"/>
      <c r="F160" s="1"/>
      <c r="G160" s="1"/>
      <c r="H160" s="6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2.5" customHeight="1">
      <c r="A161" s="1"/>
      <c r="B161" s="62"/>
      <c r="C161" s="62"/>
      <c r="D161" s="1"/>
      <c r="E161" s="1"/>
      <c r="F161" s="1"/>
      <c r="G161" s="1"/>
      <c r="H161" s="6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2.5" customHeight="1">
      <c r="A162" s="1"/>
      <c r="B162" s="62"/>
      <c r="C162" s="62"/>
      <c r="D162" s="1"/>
      <c r="E162" s="1"/>
      <c r="F162" s="1"/>
      <c r="G162" s="1"/>
      <c r="H162" s="6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2.5" customHeight="1">
      <c r="A163" s="1"/>
      <c r="B163" s="62"/>
      <c r="C163" s="62"/>
      <c r="D163" s="1"/>
      <c r="E163" s="1"/>
      <c r="F163" s="1"/>
      <c r="G163" s="1"/>
      <c r="H163" s="6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2.5" customHeight="1">
      <c r="A164" s="1"/>
      <c r="B164" s="62"/>
      <c r="C164" s="62"/>
      <c r="D164" s="1"/>
      <c r="E164" s="1"/>
      <c r="F164" s="1"/>
      <c r="G164" s="1"/>
      <c r="H164" s="6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2.5" customHeight="1">
      <c r="A165" s="1"/>
      <c r="B165" s="62"/>
      <c r="C165" s="62"/>
      <c r="D165" s="1"/>
      <c r="E165" s="1"/>
      <c r="F165" s="1"/>
      <c r="G165" s="1"/>
      <c r="H165" s="6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2.5" customHeight="1">
      <c r="A166" s="1"/>
      <c r="B166" s="62"/>
      <c r="C166" s="62"/>
      <c r="D166" s="1"/>
      <c r="E166" s="1"/>
      <c r="F166" s="1"/>
      <c r="G166" s="1"/>
      <c r="H166" s="6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2.5" customHeight="1">
      <c r="A167" s="1"/>
      <c r="B167" s="62"/>
      <c r="C167" s="62"/>
      <c r="D167" s="1"/>
      <c r="E167" s="1"/>
      <c r="F167" s="1"/>
      <c r="G167" s="1"/>
      <c r="H167" s="6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2.5" customHeight="1">
      <c r="A168" s="1"/>
      <c r="B168" s="62"/>
      <c r="C168" s="62"/>
      <c r="D168" s="1"/>
      <c r="E168" s="1"/>
      <c r="F168" s="1"/>
      <c r="G168" s="1"/>
      <c r="H168" s="6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2.5" customHeight="1">
      <c r="A169" s="1"/>
      <c r="B169" s="62"/>
      <c r="C169" s="62"/>
      <c r="D169" s="1"/>
      <c r="E169" s="1"/>
      <c r="F169" s="1"/>
      <c r="G169" s="1"/>
      <c r="H169" s="6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2.5" customHeight="1">
      <c r="A170" s="1"/>
      <c r="B170" s="62"/>
      <c r="C170" s="62"/>
      <c r="D170" s="1"/>
      <c r="E170" s="1"/>
      <c r="F170" s="1"/>
      <c r="G170" s="1"/>
      <c r="H170" s="6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2.5" customHeight="1">
      <c r="A171" s="1"/>
      <c r="B171" s="62"/>
      <c r="C171" s="62"/>
      <c r="D171" s="1"/>
      <c r="E171" s="1"/>
      <c r="F171" s="1"/>
      <c r="G171" s="1"/>
      <c r="H171" s="6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2.5" customHeight="1">
      <c r="A172" s="1"/>
      <c r="B172" s="62"/>
      <c r="C172" s="62"/>
      <c r="D172" s="1"/>
      <c r="E172" s="1"/>
      <c r="F172" s="1"/>
      <c r="G172" s="1"/>
      <c r="H172" s="6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2.5" customHeight="1">
      <c r="A173" s="1"/>
      <c r="B173" s="62"/>
      <c r="C173" s="62"/>
      <c r="D173" s="1"/>
      <c r="E173" s="1"/>
      <c r="F173" s="1"/>
      <c r="G173" s="1"/>
      <c r="H173" s="6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2.5" customHeight="1">
      <c r="A174" s="1"/>
      <c r="B174" s="62"/>
      <c r="C174" s="62"/>
      <c r="D174" s="1"/>
      <c r="E174" s="1"/>
      <c r="F174" s="1"/>
      <c r="G174" s="1"/>
      <c r="H174" s="6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2.5" customHeight="1">
      <c r="A175" s="1"/>
      <c r="B175" s="62"/>
      <c r="C175" s="62"/>
      <c r="D175" s="1"/>
      <c r="E175" s="1"/>
      <c r="F175" s="1"/>
      <c r="G175" s="1"/>
      <c r="H175" s="6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2.5" customHeight="1">
      <c r="A176" s="1"/>
      <c r="B176" s="62"/>
      <c r="C176" s="62"/>
      <c r="D176" s="1"/>
      <c r="E176" s="1"/>
      <c r="F176" s="1"/>
      <c r="G176" s="1"/>
      <c r="H176" s="6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2.5" customHeight="1">
      <c r="A177" s="1"/>
      <c r="B177" s="62"/>
      <c r="C177" s="62"/>
      <c r="D177" s="1"/>
      <c r="E177" s="1"/>
      <c r="F177" s="1"/>
      <c r="G177" s="1"/>
      <c r="H177" s="6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2.5" customHeight="1">
      <c r="A178" s="1"/>
      <c r="B178" s="62"/>
      <c r="C178" s="62"/>
      <c r="D178" s="1"/>
      <c r="E178" s="1"/>
      <c r="F178" s="1"/>
      <c r="G178" s="1"/>
      <c r="H178" s="6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2.5" customHeight="1">
      <c r="A179" s="1"/>
      <c r="B179" s="62"/>
      <c r="C179" s="62"/>
      <c r="D179" s="1"/>
      <c r="E179" s="1"/>
      <c r="F179" s="1"/>
      <c r="G179" s="1"/>
      <c r="H179" s="6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2.5" customHeight="1">
      <c r="A180" s="1"/>
      <c r="B180" s="62"/>
      <c r="C180" s="62"/>
      <c r="D180" s="1"/>
      <c r="E180" s="1"/>
      <c r="F180" s="1"/>
      <c r="G180" s="1"/>
      <c r="H180" s="6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2.5" customHeight="1">
      <c r="A181" s="1"/>
      <c r="B181" s="62"/>
      <c r="C181" s="62"/>
      <c r="D181" s="1"/>
      <c r="E181" s="1"/>
      <c r="F181" s="1"/>
      <c r="G181" s="1"/>
      <c r="H181" s="6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2.5" customHeight="1">
      <c r="A182" s="1"/>
      <c r="B182" s="62"/>
      <c r="C182" s="62"/>
      <c r="D182" s="1"/>
      <c r="E182" s="1"/>
      <c r="F182" s="1"/>
      <c r="G182" s="1"/>
      <c r="H182" s="6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2.5" customHeight="1">
      <c r="A183" s="1"/>
      <c r="B183" s="62"/>
      <c r="C183" s="62"/>
      <c r="D183" s="1"/>
      <c r="E183" s="1"/>
      <c r="F183" s="1"/>
      <c r="G183" s="1"/>
      <c r="H183" s="6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2.5" customHeight="1">
      <c r="A184" s="1"/>
      <c r="B184" s="62"/>
      <c r="C184" s="62"/>
      <c r="D184" s="1"/>
      <c r="E184" s="1"/>
      <c r="F184" s="1"/>
      <c r="G184" s="1"/>
      <c r="H184" s="6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2.5" customHeight="1">
      <c r="A185" s="1"/>
      <c r="B185" s="62"/>
      <c r="C185" s="62"/>
      <c r="D185" s="1"/>
      <c r="E185" s="1"/>
      <c r="F185" s="1"/>
      <c r="G185" s="1"/>
      <c r="H185" s="6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2.5" customHeight="1">
      <c r="A186" s="1"/>
      <c r="B186" s="62"/>
      <c r="C186" s="62"/>
      <c r="D186" s="1"/>
      <c r="E186" s="1"/>
      <c r="F186" s="1"/>
      <c r="G186" s="1"/>
      <c r="H186" s="6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2.5" customHeight="1">
      <c r="A187" s="1"/>
      <c r="B187" s="62"/>
      <c r="C187" s="62"/>
      <c r="D187" s="1"/>
      <c r="E187" s="1"/>
      <c r="F187" s="1"/>
      <c r="G187" s="1"/>
      <c r="H187" s="6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2.5" customHeight="1">
      <c r="A188" s="1"/>
      <c r="B188" s="62"/>
      <c r="C188" s="62"/>
      <c r="D188" s="1"/>
      <c r="E188" s="1"/>
      <c r="F188" s="1"/>
      <c r="G188" s="1"/>
      <c r="H188" s="6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2.5" customHeight="1">
      <c r="A189" s="1"/>
      <c r="B189" s="62"/>
      <c r="C189" s="62"/>
      <c r="D189" s="1"/>
      <c r="E189" s="1"/>
      <c r="F189" s="1"/>
      <c r="G189" s="1"/>
      <c r="H189" s="6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2.5" customHeight="1">
      <c r="A190" s="1"/>
      <c r="B190" s="62"/>
      <c r="C190" s="62"/>
      <c r="D190" s="1"/>
      <c r="E190" s="1"/>
      <c r="F190" s="1"/>
      <c r="G190" s="1"/>
      <c r="H190" s="6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2.5" customHeight="1">
      <c r="A191" s="1"/>
      <c r="B191" s="62"/>
      <c r="C191" s="62"/>
      <c r="D191" s="1"/>
      <c r="E191" s="1"/>
      <c r="F191" s="1"/>
      <c r="G191" s="1"/>
      <c r="H191" s="6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2.5" customHeight="1">
      <c r="A192" s="1"/>
      <c r="B192" s="62"/>
      <c r="C192" s="62"/>
      <c r="D192" s="1"/>
      <c r="E192" s="1"/>
      <c r="F192" s="1"/>
      <c r="G192" s="1"/>
      <c r="H192" s="6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2.5" customHeight="1">
      <c r="A193" s="1"/>
      <c r="B193" s="62"/>
      <c r="C193" s="62"/>
      <c r="D193" s="1"/>
      <c r="E193" s="1"/>
      <c r="F193" s="1"/>
      <c r="G193" s="1"/>
      <c r="H193" s="6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2.5" customHeight="1">
      <c r="A194" s="1"/>
      <c r="B194" s="62"/>
      <c r="C194" s="62"/>
      <c r="D194" s="1"/>
      <c r="E194" s="1"/>
      <c r="F194" s="1"/>
      <c r="G194" s="1"/>
      <c r="H194" s="6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2.5" customHeight="1">
      <c r="A195" s="1"/>
      <c r="B195" s="62"/>
      <c r="C195" s="62"/>
      <c r="D195" s="1"/>
      <c r="E195" s="1"/>
      <c r="F195" s="1"/>
      <c r="G195" s="1"/>
      <c r="H195" s="6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2.5" customHeight="1">
      <c r="A196" s="1"/>
      <c r="B196" s="62"/>
      <c r="C196" s="62"/>
      <c r="D196" s="1"/>
      <c r="E196" s="1"/>
      <c r="F196" s="1"/>
      <c r="G196" s="1"/>
      <c r="H196" s="6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2.5" customHeight="1">
      <c r="A197" s="1"/>
      <c r="B197" s="62"/>
      <c r="C197" s="62"/>
      <c r="D197" s="1"/>
      <c r="E197" s="1"/>
      <c r="F197" s="1"/>
      <c r="G197" s="1"/>
      <c r="H197" s="6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2.5" customHeight="1">
      <c r="A198" s="1"/>
      <c r="B198" s="62"/>
      <c r="C198" s="62"/>
      <c r="D198" s="1"/>
      <c r="E198" s="1"/>
      <c r="F198" s="1"/>
      <c r="G198" s="1"/>
      <c r="H198" s="6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2.5" customHeight="1">
      <c r="A199" s="1"/>
      <c r="B199" s="62"/>
      <c r="C199" s="62"/>
      <c r="D199" s="1"/>
      <c r="E199" s="1"/>
      <c r="F199" s="1"/>
      <c r="G199" s="1"/>
      <c r="H199" s="6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2.5" customHeight="1">
      <c r="A200" s="1"/>
      <c r="B200" s="62"/>
      <c r="C200" s="62"/>
      <c r="D200" s="1"/>
      <c r="E200" s="1"/>
      <c r="F200" s="1"/>
      <c r="G200" s="1"/>
      <c r="H200" s="6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2.5" customHeight="1">
      <c r="A201" s="1"/>
      <c r="B201" s="62"/>
      <c r="C201" s="62"/>
      <c r="D201" s="1"/>
      <c r="E201" s="1"/>
      <c r="F201" s="1"/>
      <c r="G201" s="1"/>
      <c r="H201" s="6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2.5" customHeight="1">
      <c r="A202" s="1"/>
      <c r="B202" s="62"/>
      <c r="C202" s="62"/>
      <c r="D202" s="1"/>
      <c r="E202" s="1"/>
      <c r="F202" s="1"/>
      <c r="G202" s="1"/>
      <c r="H202" s="6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2.5" customHeight="1">
      <c r="A203" s="1"/>
      <c r="B203" s="62"/>
      <c r="C203" s="62"/>
      <c r="D203" s="1"/>
      <c r="E203" s="1"/>
      <c r="F203" s="1"/>
      <c r="G203" s="1"/>
      <c r="H203" s="6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2.5" customHeight="1">
      <c r="A204" s="1"/>
      <c r="B204" s="62"/>
      <c r="C204" s="62"/>
      <c r="D204" s="1"/>
      <c r="E204" s="1"/>
      <c r="F204" s="1"/>
      <c r="G204" s="1"/>
      <c r="H204" s="6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2.5" customHeight="1">
      <c r="A205" s="1"/>
      <c r="B205" s="62"/>
      <c r="C205" s="62"/>
      <c r="D205" s="1"/>
      <c r="E205" s="1"/>
      <c r="F205" s="1"/>
      <c r="G205" s="1"/>
      <c r="H205" s="6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2.5" customHeight="1">
      <c r="A206" s="1"/>
      <c r="B206" s="62"/>
      <c r="C206" s="62"/>
      <c r="D206" s="1"/>
      <c r="E206" s="1"/>
      <c r="F206" s="1"/>
      <c r="G206" s="1"/>
      <c r="H206" s="6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2.5" customHeight="1">
      <c r="A207" s="1"/>
      <c r="B207" s="62"/>
      <c r="C207" s="62"/>
      <c r="D207" s="1"/>
      <c r="E207" s="1"/>
      <c r="F207" s="1"/>
      <c r="G207" s="1"/>
      <c r="H207" s="6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2.5" customHeight="1">
      <c r="A208" s="1"/>
      <c r="B208" s="62"/>
      <c r="C208" s="62"/>
      <c r="D208" s="1"/>
      <c r="E208" s="1"/>
      <c r="F208" s="1"/>
      <c r="G208" s="1"/>
      <c r="H208" s="6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2.5" customHeight="1">
      <c r="A209" s="1"/>
      <c r="B209" s="62"/>
      <c r="C209" s="62"/>
      <c r="D209" s="1"/>
      <c r="E209" s="1"/>
      <c r="F209" s="1"/>
      <c r="G209" s="1"/>
      <c r="H209" s="6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2.5" customHeight="1">
      <c r="A210" s="1"/>
      <c r="B210" s="62"/>
      <c r="C210" s="62"/>
      <c r="D210" s="1"/>
      <c r="E210" s="1"/>
      <c r="F210" s="1"/>
      <c r="G210" s="1"/>
      <c r="H210" s="6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2.5" customHeight="1">
      <c r="A211" s="1"/>
      <c r="B211" s="62"/>
      <c r="C211" s="62"/>
      <c r="D211" s="1"/>
      <c r="E211" s="1"/>
      <c r="F211" s="1"/>
      <c r="G211" s="1"/>
      <c r="H211" s="6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2.5" customHeight="1">
      <c r="A212" s="1"/>
      <c r="B212" s="62"/>
      <c r="C212" s="62"/>
      <c r="D212" s="1"/>
      <c r="E212" s="1"/>
      <c r="F212" s="1"/>
      <c r="G212" s="1"/>
      <c r="H212" s="6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2.5" customHeight="1">
      <c r="A213" s="1"/>
      <c r="B213" s="62"/>
      <c r="C213" s="62"/>
      <c r="D213" s="1"/>
      <c r="E213" s="1"/>
      <c r="F213" s="1"/>
      <c r="G213" s="1"/>
      <c r="H213" s="6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/>
    <row r="215" spans="1:26" ht="15.75" customHeight="1"/>
    <row r="216" spans="1:26" ht="15.75" customHeight="1"/>
    <row r="217" spans="1:26" ht="15.75" customHeight="1"/>
    <row r="218" spans="1:26" ht="15.75" customHeight="1"/>
    <row r="219" spans="1:26" ht="15.75" customHeight="1"/>
    <row r="220" spans="1:26" ht="15.75" customHeight="1"/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K1:L1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opLeftCell="E1" zoomScale="82" workbookViewId="0">
      <pane ySplit="10" topLeftCell="A17" activePane="bottomLeft" state="frozen"/>
      <selection pane="bottomLeft" activeCell="H23" sqref="H23"/>
    </sheetView>
  </sheetViews>
  <sheetFormatPr baseColWidth="10" defaultColWidth="14.453125" defaultRowHeight="15" customHeight="1"/>
  <cols>
    <col min="1" max="1" width="28.54296875" customWidth="1"/>
    <col min="2" max="2" width="15.08984375" customWidth="1"/>
    <col min="3" max="3" width="18" customWidth="1"/>
    <col min="4" max="4" width="37.08984375" customWidth="1"/>
    <col min="5" max="5" width="21.26953125" customWidth="1"/>
    <col min="6" max="6" width="20.453125" customWidth="1"/>
    <col min="7" max="7" width="12.08984375" customWidth="1"/>
    <col min="8" max="8" width="18.08984375" customWidth="1"/>
    <col min="9" max="9" width="16.54296875" customWidth="1"/>
    <col min="10" max="10" width="32.453125" customWidth="1"/>
    <col min="11" max="11" width="16.54296875" customWidth="1"/>
    <col min="12" max="12" width="24.08984375" customWidth="1"/>
    <col min="13" max="13" width="15.54296875" customWidth="1"/>
    <col min="14" max="14" width="9.26953125" customWidth="1"/>
    <col min="15" max="15" width="17.54296875" customWidth="1"/>
    <col min="16" max="16" width="17.453125" customWidth="1"/>
    <col min="17" max="17" width="19.26953125" customWidth="1"/>
    <col min="18" max="18" width="14.08984375" customWidth="1"/>
    <col min="19" max="26" width="11.54296875" customWidth="1"/>
  </cols>
  <sheetData>
    <row r="1" spans="1:26" ht="49.5" customHeight="1">
      <c r="A1" s="16" t="s">
        <v>9</v>
      </c>
      <c r="B1" s="91"/>
      <c r="C1" s="17"/>
      <c r="D1" s="19"/>
      <c r="E1" s="19"/>
      <c r="F1" s="19"/>
      <c r="G1" s="19"/>
      <c r="H1" s="17"/>
      <c r="I1" s="19"/>
      <c r="J1" s="92"/>
      <c r="K1" s="19"/>
      <c r="L1" s="19"/>
      <c r="M1" s="125" t="s">
        <v>10</v>
      </c>
      <c r="N1" s="124"/>
      <c r="O1" s="20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5.75" customHeight="1">
      <c r="A2" s="93" t="s">
        <v>131</v>
      </c>
      <c r="B2" s="17"/>
      <c r="C2" s="17"/>
      <c r="D2" s="19"/>
      <c r="E2" s="19"/>
      <c r="F2" s="19"/>
      <c r="G2" s="19"/>
      <c r="H2" s="17"/>
      <c r="I2" s="19"/>
      <c r="J2" s="92"/>
      <c r="K2" s="19"/>
      <c r="L2" s="19"/>
      <c r="M2" s="78"/>
      <c r="N2" s="78"/>
      <c r="O2" s="20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5.75" customHeight="1">
      <c r="A3" s="21"/>
      <c r="B3" s="22"/>
      <c r="C3" s="22"/>
      <c r="D3" s="21"/>
      <c r="E3" s="21"/>
      <c r="F3" s="21"/>
      <c r="G3" s="21"/>
      <c r="H3" s="22"/>
      <c r="I3" s="21"/>
      <c r="J3" s="94"/>
      <c r="K3" s="21"/>
      <c r="L3" s="21"/>
      <c r="M3" s="21"/>
      <c r="N3" s="21"/>
      <c r="O3" s="52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6.5" customHeight="1">
      <c r="A4" s="25" t="s">
        <v>11</v>
      </c>
      <c r="B4" s="26" t="s">
        <v>12</v>
      </c>
      <c r="C4" s="26" t="s">
        <v>13</v>
      </c>
      <c r="D4" s="25" t="s">
        <v>14</v>
      </c>
      <c r="E4" s="25" t="s">
        <v>15</v>
      </c>
      <c r="F4" s="25" t="s">
        <v>69</v>
      </c>
      <c r="G4" s="25" t="s">
        <v>17</v>
      </c>
      <c r="H4" s="26" t="s">
        <v>18</v>
      </c>
      <c r="I4" s="95" t="s">
        <v>19</v>
      </c>
      <c r="J4" s="95" t="s">
        <v>132</v>
      </c>
      <c r="K4" s="25" t="s">
        <v>21</v>
      </c>
      <c r="L4" s="25" t="s">
        <v>22</v>
      </c>
      <c r="M4" s="25" t="s">
        <v>133</v>
      </c>
      <c r="N4" s="25" t="s">
        <v>24</v>
      </c>
      <c r="O4" s="96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6.5" customHeight="1">
      <c r="A5" s="27"/>
      <c r="B5" s="97"/>
      <c r="C5" s="97"/>
      <c r="D5" s="27"/>
      <c r="E5" s="27"/>
      <c r="F5" s="27"/>
      <c r="G5" s="27"/>
      <c r="H5" s="97"/>
      <c r="I5" s="98"/>
      <c r="J5" s="98"/>
      <c r="K5" s="27"/>
      <c r="L5" s="27"/>
      <c r="M5" s="27"/>
      <c r="N5" s="27"/>
      <c r="O5" s="96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5.75" customHeight="1">
      <c r="A6" s="21" t="s">
        <v>66</v>
      </c>
      <c r="B6" s="22"/>
      <c r="C6" s="22"/>
      <c r="D6" s="21"/>
      <c r="E6" s="21"/>
      <c r="F6" s="21"/>
      <c r="G6" s="21"/>
      <c r="H6" s="22"/>
      <c r="I6" s="21"/>
      <c r="J6" s="94"/>
      <c r="K6" s="21"/>
      <c r="L6" s="21"/>
      <c r="M6" s="21"/>
      <c r="N6" s="21"/>
      <c r="O6" s="99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5.75" customHeight="1">
      <c r="A7" s="21"/>
      <c r="B7" s="22"/>
      <c r="C7" s="22"/>
      <c r="D7" s="21"/>
      <c r="E7" s="21"/>
      <c r="F7" s="21"/>
      <c r="G7" s="21"/>
      <c r="H7" s="22"/>
      <c r="I7" s="21"/>
      <c r="J7" s="94"/>
      <c r="K7" s="21"/>
      <c r="L7" s="21"/>
      <c r="M7" s="21"/>
      <c r="N7" s="21"/>
      <c r="O7" s="52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5.75" customHeight="1">
      <c r="A8" s="93" t="s">
        <v>134</v>
      </c>
      <c r="B8" s="22"/>
      <c r="C8" s="22"/>
      <c r="D8" s="21"/>
      <c r="E8" s="21"/>
      <c r="F8" s="21"/>
      <c r="G8" s="21"/>
      <c r="H8" s="22"/>
      <c r="I8" s="21"/>
      <c r="J8" s="94"/>
      <c r="K8" s="21"/>
      <c r="L8" s="21"/>
      <c r="M8" s="21"/>
      <c r="N8" s="21"/>
      <c r="O8" s="100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</row>
    <row r="9" spans="1:26" ht="15.75" customHeight="1">
      <c r="A9" s="21"/>
      <c r="B9" s="22"/>
      <c r="C9" s="22"/>
      <c r="D9" s="21"/>
      <c r="E9" s="21"/>
      <c r="F9" s="21"/>
      <c r="G9" s="21"/>
      <c r="H9" s="22"/>
      <c r="I9" s="53"/>
      <c r="J9" s="94"/>
      <c r="K9" s="21"/>
      <c r="L9" s="21"/>
      <c r="M9" s="21"/>
      <c r="N9" s="21"/>
      <c r="O9" s="99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35.25" customHeight="1">
      <c r="A10" s="102" t="s">
        <v>135</v>
      </c>
      <c r="B10" s="103" t="s">
        <v>12</v>
      </c>
      <c r="C10" s="103" t="s">
        <v>13</v>
      </c>
      <c r="D10" s="102" t="s">
        <v>14</v>
      </c>
      <c r="E10" s="102" t="s">
        <v>15</v>
      </c>
      <c r="F10" s="102" t="s">
        <v>69</v>
      </c>
      <c r="G10" s="25" t="s">
        <v>17</v>
      </c>
      <c r="H10" s="103" t="s">
        <v>18</v>
      </c>
      <c r="I10" s="102" t="s">
        <v>136</v>
      </c>
      <c r="J10" s="102" t="s">
        <v>137</v>
      </c>
      <c r="K10" s="102" t="s">
        <v>138</v>
      </c>
      <c r="L10" s="102" t="s">
        <v>22</v>
      </c>
      <c r="M10" s="102" t="s">
        <v>23</v>
      </c>
      <c r="N10" s="102" t="s">
        <v>24</v>
      </c>
      <c r="O10" s="99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5.75" customHeight="1">
      <c r="A11" s="30" t="s">
        <v>139</v>
      </c>
      <c r="B11" s="29">
        <v>45947</v>
      </c>
      <c r="C11" s="29">
        <v>46052</v>
      </c>
      <c r="D11" s="30" t="s">
        <v>82</v>
      </c>
      <c r="E11" s="30" t="s">
        <v>74</v>
      </c>
      <c r="F11" s="30" t="s">
        <v>28</v>
      </c>
      <c r="G11" s="29" t="s">
        <v>47</v>
      </c>
      <c r="H11" s="85">
        <v>46034</v>
      </c>
      <c r="I11" s="86">
        <v>2355.7070349999999</v>
      </c>
      <c r="J11" s="86" t="s">
        <v>140</v>
      </c>
      <c r="K11" s="86">
        <v>2338.13</v>
      </c>
      <c r="L11" s="87">
        <f t="shared" ref="L11:L22" si="0">YEARFRAC(H11,C11)</f>
        <v>0.05</v>
      </c>
      <c r="M11" s="88" t="s">
        <v>30</v>
      </c>
      <c r="N11" s="88" t="s">
        <v>141</v>
      </c>
      <c r="O11" s="104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26" ht="16.5">
      <c r="A12" s="28" t="s">
        <v>88</v>
      </c>
      <c r="B12" s="65">
        <v>46038</v>
      </c>
      <c r="C12" s="65">
        <v>46080</v>
      </c>
      <c r="D12" s="28" t="s">
        <v>82</v>
      </c>
      <c r="E12" s="28" t="s">
        <v>74</v>
      </c>
      <c r="F12" s="28" t="s">
        <v>28</v>
      </c>
      <c r="G12" s="65" t="s">
        <v>47</v>
      </c>
      <c r="H12" s="85">
        <v>46049</v>
      </c>
      <c r="I12" s="86">
        <v>2266.106894</v>
      </c>
      <c r="J12" s="86" t="s">
        <v>139</v>
      </c>
      <c r="K12" s="105">
        <v>2256.0700000000002</v>
      </c>
      <c r="L12" s="87">
        <f t="shared" si="0"/>
        <v>8.3333333333333329E-2</v>
      </c>
      <c r="M12" s="88" t="s">
        <v>30</v>
      </c>
      <c r="N12" s="88">
        <v>4</v>
      </c>
      <c r="O12" s="104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1:26" ht="16.5">
      <c r="A13" s="28" t="s">
        <v>94</v>
      </c>
      <c r="B13" s="65">
        <v>45930</v>
      </c>
      <c r="C13" s="65">
        <v>46142</v>
      </c>
      <c r="D13" s="28" t="s">
        <v>82</v>
      </c>
      <c r="E13" s="89" t="s">
        <v>74</v>
      </c>
      <c r="F13" s="28" t="s">
        <v>28</v>
      </c>
      <c r="G13" s="65" t="s">
        <v>47</v>
      </c>
      <c r="H13" s="85">
        <v>46049</v>
      </c>
      <c r="I13" s="86">
        <v>178.53509500000001</v>
      </c>
      <c r="J13" s="86" t="s">
        <v>139</v>
      </c>
      <c r="K13" s="105">
        <v>177.74</v>
      </c>
      <c r="L13" s="87">
        <f t="shared" si="0"/>
        <v>0.25833333333333336</v>
      </c>
      <c r="M13" s="88" t="s">
        <v>30</v>
      </c>
      <c r="N13" s="88">
        <v>4</v>
      </c>
      <c r="O13" s="104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1:26" ht="33">
      <c r="A14" s="28" t="s">
        <v>142</v>
      </c>
      <c r="B14" s="65">
        <v>45350</v>
      </c>
      <c r="C14" s="65">
        <v>46203</v>
      </c>
      <c r="D14" s="28" t="s">
        <v>26</v>
      </c>
      <c r="E14" s="89" t="s">
        <v>27</v>
      </c>
      <c r="F14" s="28" t="s">
        <v>28</v>
      </c>
      <c r="G14" s="28" t="s">
        <v>47</v>
      </c>
      <c r="H14" s="29">
        <v>46049</v>
      </c>
      <c r="I14" s="86">
        <v>22.054321000000002</v>
      </c>
      <c r="J14" s="86" t="s">
        <v>139</v>
      </c>
      <c r="K14" s="86">
        <v>21.96</v>
      </c>
      <c r="L14" s="87">
        <f t="shared" si="0"/>
        <v>0.42499999999999999</v>
      </c>
      <c r="M14" s="30" t="s">
        <v>30</v>
      </c>
      <c r="N14" s="30">
        <v>4</v>
      </c>
      <c r="O14" s="52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5.75" customHeight="1">
      <c r="A15" s="33" t="s">
        <v>94</v>
      </c>
      <c r="B15" s="65">
        <v>45930</v>
      </c>
      <c r="C15" s="65">
        <v>46142</v>
      </c>
      <c r="D15" s="28" t="s">
        <v>26</v>
      </c>
      <c r="E15" s="89" t="s">
        <v>27</v>
      </c>
      <c r="F15" s="28" t="s">
        <v>28</v>
      </c>
      <c r="G15" s="65" t="s">
        <v>47</v>
      </c>
      <c r="H15" s="29">
        <v>46076</v>
      </c>
      <c r="I15" s="86">
        <v>1555.241822</v>
      </c>
      <c r="J15" s="86" t="s">
        <v>88</v>
      </c>
      <c r="K15" s="86">
        <v>1539.4442690000001</v>
      </c>
      <c r="L15" s="87">
        <f t="shared" si="0"/>
        <v>0.18611111111111112</v>
      </c>
      <c r="M15" s="30" t="s">
        <v>30</v>
      </c>
      <c r="N15" s="30">
        <v>10</v>
      </c>
      <c r="O15" s="52"/>
      <c r="P15" s="106"/>
      <c r="Q15" s="106"/>
      <c r="R15" s="106"/>
      <c r="S15" s="21"/>
      <c r="T15" s="21"/>
      <c r="U15" s="21"/>
      <c r="V15" s="21"/>
      <c r="W15" s="21"/>
      <c r="X15" s="21"/>
      <c r="Y15" s="21"/>
      <c r="Z15" s="21"/>
    </row>
    <row r="16" spans="1:26" ht="15.75" customHeight="1">
      <c r="A16" s="107" t="s">
        <v>143</v>
      </c>
      <c r="B16" s="65">
        <v>46113</v>
      </c>
      <c r="C16" s="65">
        <f t="shared" ref="C16:C22" si="1">+RIGHT(A16,10)*1</f>
        <v>46630</v>
      </c>
      <c r="D16" s="28" t="s">
        <v>26</v>
      </c>
      <c r="E16" s="89" t="s">
        <v>27</v>
      </c>
      <c r="F16" s="28" t="s">
        <v>28</v>
      </c>
      <c r="G16" s="65" t="s">
        <v>35</v>
      </c>
      <c r="H16" s="118">
        <v>46113</v>
      </c>
      <c r="I16" s="86">
        <v>1171673.379</v>
      </c>
      <c r="J16" s="33" t="s">
        <v>44</v>
      </c>
      <c r="K16" s="86">
        <v>295802.40999999997</v>
      </c>
      <c r="L16" s="87">
        <f t="shared" si="0"/>
        <v>1.4166666666666667</v>
      </c>
      <c r="M16" s="30" t="s">
        <v>30</v>
      </c>
      <c r="N16" s="30">
        <v>16</v>
      </c>
      <c r="O16" s="52"/>
      <c r="P16" s="106"/>
      <c r="Q16" s="106"/>
      <c r="R16" s="106"/>
      <c r="S16" s="21"/>
      <c r="T16" s="21"/>
      <c r="U16" s="21"/>
      <c r="V16" s="21"/>
      <c r="W16" s="21"/>
      <c r="X16" s="21"/>
      <c r="Y16" s="21"/>
      <c r="Z16" s="21"/>
    </row>
    <row r="17" spans="1:26" ht="15.75" customHeight="1">
      <c r="A17" s="107" t="s">
        <v>144</v>
      </c>
      <c r="B17" s="65">
        <v>46113</v>
      </c>
      <c r="C17" s="65">
        <f t="shared" si="1"/>
        <v>46843</v>
      </c>
      <c r="D17" s="28" t="s">
        <v>26</v>
      </c>
      <c r="E17" s="89" t="s">
        <v>27</v>
      </c>
      <c r="F17" s="28" t="s">
        <v>28</v>
      </c>
      <c r="G17" s="65" t="s">
        <v>35</v>
      </c>
      <c r="H17" s="118">
        <v>46113</v>
      </c>
      <c r="I17" s="86">
        <v>921231.82030000002</v>
      </c>
      <c r="J17" s="33" t="s">
        <v>44</v>
      </c>
      <c r="K17" s="86">
        <v>232575.56</v>
      </c>
      <c r="L17" s="87">
        <f t="shared" si="0"/>
        <v>2</v>
      </c>
      <c r="M17" s="30" t="s">
        <v>30</v>
      </c>
      <c r="N17" s="30">
        <v>16</v>
      </c>
      <c r="O17" s="52"/>
      <c r="P17" s="106"/>
      <c r="Q17" s="106"/>
      <c r="R17" s="106"/>
      <c r="S17" s="21"/>
      <c r="T17" s="21"/>
      <c r="U17" s="21"/>
      <c r="V17" s="21"/>
      <c r="W17" s="21"/>
      <c r="X17" s="21"/>
      <c r="Y17" s="21"/>
      <c r="Z17" s="21"/>
    </row>
    <row r="18" spans="1:26" ht="15.75" customHeight="1">
      <c r="A18" s="107" t="s">
        <v>60</v>
      </c>
      <c r="B18" s="65">
        <v>46113</v>
      </c>
      <c r="C18" s="65">
        <f t="shared" si="1"/>
        <v>47205</v>
      </c>
      <c r="D18" s="28" t="s">
        <v>26</v>
      </c>
      <c r="E18" s="89" t="s">
        <v>27</v>
      </c>
      <c r="F18" s="28" t="s">
        <v>28</v>
      </c>
      <c r="G18" s="65" t="s">
        <v>35</v>
      </c>
      <c r="H18" s="118">
        <v>46113</v>
      </c>
      <c r="I18" s="86">
        <v>254827.76759999999</v>
      </c>
      <c r="J18" s="33" t="s">
        <v>44</v>
      </c>
      <c r="K18" s="86">
        <v>64334.2</v>
      </c>
      <c r="L18" s="87">
        <f t="shared" si="0"/>
        <v>2.9916666666666667</v>
      </c>
      <c r="M18" s="30" t="s">
        <v>30</v>
      </c>
      <c r="N18" s="30">
        <v>16</v>
      </c>
      <c r="O18" s="52"/>
      <c r="P18" s="106"/>
      <c r="Q18" s="106"/>
      <c r="R18" s="106"/>
      <c r="S18" s="21"/>
      <c r="T18" s="21"/>
      <c r="U18" s="21"/>
      <c r="V18" s="21"/>
      <c r="W18" s="21"/>
      <c r="X18" s="21"/>
      <c r="Y18" s="21"/>
      <c r="Z18" s="21"/>
    </row>
    <row r="19" spans="1:26" ht="15.75" customHeight="1">
      <c r="A19" s="108" t="s">
        <v>144</v>
      </c>
      <c r="B19" s="65">
        <v>46113</v>
      </c>
      <c r="C19" s="65">
        <f t="shared" si="1"/>
        <v>46843</v>
      </c>
      <c r="D19" s="28" t="s">
        <v>26</v>
      </c>
      <c r="E19" s="89" t="s">
        <v>27</v>
      </c>
      <c r="F19" s="28" t="s">
        <v>28</v>
      </c>
      <c r="G19" s="65" t="s">
        <v>35</v>
      </c>
      <c r="H19" s="118">
        <v>46132</v>
      </c>
      <c r="I19" s="86">
        <v>14423443.195338</v>
      </c>
      <c r="J19" s="86" t="s">
        <v>42</v>
      </c>
      <c r="K19" s="86">
        <v>4741026.8206890002</v>
      </c>
      <c r="L19" s="87">
        <f t="shared" si="0"/>
        <v>1.9472222222222222</v>
      </c>
      <c r="M19" s="30" t="s">
        <v>30</v>
      </c>
      <c r="N19" s="30">
        <v>21</v>
      </c>
      <c r="O19" s="52"/>
      <c r="P19" s="106"/>
      <c r="Q19" s="106"/>
      <c r="R19" s="106"/>
      <c r="S19" s="21"/>
      <c r="T19" s="21"/>
      <c r="U19" s="21"/>
      <c r="V19" s="21"/>
      <c r="W19" s="21"/>
      <c r="X19" s="21"/>
      <c r="Y19" s="21"/>
      <c r="Z19" s="21"/>
    </row>
    <row r="20" spans="1:26" ht="15.75" customHeight="1">
      <c r="A20" s="108" t="s">
        <v>144</v>
      </c>
      <c r="B20" s="65">
        <v>46113</v>
      </c>
      <c r="C20" s="65">
        <f t="shared" si="1"/>
        <v>46843</v>
      </c>
      <c r="D20" s="28" t="s">
        <v>26</v>
      </c>
      <c r="E20" s="89" t="s">
        <v>27</v>
      </c>
      <c r="F20" s="28" t="s">
        <v>28</v>
      </c>
      <c r="G20" s="65" t="s">
        <v>35</v>
      </c>
      <c r="H20" s="118">
        <v>46132</v>
      </c>
      <c r="I20" s="86">
        <v>717897.74817899999</v>
      </c>
      <c r="J20" s="86" t="s">
        <v>51</v>
      </c>
      <c r="K20" s="86">
        <v>316661.71767799999</v>
      </c>
      <c r="L20" s="87">
        <f t="shared" si="0"/>
        <v>1.9472222222222222</v>
      </c>
      <c r="M20" s="30" t="s">
        <v>30</v>
      </c>
      <c r="N20" s="30">
        <v>21</v>
      </c>
      <c r="O20" s="52"/>
      <c r="P20" s="106"/>
      <c r="Q20" s="106"/>
      <c r="R20" s="106"/>
      <c r="S20" s="21"/>
      <c r="T20" s="21"/>
      <c r="U20" s="21"/>
      <c r="V20" s="21"/>
      <c r="W20" s="21"/>
      <c r="X20" s="21"/>
      <c r="Y20" s="21"/>
      <c r="Z20" s="21"/>
    </row>
    <row r="21" spans="1:26" ht="15.75" customHeight="1">
      <c r="A21" s="108" t="s">
        <v>145</v>
      </c>
      <c r="B21" s="65">
        <v>46132</v>
      </c>
      <c r="C21" s="65">
        <f t="shared" si="1"/>
        <v>46808</v>
      </c>
      <c r="D21" s="28" t="s">
        <v>26</v>
      </c>
      <c r="E21" s="89" t="s">
        <v>27</v>
      </c>
      <c r="F21" s="28" t="s">
        <v>28</v>
      </c>
      <c r="G21" s="65" t="s">
        <v>35</v>
      </c>
      <c r="H21" s="118">
        <v>46132</v>
      </c>
      <c r="I21" s="86">
        <v>1921225.3363399999</v>
      </c>
      <c r="J21" s="86" t="s">
        <v>146</v>
      </c>
      <c r="K21" s="86">
        <v>1251955.1514699999</v>
      </c>
      <c r="L21" s="87">
        <f t="shared" si="0"/>
        <v>1.8472222222222223</v>
      </c>
      <c r="M21" s="30" t="s">
        <v>30</v>
      </c>
      <c r="N21" s="30">
        <v>21</v>
      </c>
      <c r="O21" s="52"/>
      <c r="P21" s="106"/>
      <c r="Q21" s="106"/>
      <c r="R21" s="106"/>
      <c r="S21" s="21"/>
      <c r="T21" s="21"/>
      <c r="U21" s="21"/>
      <c r="V21" s="21"/>
      <c r="W21" s="21"/>
      <c r="X21" s="21"/>
      <c r="Y21" s="21"/>
      <c r="Z21" s="21"/>
    </row>
    <row r="22" spans="1:26" ht="15.75" customHeight="1">
      <c r="A22" s="109" t="s">
        <v>147</v>
      </c>
      <c r="B22" s="65">
        <v>45350</v>
      </c>
      <c r="C22" s="65">
        <f t="shared" si="1"/>
        <v>46203</v>
      </c>
      <c r="D22" s="28" t="s">
        <v>26</v>
      </c>
      <c r="E22" s="89" t="s">
        <v>27</v>
      </c>
      <c r="F22" s="28" t="s">
        <v>28</v>
      </c>
      <c r="G22" s="65" t="s">
        <v>47</v>
      </c>
      <c r="H22" s="118">
        <v>46136</v>
      </c>
      <c r="I22" s="110">
        <v>1637.2157500000001</v>
      </c>
      <c r="J22" s="86" t="s">
        <v>94</v>
      </c>
      <c r="K22" s="110">
        <v>1626.2538910000001</v>
      </c>
      <c r="L22" s="87">
        <f t="shared" si="0"/>
        <v>0.18333333333333332</v>
      </c>
      <c r="M22" s="30" t="s">
        <v>30</v>
      </c>
      <c r="N22" s="30">
        <v>22</v>
      </c>
      <c r="O22" s="52"/>
      <c r="P22" s="106"/>
      <c r="Q22" s="106"/>
      <c r="R22" s="106"/>
      <c r="S22" s="21"/>
      <c r="T22" s="21"/>
      <c r="U22" s="21"/>
      <c r="V22" s="21"/>
      <c r="W22" s="21"/>
      <c r="X22" s="21"/>
      <c r="Y22" s="21"/>
      <c r="Z22" s="21"/>
    </row>
    <row r="23" spans="1:26" ht="15.75" customHeight="1">
      <c r="A23" s="46"/>
      <c r="B23" s="111"/>
      <c r="C23" s="111"/>
      <c r="D23" s="112"/>
      <c r="E23" s="113"/>
      <c r="F23" s="112"/>
      <c r="G23" s="111"/>
      <c r="H23" s="45"/>
      <c r="I23" s="114"/>
      <c r="J23" s="46"/>
      <c r="K23" s="114"/>
      <c r="L23" s="99"/>
      <c r="M23" s="23"/>
      <c r="N23" s="23"/>
      <c r="O23" s="52"/>
      <c r="P23" s="106"/>
      <c r="Q23" s="106"/>
      <c r="R23" s="106"/>
      <c r="S23" s="21"/>
      <c r="T23" s="21"/>
      <c r="U23" s="21"/>
      <c r="V23" s="21"/>
      <c r="W23" s="21"/>
      <c r="X23" s="21"/>
      <c r="Y23" s="21"/>
      <c r="Z23" s="21"/>
    </row>
    <row r="24" spans="1:26" ht="15.75" customHeight="1">
      <c r="A24" s="46"/>
      <c r="B24" s="111"/>
      <c r="C24" s="111"/>
      <c r="D24" s="112"/>
      <c r="E24" s="113"/>
      <c r="F24" s="112"/>
      <c r="G24" s="111"/>
      <c r="H24" s="45"/>
      <c r="I24" s="114"/>
      <c r="J24" s="46"/>
      <c r="K24" s="114"/>
      <c r="L24" s="99"/>
      <c r="M24" s="23"/>
      <c r="N24" s="23"/>
      <c r="O24" s="52"/>
      <c r="P24" s="106"/>
      <c r="Q24" s="106"/>
      <c r="R24" s="106"/>
      <c r="S24" s="21"/>
      <c r="T24" s="21"/>
      <c r="U24" s="21"/>
      <c r="V24" s="21"/>
      <c r="W24" s="21"/>
      <c r="X24" s="21"/>
      <c r="Y24" s="21"/>
      <c r="Z24" s="21"/>
    </row>
    <row r="25" spans="1:26" ht="15.75" customHeight="1">
      <c r="A25" s="21" t="s">
        <v>66</v>
      </c>
      <c r="B25" s="22"/>
      <c r="C25" s="22"/>
      <c r="D25" s="21"/>
      <c r="E25" s="21"/>
      <c r="F25" s="21"/>
      <c r="G25" s="21"/>
      <c r="H25" s="22"/>
      <c r="I25" s="115"/>
      <c r="J25" s="116"/>
      <c r="K25" s="115"/>
      <c r="L25" s="21"/>
      <c r="M25" s="21"/>
      <c r="N25" s="21"/>
      <c r="O25" s="52"/>
      <c r="P25" s="106"/>
      <c r="Q25" s="106"/>
      <c r="R25" s="106"/>
      <c r="S25" s="21"/>
      <c r="T25" s="21"/>
      <c r="U25" s="21"/>
      <c r="V25" s="21"/>
      <c r="W25" s="21"/>
      <c r="X25" s="21"/>
      <c r="Y25" s="21"/>
      <c r="Z25" s="21"/>
    </row>
    <row r="26" spans="1:26" ht="15.75" customHeight="1">
      <c r="A26" s="21" t="s">
        <v>124</v>
      </c>
      <c r="B26" s="22"/>
      <c r="C26" s="22"/>
      <c r="D26" s="21"/>
      <c r="E26" s="21"/>
      <c r="F26" s="21"/>
      <c r="G26" s="21"/>
      <c r="H26" s="22"/>
      <c r="I26" s="115"/>
      <c r="J26" s="94"/>
      <c r="K26" s="21"/>
      <c r="L26" s="21"/>
      <c r="M26" s="21"/>
      <c r="N26" s="21"/>
      <c r="O26" s="52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 ht="15.75" customHeight="1">
      <c r="A27" s="51"/>
      <c r="B27" s="54"/>
      <c r="C27" s="54"/>
      <c r="D27" s="51"/>
      <c r="E27" s="51"/>
      <c r="F27" s="51"/>
      <c r="G27" s="51"/>
      <c r="H27" s="54"/>
      <c r="I27" s="51"/>
      <c r="J27" s="117"/>
      <c r="K27" s="51"/>
      <c r="L27" s="51"/>
      <c r="M27" s="51"/>
      <c r="N27" s="51"/>
      <c r="O27" s="104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spans="1:26" ht="15.75" customHeight="1">
      <c r="A28" s="51"/>
      <c r="B28" s="54"/>
      <c r="C28" s="54"/>
      <c r="D28" s="51"/>
      <c r="E28" s="51"/>
      <c r="F28" s="51"/>
      <c r="G28" s="51"/>
      <c r="H28" s="54"/>
      <c r="I28" s="51"/>
      <c r="J28" s="117"/>
      <c r="K28" s="51"/>
      <c r="L28" s="51"/>
      <c r="M28" s="51"/>
      <c r="N28" s="21"/>
      <c r="O28" s="52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 ht="15.75" customHeight="1">
      <c r="A29" s="21"/>
      <c r="B29" s="22"/>
      <c r="C29" s="22"/>
      <c r="D29" s="21"/>
      <c r="E29" s="21"/>
      <c r="F29" s="21"/>
      <c r="G29" s="21"/>
      <c r="H29" s="22"/>
      <c r="I29" s="21"/>
      <c r="J29" s="94"/>
      <c r="K29" s="21"/>
      <c r="L29" s="21"/>
      <c r="M29" s="21"/>
      <c r="N29" s="21"/>
      <c r="O29" s="52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 ht="15.75" customHeight="1">
      <c r="A30" s="21"/>
      <c r="B30" s="22"/>
      <c r="C30" s="22"/>
      <c r="D30" s="21"/>
      <c r="E30" s="21"/>
      <c r="F30" s="21"/>
      <c r="G30" s="21"/>
      <c r="H30" s="22"/>
      <c r="I30" s="21"/>
      <c r="J30" s="94"/>
      <c r="K30" s="21"/>
      <c r="L30" s="21"/>
      <c r="M30" s="21"/>
      <c r="N30" s="21"/>
      <c r="O30" s="52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 ht="15.75" customHeight="1">
      <c r="A31" s="21"/>
      <c r="B31" s="22"/>
      <c r="C31" s="22"/>
      <c r="D31" s="21"/>
      <c r="E31" s="21"/>
      <c r="F31" s="21"/>
      <c r="G31" s="21"/>
      <c r="H31" s="22"/>
      <c r="I31" s="21"/>
      <c r="J31" s="94"/>
      <c r="K31" s="21"/>
      <c r="L31" s="21"/>
      <c r="M31" s="21"/>
      <c r="N31" s="21"/>
      <c r="O31" s="52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 ht="15.75" customHeight="1">
      <c r="A32" s="21"/>
      <c r="B32" s="22"/>
      <c r="C32" s="22"/>
      <c r="D32" s="21"/>
      <c r="E32" s="21"/>
      <c r="F32" s="21"/>
      <c r="G32" s="21"/>
      <c r="H32" s="22"/>
      <c r="I32" s="21"/>
      <c r="J32" s="94"/>
      <c r="K32" s="21"/>
      <c r="L32" s="21"/>
      <c r="M32" s="21"/>
      <c r="N32" s="21"/>
      <c r="O32" s="52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 ht="15.75" customHeight="1">
      <c r="A33" s="21"/>
      <c r="B33" s="22"/>
      <c r="C33" s="22"/>
      <c r="D33" s="21"/>
      <c r="E33" s="21"/>
      <c r="F33" s="21"/>
      <c r="G33" s="21"/>
      <c r="H33" s="22"/>
      <c r="I33" s="21"/>
      <c r="J33" s="94"/>
      <c r="K33" s="21"/>
      <c r="L33" s="21"/>
      <c r="M33" s="21"/>
      <c r="N33" s="21"/>
      <c r="O33" s="52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 ht="15.75" customHeight="1">
      <c r="A34" s="21"/>
      <c r="B34" s="22"/>
      <c r="C34" s="22"/>
      <c r="D34" s="21"/>
      <c r="E34" s="21"/>
      <c r="F34" s="21"/>
      <c r="G34" s="21"/>
      <c r="H34" s="22"/>
      <c r="I34" s="21"/>
      <c r="J34" s="94"/>
      <c r="K34" s="21"/>
      <c r="L34" s="21"/>
      <c r="M34" s="21"/>
      <c r="N34" s="21"/>
      <c r="O34" s="52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 ht="15.75" customHeight="1">
      <c r="A35" s="21"/>
      <c r="B35" s="22"/>
      <c r="C35" s="22"/>
      <c r="D35" s="21"/>
      <c r="E35" s="21"/>
      <c r="F35" s="21"/>
      <c r="G35" s="21"/>
      <c r="H35" s="22"/>
      <c r="I35" s="21"/>
      <c r="K35" s="21"/>
      <c r="L35" s="21"/>
      <c r="M35" s="21"/>
      <c r="N35" s="21"/>
      <c r="O35" s="52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 ht="15.75" customHeight="1">
      <c r="A36" s="21"/>
      <c r="B36" s="22"/>
      <c r="C36" s="22"/>
      <c r="D36" s="21"/>
      <c r="E36" s="21"/>
      <c r="F36" s="21"/>
      <c r="G36" s="21"/>
      <c r="H36" s="94"/>
      <c r="I36" s="21"/>
      <c r="J36" s="94"/>
      <c r="K36" s="21"/>
      <c r="L36" s="21"/>
      <c r="M36" s="21"/>
      <c r="N36" s="21"/>
      <c r="O36" s="52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 ht="15.75" customHeight="1">
      <c r="A37" s="21"/>
      <c r="B37" s="22"/>
      <c r="C37" s="22"/>
      <c r="D37" s="21"/>
      <c r="E37" s="21"/>
      <c r="F37" s="21"/>
      <c r="G37" s="21"/>
      <c r="H37" s="22"/>
      <c r="I37" s="21"/>
      <c r="J37" s="94"/>
      <c r="K37" s="21"/>
      <c r="L37" s="21"/>
      <c r="M37" s="21"/>
      <c r="N37" s="21"/>
      <c r="O37" s="52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 ht="15.75" customHeight="1">
      <c r="A38" s="21"/>
      <c r="B38" s="22"/>
      <c r="C38" s="22"/>
      <c r="D38" s="21"/>
      <c r="E38" s="21"/>
      <c r="F38" s="21"/>
      <c r="G38" s="21"/>
      <c r="H38" s="22"/>
      <c r="I38" s="21"/>
      <c r="J38" s="94"/>
      <c r="K38" s="21"/>
      <c r="L38" s="21"/>
      <c r="M38" s="21"/>
      <c r="N38" s="21"/>
      <c r="O38" s="52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 ht="15.75" customHeight="1">
      <c r="A39" s="21"/>
      <c r="B39" s="22"/>
      <c r="C39" s="22"/>
      <c r="D39" s="21"/>
      <c r="E39" s="21"/>
      <c r="F39" s="21"/>
      <c r="G39" s="21"/>
      <c r="H39" s="22"/>
      <c r="I39" s="21"/>
      <c r="J39" s="94"/>
      <c r="K39" s="21"/>
      <c r="L39" s="21"/>
      <c r="M39" s="21"/>
      <c r="N39" s="21"/>
      <c r="O39" s="5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 ht="15.75" customHeight="1">
      <c r="A40" s="21"/>
      <c r="B40" s="22"/>
      <c r="C40" s="22"/>
      <c r="D40" s="21"/>
      <c r="E40" s="21"/>
      <c r="F40" s="21"/>
      <c r="G40" s="21"/>
      <c r="H40" s="22"/>
      <c r="I40" s="21"/>
      <c r="J40" s="94"/>
      <c r="K40" s="21"/>
      <c r="L40" s="21"/>
      <c r="M40" s="21"/>
      <c r="N40" s="21"/>
      <c r="O40" s="52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 ht="15.75" customHeight="1">
      <c r="A41" s="21"/>
      <c r="B41" s="22"/>
      <c r="C41" s="22"/>
      <c r="D41" s="21"/>
      <c r="E41" s="21"/>
      <c r="F41" s="21"/>
      <c r="G41" s="21"/>
      <c r="H41" s="22"/>
      <c r="I41" s="21"/>
      <c r="J41" s="94"/>
      <c r="K41" s="21"/>
      <c r="L41" s="21"/>
      <c r="M41" s="21"/>
      <c r="N41" s="21"/>
      <c r="O41" s="52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 ht="15.75" customHeight="1">
      <c r="A42" s="21"/>
      <c r="B42" s="22"/>
      <c r="C42" s="22"/>
      <c r="D42" s="21"/>
      <c r="E42" s="21"/>
      <c r="F42" s="21"/>
      <c r="G42" s="21"/>
      <c r="H42" s="22"/>
      <c r="I42" s="21"/>
      <c r="J42" s="94"/>
      <c r="K42" s="21"/>
      <c r="L42" s="21"/>
      <c r="M42" s="21"/>
      <c r="N42" s="21"/>
      <c r="O42" s="52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 ht="15.75" customHeight="1">
      <c r="A43" s="21"/>
      <c r="B43" s="22"/>
      <c r="C43" s="22"/>
      <c r="D43" s="21"/>
      <c r="E43" s="21"/>
      <c r="F43" s="21"/>
      <c r="G43" s="21"/>
      <c r="H43" s="22"/>
      <c r="I43" s="21"/>
      <c r="J43" s="94"/>
      <c r="K43" s="21"/>
      <c r="L43" s="21"/>
      <c r="M43" s="21"/>
      <c r="N43" s="21"/>
      <c r="O43" s="52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 ht="15.75" customHeight="1">
      <c r="A44" s="21"/>
      <c r="B44" s="22"/>
      <c r="C44" s="22"/>
      <c r="D44" s="21"/>
      <c r="E44" s="21"/>
      <c r="F44" s="21"/>
      <c r="G44" s="21"/>
      <c r="H44" s="22"/>
      <c r="I44" s="21"/>
      <c r="J44" s="94"/>
      <c r="K44" s="21"/>
      <c r="L44" s="21"/>
      <c r="M44" s="21"/>
      <c r="N44" s="21"/>
      <c r="O44" s="52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 ht="15.75" customHeight="1">
      <c r="A45" s="21"/>
      <c r="B45" s="22"/>
      <c r="C45" s="22"/>
      <c r="D45" s="21"/>
      <c r="E45" s="21"/>
      <c r="F45" s="21"/>
      <c r="G45" s="21"/>
      <c r="H45" s="22"/>
      <c r="I45" s="21"/>
      <c r="J45" s="94"/>
      <c r="K45" s="21"/>
      <c r="L45" s="21"/>
      <c r="M45" s="21"/>
      <c r="N45" s="21"/>
      <c r="O45" s="52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 ht="15.75" customHeight="1">
      <c r="A46" s="21"/>
      <c r="B46" s="22"/>
      <c r="C46" s="22"/>
      <c r="D46" s="21"/>
      <c r="E46" s="21"/>
      <c r="F46" s="21"/>
      <c r="G46" s="21"/>
      <c r="H46" s="22"/>
      <c r="I46" s="21"/>
      <c r="J46" s="94"/>
      <c r="K46" s="21"/>
      <c r="L46" s="21"/>
      <c r="M46" s="21"/>
      <c r="N46" s="21"/>
      <c r="O46" s="52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 ht="15.75" customHeight="1">
      <c r="A47" s="21"/>
      <c r="B47" s="22"/>
      <c r="C47" s="22"/>
      <c r="D47" s="21"/>
      <c r="E47" s="21"/>
      <c r="F47" s="21"/>
      <c r="G47" s="21"/>
      <c r="H47" s="22"/>
      <c r="I47" s="21"/>
      <c r="J47" s="94"/>
      <c r="K47" s="21"/>
      <c r="L47" s="21"/>
      <c r="M47" s="21"/>
      <c r="N47" s="21"/>
      <c r="O47" s="52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 ht="15.75" customHeight="1">
      <c r="A48" s="21"/>
      <c r="B48" s="22"/>
      <c r="C48" s="22"/>
      <c r="D48" s="21"/>
      <c r="E48" s="21"/>
      <c r="F48" s="21"/>
      <c r="G48" s="21"/>
      <c r="H48" s="22"/>
      <c r="I48" s="21"/>
      <c r="J48" s="94"/>
      <c r="K48" s="21"/>
      <c r="L48" s="21"/>
      <c r="M48" s="21"/>
      <c r="N48" s="21"/>
      <c r="O48" s="52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5.75" customHeight="1">
      <c r="A49" s="21"/>
      <c r="B49" s="22"/>
      <c r="C49" s="22"/>
      <c r="D49" s="21"/>
      <c r="E49" s="21"/>
      <c r="F49" s="21"/>
      <c r="G49" s="21"/>
      <c r="H49" s="22"/>
      <c r="I49" s="21"/>
      <c r="J49" s="94"/>
      <c r="K49" s="21"/>
      <c r="L49" s="21"/>
      <c r="M49" s="21"/>
      <c r="N49" s="21"/>
      <c r="O49" s="52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 ht="15.75" customHeight="1">
      <c r="A50" s="21"/>
      <c r="B50" s="22"/>
      <c r="C50" s="22"/>
      <c r="D50" s="21"/>
      <c r="E50" s="21"/>
      <c r="F50" s="21"/>
      <c r="G50" s="21"/>
      <c r="H50" s="22"/>
      <c r="I50" s="21"/>
      <c r="J50" s="94"/>
      <c r="K50" s="21"/>
      <c r="L50" s="21"/>
      <c r="M50" s="21"/>
      <c r="N50" s="21"/>
      <c r="O50" s="52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 ht="15.75" customHeight="1">
      <c r="A51" s="21"/>
      <c r="B51" s="22"/>
      <c r="C51" s="22"/>
      <c r="D51" s="21"/>
      <c r="E51" s="21"/>
      <c r="F51" s="21"/>
      <c r="G51" s="21"/>
      <c r="H51" s="22"/>
      <c r="I51" s="21"/>
      <c r="J51" s="94"/>
      <c r="K51" s="21"/>
      <c r="L51" s="21"/>
      <c r="M51" s="21"/>
      <c r="N51" s="21"/>
      <c r="O51" s="52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 ht="15.75" customHeight="1">
      <c r="A52" s="21"/>
      <c r="B52" s="22"/>
      <c r="C52" s="22"/>
      <c r="D52" s="21"/>
      <c r="E52" s="21"/>
      <c r="F52" s="21"/>
      <c r="G52" s="21"/>
      <c r="H52" s="22"/>
      <c r="I52" s="21"/>
      <c r="J52" s="94"/>
      <c r="K52" s="21"/>
      <c r="L52" s="21"/>
      <c r="M52" s="21"/>
      <c r="N52" s="21"/>
      <c r="O52" s="52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 ht="15.75" customHeight="1">
      <c r="A53" s="21"/>
      <c r="B53" s="22"/>
      <c r="C53" s="22"/>
      <c r="D53" s="21"/>
      <c r="E53" s="21"/>
      <c r="F53" s="21"/>
      <c r="G53" s="21"/>
      <c r="H53" s="22"/>
      <c r="I53" s="21"/>
      <c r="J53" s="94"/>
      <c r="K53" s="21"/>
      <c r="L53" s="21"/>
      <c r="M53" s="21"/>
      <c r="N53" s="21"/>
      <c r="O53" s="52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 ht="15.75" customHeight="1">
      <c r="A54" s="21"/>
      <c r="B54" s="22"/>
      <c r="C54" s="22"/>
      <c r="D54" s="21"/>
      <c r="E54" s="21"/>
      <c r="F54" s="21"/>
      <c r="G54" s="21"/>
      <c r="H54" s="22"/>
      <c r="I54" s="21"/>
      <c r="J54" s="94"/>
      <c r="K54" s="21"/>
      <c r="L54" s="21"/>
      <c r="M54" s="21"/>
      <c r="N54" s="21"/>
      <c r="O54" s="52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 ht="15.75" customHeight="1">
      <c r="A55" s="21"/>
      <c r="B55" s="22"/>
      <c r="C55" s="22"/>
      <c r="D55" s="21"/>
      <c r="E55" s="21"/>
      <c r="F55" s="21"/>
      <c r="G55" s="21"/>
      <c r="H55" s="22"/>
      <c r="I55" s="21"/>
      <c r="J55" s="94"/>
      <c r="K55" s="21"/>
      <c r="L55" s="21"/>
      <c r="M55" s="21"/>
      <c r="N55" s="21"/>
      <c r="O55" s="52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 ht="15.75" customHeight="1">
      <c r="A56" s="21"/>
      <c r="B56" s="22"/>
      <c r="C56" s="22"/>
      <c r="D56" s="21"/>
      <c r="E56" s="21"/>
      <c r="F56" s="21"/>
      <c r="G56" s="21"/>
      <c r="H56" s="22"/>
      <c r="I56" s="21"/>
      <c r="J56" s="94"/>
      <c r="K56" s="21"/>
      <c r="L56" s="21"/>
      <c r="M56" s="21"/>
      <c r="N56" s="21"/>
      <c r="O56" s="52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 ht="15.75" customHeight="1">
      <c r="A57" s="21"/>
      <c r="B57" s="22"/>
      <c r="C57" s="22"/>
      <c r="D57" s="21"/>
      <c r="E57" s="21"/>
      <c r="F57" s="21"/>
      <c r="G57" s="21"/>
      <c r="H57" s="22"/>
      <c r="I57" s="21"/>
      <c r="J57" s="94"/>
      <c r="K57" s="21"/>
      <c r="L57" s="21"/>
      <c r="M57" s="21"/>
      <c r="N57" s="21"/>
      <c r="O57" s="52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 ht="15.75" customHeight="1">
      <c r="A58" s="21"/>
      <c r="B58" s="22"/>
      <c r="C58" s="22"/>
      <c r="D58" s="21"/>
      <c r="E58" s="21"/>
      <c r="F58" s="21"/>
      <c r="G58" s="21"/>
      <c r="H58" s="22"/>
      <c r="I58" s="21"/>
      <c r="J58" s="94"/>
      <c r="K58" s="21"/>
      <c r="L58" s="21"/>
      <c r="M58" s="21"/>
      <c r="N58" s="21"/>
      <c r="O58" s="52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 ht="15.75" customHeight="1">
      <c r="A59" s="21"/>
      <c r="B59" s="22"/>
      <c r="C59" s="22"/>
      <c r="D59" s="21"/>
      <c r="E59" s="21"/>
      <c r="F59" s="21"/>
      <c r="G59" s="21"/>
      <c r="H59" s="22"/>
      <c r="I59" s="21"/>
      <c r="J59" s="94"/>
      <c r="K59" s="21"/>
      <c r="L59" s="21"/>
      <c r="M59" s="21"/>
      <c r="N59" s="21"/>
      <c r="O59" s="52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 ht="15.75" customHeight="1">
      <c r="A60" s="21"/>
      <c r="B60" s="22"/>
      <c r="C60" s="22"/>
      <c r="D60" s="21"/>
      <c r="E60" s="21"/>
      <c r="F60" s="21"/>
      <c r="G60" s="21"/>
      <c r="H60" s="22"/>
      <c r="I60" s="21"/>
      <c r="J60" s="94"/>
      <c r="K60" s="21"/>
      <c r="L60" s="21"/>
      <c r="M60" s="21"/>
      <c r="N60" s="21"/>
      <c r="O60" s="52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 ht="15.75" customHeight="1">
      <c r="A61" s="21"/>
      <c r="B61" s="22"/>
      <c r="C61" s="22"/>
      <c r="D61" s="21"/>
      <c r="E61" s="21"/>
      <c r="F61" s="21"/>
      <c r="G61" s="21"/>
      <c r="H61" s="22"/>
      <c r="I61" s="21"/>
      <c r="J61" s="94"/>
      <c r="K61" s="21"/>
      <c r="L61" s="21"/>
      <c r="M61" s="21"/>
      <c r="N61" s="21"/>
      <c r="O61" s="52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 ht="15.75" customHeight="1">
      <c r="A62" s="21"/>
      <c r="B62" s="22"/>
      <c r="C62" s="22"/>
      <c r="D62" s="21"/>
      <c r="E62" s="21"/>
      <c r="F62" s="21"/>
      <c r="G62" s="21"/>
      <c r="H62" s="22"/>
      <c r="I62" s="21"/>
      <c r="J62" s="94"/>
      <c r="K62" s="21"/>
      <c r="L62" s="21"/>
      <c r="M62" s="21"/>
      <c r="N62" s="21"/>
      <c r="O62" s="52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 ht="15.75" customHeight="1">
      <c r="A63" s="21"/>
      <c r="B63" s="22"/>
      <c r="C63" s="22"/>
      <c r="D63" s="21"/>
      <c r="E63" s="21"/>
      <c r="F63" s="21"/>
      <c r="G63" s="21"/>
      <c r="H63" s="22"/>
      <c r="I63" s="21"/>
      <c r="J63" s="94"/>
      <c r="K63" s="21"/>
      <c r="L63" s="21"/>
      <c r="M63" s="21"/>
      <c r="N63" s="21"/>
      <c r="O63" s="52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 ht="15.75" customHeight="1">
      <c r="A64" s="21"/>
      <c r="B64" s="22"/>
      <c r="C64" s="22"/>
      <c r="D64" s="21"/>
      <c r="E64" s="21"/>
      <c r="F64" s="21"/>
      <c r="G64" s="21"/>
      <c r="H64" s="22"/>
      <c r="I64" s="21"/>
      <c r="J64" s="94"/>
      <c r="K64" s="21"/>
      <c r="L64" s="21"/>
      <c r="M64" s="21"/>
      <c r="N64" s="21"/>
      <c r="O64" s="52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 ht="15.75" customHeight="1">
      <c r="A65" s="21"/>
      <c r="B65" s="22"/>
      <c r="C65" s="22"/>
      <c r="D65" s="21"/>
      <c r="E65" s="21"/>
      <c r="F65" s="21"/>
      <c r="G65" s="21"/>
      <c r="H65" s="22"/>
      <c r="I65" s="21"/>
      <c r="J65" s="94"/>
      <c r="K65" s="21"/>
      <c r="L65" s="21"/>
      <c r="M65" s="21"/>
      <c r="N65" s="21"/>
      <c r="O65" s="52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 ht="15.75" customHeight="1">
      <c r="A66" s="21"/>
      <c r="B66" s="22"/>
      <c r="C66" s="22"/>
      <c r="D66" s="21"/>
      <c r="E66" s="21"/>
      <c r="F66" s="21"/>
      <c r="G66" s="21"/>
      <c r="H66" s="22"/>
      <c r="I66" s="21"/>
      <c r="J66" s="94"/>
      <c r="K66" s="21"/>
      <c r="L66" s="21"/>
      <c r="M66" s="21"/>
      <c r="N66" s="21"/>
      <c r="O66" s="52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 ht="15.75" customHeight="1">
      <c r="A67" s="21"/>
      <c r="B67" s="22"/>
      <c r="C67" s="22"/>
      <c r="D67" s="21"/>
      <c r="E67" s="21"/>
      <c r="F67" s="21"/>
      <c r="G67" s="21"/>
      <c r="H67" s="22"/>
      <c r="I67" s="21"/>
      <c r="J67" s="94"/>
      <c r="K67" s="21"/>
      <c r="L67" s="21"/>
      <c r="M67" s="21"/>
      <c r="N67" s="21"/>
      <c r="O67" s="52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 ht="15.75" customHeight="1">
      <c r="A68" s="21"/>
      <c r="B68" s="22"/>
      <c r="C68" s="22"/>
      <c r="D68" s="21"/>
      <c r="E68" s="21"/>
      <c r="F68" s="21"/>
      <c r="G68" s="21"/>
      <c r="H68" s="22"/>
      <c r="I68" s="21"/>
      <c r="J68" s="94"/>
      <c r="K68" s="21"/>
      <c r="L68" s="21"/>
      <c r="M68" s="21"/>
      <c r="N68" s="21"/>
      <c r="O68" s="52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 ht="15.75" customHeight="1">
      <c r="A69" s="21"/>
      <c r="B69" s="22"/>
      <c r="C69" s="22"/>
      <c r="D69" s="21"/>
      <c r="E69" s="21"/>
      <c r="F69" s="21"/>
      <c r="G69" s="21"/>
      <c r="H69" s="22"/>
      <c r="I69" s="21"/>
      <c r="J69" s="94"/>
      <c r="K69" s="21"/>
      <c r="L69" s="21"/>
      <c r="M69" s="21"/>
      <c r="N69" s="21"/>
      <c r="O69" s="52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 ht="15.75" customHeight="1">
      <c r="A70" s="21"/>
      <c r="B70" s="22"/>
      <c r="C70" s="22"/>
      <c r="D70" s="21"/>
      <c r="E70" s="21"/>
      <c r="F70" s="21"/>
      <c r="G70" s="21"/>
      <c r="H70" s="22"/>
      <c r="I70" s="21"/>
      <c r="J70" s="94"/>
      <c r="K70" s="21"/>
      <c r="L70" s="21"/>
      <c r="M70" s="21"/>
      <c r="N70" s="21"/>
      <c r="O70" s="52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 ht="15.75" customHeight="1">
      <c r="A71" s="21"/>
      <c r="B71" s="22"/>
      <c r="C71" s="22"/>
      <c r="D71" s="21"/>
      <c r="E71" s="21"/>
      <c r="F71" s="21"/>
      <c r="G71" s="21"/>
      <c r="H71" s="22"/>
      <c r="I71" s="21"/>
      <c r="J71" s="94"/>
      <c r="K71" s="21"/>
      <c r="L71" s="21"/>
      <c r="M71" s="21"/>
      <c r="N71" s="21"/>
      <c r="O71" s="52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 ht="15.75" customHeight="1">
      <c r="A72" s="21"/>
      <c r="B72" s="22"/>
      <c r="C72" s="22"/>
      <c r="D72" s="21"/>
      <c r="E72" s="21"/>
      <c r="F72" s="21"/>
      <c r="G72" s="21"/>
      <c r="H72" s="22"/>
      <c r="I72" s="21"/>
      <c r="J72" s="94"/>
      <c r="K72" s="21"/>
      <c r="L72" s="21"/>
      <c r="M72" s="21"/>
      <c r="N72" s="21"/>
      <c r="O72" s="52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 ht="15.75" customHeight="1">
      <c r="A73" s="21"/>
      <c r="B73" s="22"/>
      <c r="C73" s="22"/>
      <c r="D73" s="21"/>
      <c r="E73" s="21"/>
      <c r="F73" s="21"/>
      <c r="G73" s="21"/>
      <c r="H73" s="22"/>
      <c r="I73" s="21"/>
      <c r="J73" s="94"/>
      <c r="K73" s="21"/>
      <c r="L73" s="21"/>
      <c r="M73" s="21"/>
      <c r="N73" s="21"/>
      <c r="O73" s="52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 ht="15.75" customHeight="1">
      <c r="A74" s="21"/>
      <c r="B74" s="22"/>
      <c r="C74" s="22"/>
      <c r="D74" s="21"/>
      <c r="E74" s="21"/>
      <c r="F74" s="21"/>
      <c r="G74" s="21"/>
      <c r="H74" s="22"/>
      <c r="I74" s="21"/>
      <c r="J74" s="94"/>
      <c r="K74" s="21"/>
      <c r="L74" s="21"/>
      <c r="M74" s="21"/>
      <c r="N74" s="21"/>
      <c r="O74" s="52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 ht="15.75" customHeight="1">
      <c r="A75" s="21"/>
      <c r="B75" s="22"/>
      <c r="C75" s="22"/>
      <c r="D75" s="21"/>
      <c r="E75" s="21"/>
      <c r="F75" s="21"/>
      <c r="G75" s="21"/>
      <c r="H75" s="22"/>
      <c r="I75" s="21"/>
      <c r="J75" s="94"/>
      <c r="K75" s="21"/>
      <c r="L75" s="21"/>
      <c r="M75" s="21"/>
      <c r="N75" s="21"/>
      <c r="O75" s="52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 ht="15.75" customHeight="1">
      <c r="A76" s="21"/>
      <c r="B76" s="22"/>
      <c r="C76" s="22"/>
      <c r="D76" s="21"/>
      <c r="E76" s="21"/>
      <c r="F76" s="21"/>
      <c r="G76" s="21"/>
      <c r="H76" s="22"/>
      <c r="I76" s="21"/>
      <c r="J76" s="94"/>
      <c r="K76" s="21"/>
      <c r="L76" s="21"/>
      <c r="M76" s="21"/>
      <c r="N76" s="21"/>
      <c r="O76" s="52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 ht="15.75" customHeight="1">
      <c r="A77" s="21"/>
      <c r="B77" s="22"/>
      <c r="C77" s="22"/>
      <c r="D77" s="21"/>
      <c r="E77" s="21"/>
      <c r="F77" s="21"/>
      <c r="G77" s="21"/>
      <c r="H77" s="22"/>
      <c r="I77" s="21"/>
      <c r="J77" s="94"/>
      <c r="K77" s="21"/>
      <c r="L77" s="21"/>
      <c r="M77" s="21"/>
      <c r="N77" s="21"/>
      <c r="O77" s="52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 ht="15.75" customHeight="1">
      <c r="A78" s="21"/>
      <c r="B78" s="22"/>
      <c r="C78" s="22"/>
      <c r="D78" s="21"/>
      <c r="E78" s="21"/>
      <c r="F78" s="21"/>
      <c r="G78" s="21"/>
      <c r="H78" s="22"/>
      <c r="I78" s="21"/>
      <c r="J78" s="94"/>
      <c r="K78" s="21"/>
      <c r="L78" s="21"/>
      <c r="M78" s="21"/>
      <c r="N78" s="21"/>
      <c r="O78" s="52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 ht="15.75" customHeight="1">
      <c r="A79" s="21"/>
      <c r="B79" s="22"/>
      <c r="C79" s="22"/>
      <c r="D79" s="21"/>
      <c r="E79" s="21"/>
      <c r="F79" s="21"/>
      <c r="G79" s="21"/>
      <c r="H79" s="22"/>
      <c r="I79" s="21"/>
      <c r="J79" s="94"/>
      <c r="K79" s="21"/>
      <c r="L79" s="21"/>
      <c r="M79" s="21"/>
      <c r="N79" s="21"/>
      <c r="O79" s="52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 ht="15.75" customHeight="1">
      <c r="A80" s="21"/>
      <c r="B80" s="22"/>
      <c r="C80" s="22"/>
      <c r="D80" s="21"/>
      <c r="E80" s="21"/>
      <c r="F80" s="21"/>
      <c r="G80" s="21"/>
      <c r="H80" s="22"/>
      <c r="I80" s="21"/>
      <c r="J80" s="94"/>
      <c r="K80" s="21"/>
      <c r="L80" s="21"/>
      <c r="M80" s="21"/>
      <c r="N80" s="21"/>
      <c r="O80" s="52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 ht="15.75" customHeight="1">
      <c r="A81" s="21"/>
      <c r="B81" s="22"/>
      <c r="C81" s="22"/>
      <c r="D81" s="21"/>
      <c r="E81" s="21"/>
      <c r="F81" s="21"/>
      <c r="G81" s="21"/>
      <c r="H81" s="22"/>
      <c r="I81" s="21"/>
      <c r="J81" s="94"/>
      <c r="K81" s="21"/>
      <c r="L81" s="21"/>
      <c r="M81" s="21"/>
      <c r="N81" s="21"/>
      <c r="O81" s="52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 ht="15.75" customHeight="1">
      <c r="A82" s="21"/>
      <c r="B82" s="22"/>
      <c r="C82" s="22"/>
      <c r="D82" s="21"/>
      <c r="E82" s="21"/>
      <c r="F82" s="21"/>
      <c r="G82" s="21"/>
      <c r="H82" s="22"/>
      <c r="I82" s="21"/>
      <c r="J82" s="94"/>
      <c r="K82" s="21"/>
      <c r="L82" s="21"/>
      <c r="M82" s="21"/>
      <c r="N82" s="21"/>
      <c r="O82" s="52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 ht="15.75" customHeight="1">
      <c r="A83" s="21"/>
      <c r="B83" s="22"/>
      <c r="C83" s="22"/>
      <c r="D83" s="21"/>
      <c r="E83" s="21"/>
      <c r="F83" s="21"/>
      <c r="G83" s="21"/>
      <c r="H83" s="22"/>
      <c r="I83" s="21"/>
      <c r="J83" s="94"/>
      <c r="K83" s="21"/>
      <c r="L83" s="21"/>
      <c r="M83" s="21"/>
      <c r="N83" s="21"/>
      <c r="O83" s="52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 ht="15.75" customHeight="1">
      <c r="A84" s="21"/>
      <c r="B84" s="22"/>
      <c r="C84" s="22"/>
      <c r="D84" s="21"/>
      <c r="E84" s="21"/>
      <c r="F84" s="21"/>
      <c r="G84" s="21"/>
      <c r="H84" s="22"/>
      <c r="I84" s="21"/>
      <c r="J84" s="94"/>
      <c r="K84" s="21"/>
      <c r="L84" s="21"/>
      <c r="M84" s="21"/>
      <c r="N84" s="21"/>
      <c r="O84" s="52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 ht="15.75" customHeight="1">
      <c r="A85" s="21"/>
      <c r="B85" s="22"/>
      <c r="C85" s="22"/>
      <c r="D85" s="21"/>
      <c r="E85" s="21"/>
      <c r="F85" s="21"/>
      <c r="G85" s="21"/>
      <c r="H85" s="22"/>
      <c r="I85" s="21"/>
      <c r="J85" s="94"/>
      <c r="K85" s="21"/>
      <c r="L85" s="21"/>
      <c r="M85" s="21"/>
      <c r="N85" s="21"/>
      <c r="O85" s="52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 ht="15.75" customHeight="1">
      <c r="A86" s="21"/>
      <c r="B86" s="22"/>
      <c r="C86" s="22"/>
      <c r="D86" s="21"/>
      <c r="E86" s="21"/>
      <c r="F86" s="21"/>
      <c r="G86" s="21"/>
      <c r="H86" s="22"/>
      <c r="I86" s="21"/>
      <c r="J86" s="94"/>
      <c r="K86" s="21"/>
      <c r="L86" s="21"/>
      <c r="M86" s="21"/>
      <c r="N86" s="21"/>
      <c r="O86" s="52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 ht="15.75" customHeight="1">
      <c r="A87" s="21"/>
      <c r="B87" s="22"/>
      <c r="C87" s="22"/>
      <c r="D87" s="21"/>
      <c r="E87" s="21"/>
      <c r="F87" s="21"/>
      <c r="G87" s="21"/>
      <c r="H87" s="22"/>
      <c r="I87" s="21"/>
      <c r="J87" s="94"/>
      <c r="K87" s="21"/>
      <c r="L87" s="21"/>
      <c r="M87" s="21"/>
      <c r="N87" s="21"/>
      <c r="O87" s="52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 ht="15.75" customHeight="1">
      <c r="A88" s="21"/>
      <c r="B88" s="22"/>
      <c r="C88" s="22"/>
      <c r="D88" s="21"/>
      <c r="E88" s="21"/>
      <c r="F88" s="21"/>
      <c r="G88" s="21"/>
      <c r="H88" s="22"/>
      <c r="I88" s="21"/>
      <c r="J88" s="94"/>
      <c r="K88" s="21"/>
      <c r="L88" s="21"/>
      <c r="M88" s="21"/>
      <c r="N88" s="21"/>
      <c r="O88" s="52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 ht="15.75" customHeight="1">
      <c r="A89" s="21"/>
      <c r="B89" s="22"/>
      <c r="C89" s="22"/>
      <c r="D89" s="21"/>
      <c r="E89" s="21"/>
      <c r="F89" s="21"/>
      <c r="G89" s="21"/>
      <c r="H89" s="22"/>
      <c r="I89" s="21"/>
      <c r="J89" s="94"/>
      <c r="K89" s="21"/>
      <c r="L89" s="21"/>
      <c r="M89" s="21"/>
      <c r="N89" s="21"/>
      <c r="O89" s="52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 ht="15.75" customHeight="1">
      <c r="A90" s="21"/>
      <c r="B90" s="22"/>
      <c r="C90" s="22"/>
      <c r="D90" s="21"/>
      <c r="E90" s="21"/>
      <c r="F90" s="21"/>
      <c r="G90" s="21"/>
      <c r="H90" s="22"/>
      <c r="I90" s="21"/>
      <c r="J90" s="94"/>
      <c r="K90" s="21"/>
      <c r="L90" s="21"/>
      <c r="M90" s="21"/>
      <c r="N90" s="21"/>
      <c r="O90" s="52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 ht="15.75" customHeight="1">
      <c r="A91" s="21"/>
      <c r="B91" s="22"/>
      <c r="C91" s="22"/>
      <c r="D91" s="21"/>
      <c r="E91" s="21"/>
      <c r="F91" s="21"/>
      <c r="G91" s="21"/>
      <c r="H91" s="22"/>
      <c r="I91" s="21"/>
      <c r="J91" s="94"/>
      <c r="K91" s="21"/>
      <c r="L91" s="21"/>
      <c r="M91" s="21"/>
      <c r="N91" s="21"/>
      <c r="O91" s="52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 ht="15.75" customHeight="1">
      <c r="A92" s="21"/>
      <c r="B92" s="22"/>
      <c r="C92" s="22"/>
      <c r="D92" s="21"/>
      <c r="E92" s="21"/>
      <c r="F92" s="21"/>
      <c r="G92" s="21"/>
      <c r="H92" s="22"/>
      <c r="I92" s="21"/>
      <c r="J92" s="94"/>
      <c r="K92" s="21"/>
      <c r="L92" s="21"/>
      <c r="M92" s="21"/>
      <c r="N92" s="21"/>
      <c r="O92" s="52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 ht="15.75" customHeight="1">
      <c r="A93" s="21"/>
      <c r="B93" s="22"/>
      <c r="C93" s="22"/>
      <c r="D93" s="21"/>
      <c r="E93" s="21"/>
      <c r="F93" s="21"/>
      <c r="G93" s="21"/>
      <c r="H93" s="22"/>
      <c r="I93" s="21"/>
      <c r="J93" s="94"/>
      <c r="K93" s="21"/>
      <c r="L93" s="21"/>
      <c r="M93" s="21"/>
      <c r="N93" s="21"/>
      <c r="O93" s="52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 ht="15.75" customHeight="1">
      <c r="A94" s="21"/>
      <c r="B94" s="22"/>
      <c r="C94" s="22"/>
      <c r="D94" s="21"/>
      <c r="E94" s="21"/>
      <c r="F94" s="21"/>
      <c r="G94" s="21"/>
      <c r="H94" s="22"/>
      <c r="I94" s="21"/>
      <c r="J94" s="94"/>
      <c r="K94" s="21"/>
      <c r="L94" s="21"/>
      <c r="M94" s="21"/>
      <c r="N94" s="21"/>
      <c r="O94" s="52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 ht="15.75" customHeight="1">
      <c r="A95" s="21"/>
      <c r="B95" s="22"/>
      <c r="C95" s="22"/>
      <c r="D95" s="21"/>
      <c r="E95" s="21"/>
      <c r="F95" s="21"/>
      <c r="G95" s="21"/>
      <c r="H95" s="22"/>
      <c r="I95" s="21"/>
      <c r="J95" s="94"/>
      <c r="K95" s="21"/>
      <c r="L95" s="21"/>
      <c r="M95" s="21"/>
      <c r="N95" s="21"/>
      <c r="O95" s="52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 ht="15.75" customHeight="1">
      <c r="A96" s="21"/>
      <c r="B96" s="22"/>
      <c r="C96" s="22"/>
      <c r="D96" s="21"/>
      <c r="E96" s="21"/>
      <c r="F96" s="21"/>
      <c r="G96" s="21"/>
      <c r="H96" s="22"/>
      <c r="I96" s="21"/>
      <c r="J96" s="94"/>
      <c r="K96" s="21"/>
      <c r="L96" s="21"/>
      <c r="M96" s="21"/>
      <c r="N96" s="21"/>
      <c r="O96" s="52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 ht="15.75" customHeight="1">
      <c r="A97" s="21"/>
      <c r="B97" s="22"/>
      <c r="C97" s="22"/>
      <c r="D97" s="21"/>
      <c r="E97" s="21"/>
      <c r="F97" s="21"/>
      <c r="G97" s="21"/>
      <c r="H97" s="22"/>
      <c r="I97" s="21"/>
      <c r="J97" s="94"/>
      <c r="K97" s="21"/>
      <c r="L97" s="21"/>
      <c r="M97" s="21"/>
      <c r="N97" s="21"/>
      <c r="O97" s="52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 ht="15.75" customHeight="1">
      <c r="A98" s="21"/>
      <c r="B98" s="22"/>
      <c r="C98" s="22"/>
      <c r="D98" s="21"/>
      <c r="E98" s="21"/>
      <c r="F98" s="21"/>
      <c r="G98" s="21"/>
      <c r="H98" s="22"/>
      <c r="I98" s="21"/>
      <c r="J98" s="94"/>
      <c r="K98" s="21"/>
      <c r="L98" s="21"/>
      <c r="M98" s="21"/>
      <c r="N98" s="21"/>
      <c r="O98" s="52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 ht="15.75" customHeight="1">
      <c r="A99" s="21"/>
      <c r="B99" s="22"/>
      <c r="C99" s="22"/>
      <c r="D99" s="21"/>
      <c r="E99" s="21"/>
      <c r="F99" s="21"/>
      <c r="G99" s="21"/>
      <c r="H99" s="22"/>
      <c r="I99" s="21"/>
      <c r="J99" s="94"/>
      <c r="K99" s="21"/>
      <c r="L99" s="21"/>
      <c r="M99" s="21"/>
      <c r="N99" s="21"/>
      <c r="O99" s="52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 ht="15.75" customHeight="1">
      <c r="A100" s="21"/>
      <c r="B100" s="22"/>
      <c r="C100" s="22"/>
      <c r="D100" s="21"/>
      <c r="E100" s="21"/>
      <c r="F100" s="21"/>
      <c r="G100" s="21"/>
      <c r="H100" s="22"/>
      <c r="I100" s="21"/>
      <c r="J100" s="94"/>
      <c r="K100" s="21"/>
      <c r="L100" s="21"/>
      <c r="M100" s="21"/>
      <c r="N100" s="21"/>
      <c r="O100" s="52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 ht="15.75" customHeight="1">
      <c r="A101" s="21"/>
      <c r="B101" s="22"/>
      <c r="C101" s="22"/>
      <c r="D101" s="21"/>
      <c r="E101" s="21"/>
      <c r="F101" s="21"/>
      <c r="G101" s="21"/>
      <c r="H101" s="22"/>
      <c r="I101" s="21"/>
      <c r="J101" s="94"/>
      <c r="K101" s="21"/>
      <c r="L101" s="21"/>
      <c r="M101" s="21"/>
      <c r="N101" s="21"/>
      <c r="O101" s="52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 ht="15.75" customHeight="1">
      <c r="A102" s="21"/>
      <c r="B102" s="22"/>
      <c r="C102" s="22"/>
      <c r="D102" s="21"/>
      <c r="E102" s="21"/>
      <c r="F102" s="21"/>
      <c r="G102" s="21"/>
      <c r="H102" s="22"/>
      <c r="I102" s="21"/>
      <c r="J102" s="94"/>
      <c r="K102" s="21"/>
      <c r="L102" s="21"/>
      <c r="M102" s="21"/>
      <c r="N102" s="21"/>
      <c r="O102" s="52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 ht="15.75" customHeight="1">
      <c r="A103" s="21"/>
      <c r="B103" s="22"/>
      <c r="C103" s="22"/>
      <c r="D103" s="21"/>
      <c r="E103" s="21"/>
      <c r="F103" s="21"/>
      <c r="G103" s="21"/>
      <c r="H103" s="22"/>
      <c r="I103" s="21"/>
      <c r="J103" s="94"/>
      <c r="K103" s="21"/>
      <c r="L103" s="21"/>
      <c r="M103" s="21"/>
      <c r="N103" s="21"/>
      <c r="O103" s="52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 ht="15.75" customHeight="1">
      <c r="A104" s="21"/>
      <c r="B104" s="22"/>
      <c r="C104" s="22"/>
      <c r="D104" s="21"/>
      <c r="E104" s="21"/>
      <c r="F104" s="21"/>
      <c r="G104" s="21"/>
      <c r="H104" s="22"/>
      <c r="I104" s="21"/>
      <c r="J104" s="94"/>
      <c r="K104" s="21"/>
      <c r="L104" s="21"/>
      <c r="M104" s="21"/>
      <c r="N104" s="21"/>
      <c r="O104" s="52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 ht="15.75" customHeight="1">
      <c r="A105" s="21"/>
      <c r="B105" s="22"/>
      <c r="C105" s="22"/>
      <c r="D105" s="21"/>
      <c r="E105" s="21"/>
      <c r="F105" s="21"/>
      <c r="G105" s="21"/>
      <c r="H105" s="22"/>
      <c r="I105" s="21"/>
      <c r="J105" s="94"/>
      <c r="K105" s="21"/>
      <c r="L105" s="21"/>
      <c r="M105" s="21"/>
      <c r="N105" s="21"/>
      <c r="O105" s="52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 ht="15.75" customHeight="1">
      <c r="A106" s="21"/>
      <c r="B106" s="22"/>
      <c r="C106" s="22"/>
      <c r="D106" s="21"/>
      <c r="E106" s="21"/>
      <c r="F106" s="21"/>
      <c r="G106" s="21"/>
      <c r="H106" s="22"/>
      <c r="I106" s="21"/>
      <c r="J106" s="94"/>
      <c r="K106" s="21"/>
      <c r="L106" s="21"/>
      <c r="M106" s="21"/>
      <c r="N106" s="21"/>
      <c r="O106" s="52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 ht="15.75" customHeight="1">
      <c r="A107" s="21"/>
      <c r="B107" s="22"/>
      <c r="C107" s="22"/>
      <c r="D107" s="21"/>
      <c r="E107" s="21"/>
      <c r="F107" s="21"/>
      <c r="G107" s="21"/>
      <c r="H107" s="22"/>
      <c r="I107" s="21"/>
      <c r="J107" s="94"/>
      <c r="K107" s="21"/>
      <c r="L107" s="21"/>
      <c r="M107" s="21"/>
      <c r="N107" s="21"/>
      <c r="O107" s="52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 ht="15.75" customHeight="1">
      <c r="A108" s="21"/>
      <c r="B108" s="22"/>
      <c r="C108" s="22"/>
      <c r="D108" s="21"/>
      <c r="E108" s="21"/>
      <c r="F108" s="21"/>
      <c r="G108" s="21"/>
      <c r="H108" s="22"/>
      <c r="I108" s="21"/>
      <c r="J108" s="94"/>
      <c r="K108" s="21"/>
      <c r="L108" s="21"/>
      <c r="M108" s="21"/>
      <c r="N108" s="21"/>
      <c r="O108" s="52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 ht="15.75" customHeight="1">
      <c r="A109" s="21"/>
      <c r="B109" s="22"/>
      <c r="C109" s="22"/>
      <c r="D109" s="21"/>
      <c r="E109" s="21"/>
      <c r="F109" s="21"/>
      <c r="G109" s="21"/>
      <c r="H109" s="22"/>
      <c r="I109" s="21"/>
      <c r="J109" s="94"/>
      <c r="K109" s="21"/>
      <c r="L109" s="21"/>
      <c r="M109" s="21"/>
      <c r="N109" s="21"/>
      <c r="O109" s="52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 ht="15.75" customHeight="1">
      <c r="A110" s="21"/>
      <c r="B110" s="22"/>
      <c r="C110" s="22"/>
      <c r="D110" s="21"/>
      <c r="E110" s="21"/>
      <c r="F110" s="21"/>
      <c r="G110" s="21"/>
      <c r="H110" s="22"/>
      <c r="I110" s="21"/>
      <c r="J110" s="94"/>
      <c r="K110" s="21"/>
      <c r="L110" s="21"/>
      <c r="M110" s="21"/>
      <c r="N110" s="21"/>
      <c r="O110" s="52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 ht="15.75" customHeight="1">
      <c r="A111" s="21"/>
      <c r="B111" s="22"/>
      <c r="C111" s="22"/>
      <c r="D111" s="21"/>
      <c r="E111" s="21"/>
      <c r="F111" s="21"/>
      <c r="G111" s="21"/>
      <c r="H111" s="22"/>
      <c r="I111" s="21"/>
      <c r="J111" s="94"/>
      <c r="K111" s="21"/>
      <c r="L111" s="21"/>
      <c r="M111" s="21"/>
      <c r="N111" s="21"/>
      <c r="O111" s="52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 ht="15.75" customHeight="1">
      <c r="A112" s="21"/>
      <c r="B112" s="22"/>
      <c r="C112" s="22"/>
      <c r="D112" s="21"/>
      <c r="E112" s="21"/>
      <c r="F112" s="21"/>
      <c r="G112" s="21"/>
      <c r="H112" s="22"/>
      <c r="I112" s="21"/>
      <c r="J112" s="94"/>
      <c r="K112" s="21"/>
      <c r="L112" s="21"/>
      <c r="M112" s="21"/>
      <c r="N112" s="21"/>
      <c r="O112" s="52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 ht="15.75" customHeight="1">
      <c r="A113" s="21"/>
      <c r="B113" s="22"/>
      <c r="C113" s="22"/>
      <c r="D113" s="21"/>
      <c r="E113" s="21"/>
      <c r="F113" s="21"/>
      <c r="G113" s="21"/>
      <c r="H113" s="22"/>
      <c r="I113" s="21"/>
      <c r="J113" s="94"/>
      <c r="K113" s="21"/>
      <c r="L113" s="21"/>
      <c r="M113" s="21"/>
      <c r="N113" s="21"/>
      <c r="O113" s="52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 ht="15.75" customHeight="1">
      <c r="A114" s="21"/>
      <c r="B114" s="22"/>
      <c r="C114" s="22"/>
      <c r="D114" s="21"/>
      <c r="E114" s="21"/>
      <c r="F114" s="21"/>
      <c r="G114" s="21"/>
      <c r="H114" s="22"/>
      <c r="I114" s="21"/>
      <c r="J114" s="94"/>
      <c r="K114" s="21"/>
      <c r="L114" s="21"/>
      <c r="M114" s="21"/>
      <c r="N114" s="21"/>
      <c r="O114" s="52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 ht="15.75" customHeight="1">
      <c r="A115" s="21"/>
      <c r="B115" s="22"/>
      <c r="C115" s="22"/>
      <c r="D115" s="21"/>
      <c r="E115" s="21"/>
      <c r="F115" s="21"/>
      <c r="G115" s="21"/>
      <c r="H115" s="22"/>
      <c r="I115" s="21"/>
      <c r="J115" s="94"/>
      <c r="K115" s="21"/>
      <c r="L115" s="21"/>
      <c r="M115" s="21"/>
      <c r="N115" s="21"/>
      <c r="O115" s="52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 ht="15.75" customHeight="1">
      <c r="A116" s="21"/>
      <c r="B116" s="22"/>
      <c r="C116" s="22"/>
      <c r="D116" s="21"/>
      <c r="E116" s="21"/>
      <c r="F116" s="21"/>
      <c r="G116" s="21"/>
      <c r="H116" s="22"/>
      <c r="I116" s="21"/>
      <c r="J116" s="94"/>
      <c r="K116" s="21"/>
      <c r="L116" s="21"/>
      <c r="M116" s="21"/>
      <c r="N116" s="21"/>
      <c r="O116" s="52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 ht="15.75" customHeight="1">
      <c r="A117" s="21"/>
      <c r="B117" s="22"/>
      <c r="C117" s="22"/>
      <c r="D117" s="21"/>
      <c r="E117" s="21"/>
      <c r="F117" s="21"/>
      <c r="G117" s="21"/>
      <c r="H117" s="22"/>
      <c r="I117" s="21"/>
      <c r="J117" s="94"/>
      <c r="K117" s="21"/>
      <c r="L117" s="21"/>
      <c r="M117" s="21"/>
      <c r="N117" s="21"/>
      <c r="O117" s="52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 ht="15.75" customHeight="1">
      <c r="A118" s="21"/>
      <c r="B118" s="22"/>
      <c r="C118" s="22"/>
      <c r="D118" s="21"/>
      <c r="E118" s="21"/>
      <c r="F118" s="21"/>
      <c r="G118" s="21"/>
      <c r="H118" s="22"/>
      <c r="I118" s="21"/>
      <c r="J118" s="94"/>
      <c r="K118" s="21"/>
      <c r="L118" s="21"/>
      <c r="M118" s="21"/>
      <c r="N118" s="21"/>
      <c r="O118" s="52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 ht="15.75" customHeight="1">
      <c r="A119" s="21"/>
      <c r="B119" s="22"/>
      <c r="C119" s="22"/>
      <c r="D119" s="21"/>
      <c r="E119" s="21"/>
      <c r="F119" s="21"/>
      <c r="G119" s="21"/>
      <c r="H119" s="22"/>
      <c r="I119" s="21"/>
      <c r="J119" s="94"/>
      <c r="K119" s="21"/>
      <c r="L119" s="21"/>
      <c r="M119" s="21"/>
      <c r="N119" s="21"/>
      <c r="O119" s="52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 ht="15.75" customHeight="1">
      <c r="A120" s="21"/>
      <c r="B120" s="22"/>
      <c r="C120" s="22"/>
      <c r="D120" s="21"/>
      <c r="E120" s="21"/>
      <c r="F120" s="21"/>
      <c r="G120" s="21"/>
      <c r="H120" s="22"/>
      <c r="I120" s="21"/>
      <c r="J120" s="94"/>
      <c r="K120" s="21"/>
      <c r="L120" s="21"/>
      <c r="M120" s="21"/>
      <c r="N120" s="21"/>
      <c r="O120" s="52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 ht="15.75" customHeight="1">
      <c r="A121" s="21"/>
      <c r="B121" s="22"/>
      <c r="C121" s="22"/>
      <c r="D121" s="21"/>
      <c r="E121" s="21"/>
      <c r="F121" s="21"/>
      <c r="G121" s="21"/>
      <c r="H121" s="22"/>
      <c r="I121" s="21"/>
      <c r="J121" s="94"/>
      <c r="K121" s="21"/>
      <c r="L121" s="21"/>
      <c r="M121" s="21"/>
      <c r="N121" s="21"/>
      <c r="O121" s="52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 ht="15.75" customHeight="1">
      <c r="A122" s="21"/>
      <c r="B122" s="22"/>
      <c r="C122" s="22"/>
      <c r="D122" s="21"/>
      <c r="E122" s="21"/>
      <c r="F122" s="21"/>
      <c r="G122" s="21"/>
      <c r="H122" s="22"/>
      <c r="I122" s="21"/>
      <c r="J122" s="94"/>
      <c r="K122" s="21"/>
      <c r="L122" s="21"/>
      <c r="M122" s="21"/>
      <c r="N122" s="21"/>
      <c r="O122" s="52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 ht="15.75" customHeight="1">
      <c r="A123" s="21"/>
      <c r="B123" s="22"/>
      <c r="C123" s="22"/>
      <c r="D123" s="21"/>
      <c r="E123" s="21"/>
      <c r="F123" s="21"/>
      <c r="G123" s="21"/>
      <c r="H123" s="22"/>
      <c r="I123" s="21"/>
      <c r="J123" s="94"/>
      <c r="K123" s="21"/>
      <c r="L123" s="21"/>
      <c r="M123" s="21"/>
      <c r="N123" s="21"/>
      <c r="O123" s="52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 ht="15.75" customHeight="1">
      <c r="A124" s="21"/>
      <c r="B124" s="22"/>
      <c r="C124" s="22"/>
      <c r="D124" s="21"/>
      <c r="E124" s="21"/>
      <c r="F124" s="21"/>
      <c r="G124" s="21"/>
      <c r="H124" s="22"/>
      <c r="I124" s="21"/>
      <c r="J124" s="94"/>
      <c r="K124" s="21"/>
      <c r="L124" s="21"/>
      <c r="M124" s="21"/>
      <c r="N124" s="21"/>
      <c r="O124" s="52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 ht="15.75" customHeight="1">
      <c r="A125" s="21"/>
      <c r="B125" s="22"/>
      <c r="C125" s="22"/>
      <c r="D125" s="21"/>
      <c r="E125" s="21"/>
      <c r="F125" s="21"/>
      <c r="G125" s="21"/>
      <c r="H125" s="22"/>
      <c r="I125" s="21"/>
      <c r="J125" s="94"/>
      <c r="K125" s="21"/>
      <c r="L125" s="21"/>
      <c r="M125" s="21"/>
      <c r="N125" s="21"/>
      <c r="O125" s="52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 ht="15.75" customHeight="1">
      <c r="A126" s="21"/>
      <c r="B126" s="22"/>
      <c r="C126" s="22"/>
      <c r="D126" s="21"/>
      <c r="E126" s="21"/>
      <c r="F126" s="21"/>
      <c r="G126" s="21"/>
      <c r="H126" s="22"/>
      <c r="I126" s="21"/>
      <c r="J126" s="94"/>
      <c r="K126" s="21"/>
      <c r="L126" s="21"/>
      <c r="M126" s="21"/>
      <c r="N126" s="21"/>
      <c r="O126" s="52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 ht="15.75" customHeight="1">
      <c r="A127" s="21"/>
      <c r="B127" s="22"/>
      <c r="C127" s="22"/>
      <c r="D127" s="21"/>
      <c r="E127" s="21"/>
      <c r="F127" s="21"/>
      <c r="G127" s="21"/>
      <c r="H127" s="22"/>
      <c r="I127" s="21"/>
      <c r="J127" s="94"/>
      <c r="K127" s="21"/>
      <c r="L127" s="21"/>
      <c r="M127" s="21"/>
      <c r="N127" s="21"/>
      <c r="O127" s="52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 ht="15.75" customHeight="1">
      <c r="A128" s="21"/>
      <c r="B128" s="22"/>
      <c r="C128" s="22"/>
      <c r="D128" s="21"/>
      <c r="E128" s="21"/>
      <c r="F128" s="21"/>
      <c r="G128" s="21"/>
      <c r="H128" s="22"/>
      <c r="I128" s="21"/>
      <c r="J128" s="94"/>
      <c r="K128" s="21"/>
      <c r="L128" s="21"/>
      <c r="M128" s="21"/>
      <c r="N128" s="21"/>
      <c r="O128" s="52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 ht="15.75" customHeight="1">
      <c r="A129" s="21"/>
      <c r="B129" s="22"/>
      <c r="C129" s="22"/>
      <c r="D129" s="21"/>
      <c r="E129" s="21"/>
      <c r="F129" s="21"/>
      <c r="G129" s="21"/>
      <c r="H129" s="22"/>
      <c r="I129" s="21"/>
      <c r="J129" s="94"/>
      <c r="K129" s="21"/>
      <c r="L129" s="21"/>
      <c r="M129" s="21"/>
      <c r="N129" s="21"/>
      <c r="O129" s="52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 ht="15.75" customHeight="1">
      <c r="A130" s="21"/>
      <c r="B130" s="22"/>
      <c r="C130" s="22"/>
      <c r="D130" s="21"/>
      <c r="E130" s="21"/>
      <c r="F130" s="21"/>
      <c r="G130" s="21"/>
      <c r="H130" s="22"/>
      <c r="I130" s="21"/>
      <c r="J130" s="94"/>
      <c r="K130" s="21"/>
      <c r="L130" s="21"/>
      <c r="M130" s="21"/>
      <c r="N130" s="21"/>
      <c r="O130" s="52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 ht="15.75" customHeight="1">
      <c r="A131" s="21"/>
      <c r="B131" s="22"/>
      <c r="C131" s="22"/>
      <c r="D131" s="21"/>
      <c r="E131" s="21"/>
      <c r="F131" s="21"/>
      <c r="G131" s="21"/>
      <c r="H131" s="22"/>
      <c r="I131" s="21"/>
      <c r="J131" s="94"/>
      <c r="K131" s="21"/>
      <c r="L131" s="21"/>
      <c r="M131" s="21"/>
      <c r="N131" s="21"/>
      <c r="O131" s="52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 ht="15.75" customHeight="1">
      <c r="A132" s="21"/>
      <c r="B132" s="22"/>
      <c r="C132" s="22"/>
      <c r="D132" s="21"/>
      <c r="E132" s="21"/>
      <c r="F132" s="21"/>
      <c r="G132" s="21"/>
      <c r="H132" s="22"/>
      <c r="I132" s="21"/>
      <c r="J132" s="94"/>
      <c r="K132" s="21"/>
      <c r="L132" s="21"/>
      <c r="M132" s="21"/>
      <c r="N132" s="21"/>
      <c r="O132" s="52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 ht="15.75" customHeight="1">
      <c r="A133" s="21"/>
      <c r="B133" s="22"/>
      <c r="C133" s="22"/>
      <c r="D133" s="21"/>
      <c r="E133" s="21"/>
      <c r="F133" s="21"/>
      <c r="G133" s="21"/>
      <c r="H133" s="22"/>
      <c r="I133" s="21"/>
      <c r="J133" s="94"/>
      <c r="K133" s="21"/>
      <c r="L133" s="21"/>
      <c r="M133" s="21"/>
      <c r="N133" s="21"/>
      <c r="O133" s="52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 ht="15.75" customHeight="1">
      <c r="A134" s="21"/>
      <c r="B134" s="22"/>
      <c r="C134" s="22"/>
      <c r="D134" s="21"/>
      <c r="E134" s="21"/>
      <c r="F134" s="21"/>
      <c r="G134" s="21"/>
      <c r="H134" s="22"/>
      <c r="I134" s="21"/>
      <c r="J134" s="94"/>
      <c r="K134" s="21"/>
      <c r="L134" s="21"/>
      <c r="M134" s="21"/>
      <c r="N134" s="21"/>
      <c r="O134" s="52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 ht="15.75" customHeight="1">
      <c r="A135" s="21"/>
      <c r="B135" s="22"/>
      <c r="C135" s="22"/>
      <c r="D135" s="21"/>
      <c r="E135" s="21"/>
      <c r="F135" s="21"/>
      <c r="G135" s="21"/>
      <c r="H135" s="22"/>
      <c r="I135" s="21"/>
      <c r="J135" s="94"/>
      <c r="K135" s="21"/>
      <c r="L135" s="21"/>
      <c r="M135" s="21"/>
      <c r="N135" s="21"/>
      <c r="O135" s="52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 ht="15.75" customHeight="1">
      <c r="A136" s="21"/>
      <c r="B136" s="22"/>
      <c r="C136" s="22"/>
      <c r="D136" s="21"/>
      <c r="E136" s="21"/>
      <c r="F136" s="21"/>
      <c r="G136" s="21"/>
      <c r="H136" s="22"/>
      <c r="I136" s="21"/>
      <c r="J136" s="94"/>
      <c r="K136" s="21"/>
      <c r="L136" s="21"/>
      <c r="M136" s="21"/>
      <c r="N136" s="21"/>
      <c r="O136" s="52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 ht="15.75" customHeight="1">
      <c r="A137" s="21"/>
      <c r="B137" s="22"/>
      <c r="C137" s="22"/>
      <c r="D137" s="21"/>
      <c r="E137" s="21"/>
      <c r="F137" s="21"/>
      <c r="G137" s="21"/>
      <c r="H137" s="22"/>
      <c r="I137" s="21"/>
      <c r="J137" s="94"/>
      <c r="K137" s="21"/>
      <c r="L137" s="21"/>
      <c r="M137" s="21"/>
      <c r="N137" s="21"/>
      <c r="O137" s="52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 ht="15.75" customHeight="1">
      <c r="A138" s="21"/>
      <c r="B138" s="22"/>
      <c r="C138" s="22"/>
      <c r="D138" s="21"/>
      <c r="E138" s="21"/>
      <c r="F138" s="21"/>
      <c r="G138" s="21"/>
      <c r="H138" s="22"/>
      <c r="I138" s="21"/>
      <c r="J138" s="94"/>
      <c r="K138" s="21"/>
      <c r="L138" s="21"/>
      <c r="M138" s="21"/>
      <c r="N138" s="21"/>
      <c r="O138" s="52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 ht="15.75" customHeight="1">
      <c r="A139" s="21"/>
      <c r="B139" s="22"/>
      <c r="C139" s="22"/>
      <c r="D139" s="21"/>
      <c r="E139" s="21"/>
      <c r="F139" s="21"/>
      <c r="G139" s="21"/>
      <c r="H139" s="22"/>
      <c r="I139" s="21"/>
      <c r="J139" s="94"/>
      <c r="K139" s="21"/>
      <c r="L139" s="21"/>
      <c r="M139" s="21"/>
      <c r="N139" s="21"/>
      <c r="O139" s="52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 ht="15.75" customHeight="1">
      <c r="A140" s="21"/>
      <c r="B140" s="22"/>
      <c r="C140" s="22"/>
      <c r="D140" s="21"/>
      <c r="E140" s="21"/>
      <c r="F140" s="21"/>
      <c r="G140" s="21"/>
      <c r="H140" s="22"/>
      <c r="I140" s="21"/>
      <c r="J140" s="94"/>
      <c r="K140" s="21"/>
      <c r="L140" s="21"/>
      <c r="M140" s="21"/>
      <c r="N140" s="21"/>
      <c r="O140" s="52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 ht="15.75" customHeight="1">
      <c r="A141" s="21"/>
      <c r="B141" s="22"/>
      <c r="C141" s="22"/>
      <c r="D141" s="21"/>
      <c r="E141" s="21"/>
      <c r="F141" s="21"/>
      <c r="G141" s="21"/>
      <c r="H141" s="22"/>
      <c r="I141" s="21"/>
      <c r="J141" s="94"/>
      <c r="K141" s="21"/>
      <c r="L141" s="21"/>
      <c r="M141" s="21"/>
      <c r="N141" s="21"/>
      <c r="O141" s="52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 ht="15.75" customHeight="1">
      <c r="A142" s="21"/>
      <c r="B142" s="22"/>
      <c r="C142" s="22"/>
      <c r="D142" s="21"/>
      <c r="E142" s="21"/>
      <c r="F142" s="21"/>
      <c r="G142" s="21"/>
      <c r="H142" s="22"/>
      <c r="I142" s="21"/>
      <c r="J142" s="94"/>
      <c r="K142" s="21"/>
      <c r="L142" s="21"/>
      <c r="M142" s="21"/>
      <c r="N142" s="21"/>
      <c r="O142" s="52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 ht="15.75" customHeight="1">
      <c r="A143" s="21"/>
      <c r="B143" s="22"/>
      <c r="C143" s="22"/>
      <c r="D143" s="21"/>
      <c r="E143" s="21"/>
      <c r="F143" s="21"/>
      <c r="G143" s="21"/>
      <c r="H143" s="22"/>
      <c r="I143" s="21"/>
      <c r="J143" s="94"/>
      <c r="K143" s="21"/>
      <c r="L143" s="21"/>
      <c r="M143" s="21"/>
      <c r="N143" s="21"/>
      <c r="O143" s="52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 ht="15.75" customHeight="1">
      <c r="A144" s="21"/>
      <c r="B144" s="22"/>
      <c r="C144" s="22"/>
      <c r="D144" s="21"/>
      <c r="E144" s="21"/>
      <c r="F144" s="21"/>
      <c r="G144" s="21"/>
      <c r="H144" s="22"/>
      <c r="I144" s="21"/>
      <c r="J144" s="94"/>
      <c r="K144" s="21"/>
      <c r="L144" s="21"/>
      <c r="M144" s="21"/>
      <c r="N144" s="21"/>
      <c r="O144" s="52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 ht="15.75" customHeight="1">
      <c r="A145" s="21"/>
      <c r="B145" s="22"/>
      <c r="C145" s="22"/>
      <c r="D145" s="21"/>
      <c r="E145" s="21"/>
      <c r="F145" s="21"/>
      <c r="G145" s="21"/>
      <c r="H145" s="22"/>
      <c r="I145" s="21"/>
      <c r="J145" s="94"/>
      <c r="K145" s="21"/>
      <c r="L145" s="21"/>
      <c r="M145" s="21"/>
      <c r="N145" s="21"/>
      <c r="O145" s="52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 ht="15.75" customHeight="1">
      <c r="A146" s="21"/>
      <c r="B146" s="22"/>
      <c r="C146" s="22"/>
      <c r="D146" s="21"/>
      <c r="E146" s="21"/>
      <c r="F146" s="21"/>
      <c r="G146" s="21"/>
      <c r="H146" s="22"/>
      <c r="I146" s="21"/>
      <c r="J146" s="94"/>
      <c r="K146" s="21"/>
      <c r="L146" s="21"/>
      <c r="M146" s="21"/>
      <c r="N146" s="21"/>
      <c r="O146" s="52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 ht="15.75" customHeight="1">
      <c r="A147" s="21"/>
      <c r="B147" s="22"/>
      <c r="C147" s="22"/>
      <c r="D147" s="21"/>
      <c r="E147" s="21"/>
      <c r="F147" s="21"/>
      <c r="G147" s="21"/>
      <c r="H147" s="22"/>
      <c r="I147" s="21"/>
      <c r="J147" s="94"/>
      <c r="K147" s="21"/>
      <c r="L147" s="21"/>
      <c r="M147" s="21"/>
      <c r="N147" s="21"/>
      <c r="O147" s="52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 ht="15.75" customHeight="1">
      <c r="A148" s="21"/>
      <c r="B148" s="22"/>
      <c r="C148" s="22"/>
      <c r="D148" s="21"/>
      <c r="E148" s="21"/>
      <c r="F148" s="21"/>
      <c r="G148" s="21"/>
      <c r="H148" s="22"/>
      <c r="I148" s="21"/>
      <c r="J148" s="94"/>
      <c r="K148" s="21"/>
      <c r="L148" s="21"/>
      <c r="M148" s="21"/>
      <c r="N148" s="21"/>
      <c r="O148" s="52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 ht="15.75" customHeight="1">
      <c r="A149" s="21"/>
      <c r="B149" s="22"/>
      <c r="C149" s="22"/>
      <c r="D149" s="21"/>
      <c r="E149" s="21"/>
      <c r="F149" s="21"/>
      <c r="G149" s="21"/>
      <c r="H149" s="22"/>
      <c r="I149" s="21"/>
      <c r="J149" s="94"/>
      <c r="K149" s="21"/>
      <c r="L149" s="21"/>
      <c r="M149" s="21"/>
      <c r="N149" s="21"/>
      <c r="O149" s="52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 ht="15.75" customHeight="1">
      <c r="A150" s="21"/>
      <c r="B150" s="22"/>
      <c r="C150" s="22"/>
      <c r="D150" s="21"/>
      <c r="E150" s="21"/>
      <c r="F150" s="21"/>
      <c r="G150" s="21"/>
      <c r="H150" s="22"/>
      <c r="I150" s="21"/>
      <c r="J150" s="94"/>
      <c r="K150" s="21"/>
      <c r="L150" s="21"/>
      <c r="M150" s="21"/>
      <c r="N150" s="21"/>
      <c r="O150" s="52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 ht="15.75" customHeight="1">
      <c r="A151" s="21"/>
      <c r="B151" s="22"/>
      <c r="C151" s="22"/>
      <c r="D151" s="21"/>
      <c r="E151" s="21"/>
      <c r="F151" s="21"/>
      <c r="G151" s="21"/>
      <c r="H151" s="22"/>
      <c r="I151" s="21"/>
      <c r="J151" s="94"/>
      <c r="K151" s="21"/>
      <c r="L151" s="21"/>
      <c r="M151" s="21"/>
      <c r="N151" s="21"/>
      <c r="O151" s="52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 ht="15.75" customHeight="1">
      <c r="A152" s="21"/>
      <c r="B152" s="22"/>
      <c r="C152" s="22"/>
      <c r="D152" s="21"/>
      <c r="E152" s="21"/>
      <c r="F152" s="21"/>
      <c r="G152" s="21"/>
      <c r="H152" s="22"/>
      <c r="I152" s="21"/>
      <c r="J152" s="94"/>
      <c r="K152" s="21"/>
      <c r="L152" s="21"/>
      <c r="M152" s="21"/>
      <c r="N152" s="21"/>
      <c r="O152" s="52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 ht="15.75" customHeight="1">
      <c r="A153" s="21"/>
      <c r="B153" s="22"/>
      <c r="C153" s="22"/>
      <c r="D153" s="21"/>
      <c r="E153" s="21"/>
      <c r="F153" s="21"/>
      <c r="G153" s="21"/>
      <c r="H153" s="22"/>
      <c r="I153" s="21"/>
      <c r="J153" s="94"/>
      <c r="K153" s="21"/>
      <c r="L153" s="21"/>
      <c r="M153" s="21"/>
      <c r="N153" s="21"/>
      <c r="O153" s="52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 ht="15.75" customHeight="1">
      <c r="A154" s="21"/>
      <c r="B154" s="22"/>
      <c r="C154" s="22"/>
      <c r="D154" s="21"/>
      <c r="E154" s="21"/>
      <c r="F154" s="21"/>
      <c r="G154" s="21"/>
      <c r="H154" s="22"/>
      <c r="I154" s="21"/>
      <c r="J154" s="94"/>
      <c r="K154" s="21"/>
      <c r="L154" s="21"/>
      <c r="M154" s="21"/>
      <c r="N154" s="21"/>
      <c r="O154" s="52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 ht="15.75" customHeight="1">
      <c r="A155" s="21"/>
      <c r="B155" s="22"/>
      <c r="C155" s="22"/>
      <c r="D155" s="21"/>
      <c r="E155" s="21"/>
      <c r="F155" s="21"/>
      <c r="G155" s="21"/>
      <c r="H155" s="22"/>
      <c r="I155" s="21"/>
      <c r="J155" s="94"/>
      <c r="K155" s="21"/>
      <c r="L155" s="21"/>
      <c r="M155" s="21"/>
      <c r="N155" s="21"/>
      <c r="O155" s="52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 ht="15.75" customHeight="1">
      <c r="A156" s="21"/>
      <c r="B156" s="22"/>
      <c r="C156" s="22"/>
      <c r="D156" s="21"/>
      <c r="E156" s="21"/>
      <c r="F156" s="21"/>
      <c r="G156" s="21"/>
      <c r="H156" s="22"/>
      <c r="I156" s="21"/>
      <c r="J156" s="94"/>
      <c r="K156" s="21"/>
      <c r="L156" s="21"/>
      <c r="M156" s="21"/>
      <c r="N156" s="21"/>
      <c r="O156" s="52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 ht="15.75" customHeight="1">
      <c r="A157" s="21"/>
      <c r="B157" s="22"/>
      <c r="C157" s="22"/>
      <c r="D157" s="21"/>
      <c r="E157" s="21"/>
      <c r="F157" s="21"/>
      <c r="G157" s="21"/>
      <c r="H157" s="22"/>
      <c r="I157" s="21"/>
      <c r="J157" s="94"/>
      <c r="K157" s="21"/>
      <c r="L157" s="21"/>
      <c r="M157" s="21"/>
      <c r="N157" s="21"/>
      <c r="O157" s="52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 ht="15.75" customHeight="1">
      <c r="A158" s="21"/>
      <c r="B158" s="22"/>
      <c r="C158" s="22"/>
      <c r="D158" s="21"/>
      <c r="E158" s="21"/>
      <c r="F158" s="21"/>
      <c r="G158" s="21"/>
      <c r="H158" s="22"/>
      <c r="I158" s="21"/>
      <c r="J158" s="94"/>
      <c r="K158" s="21"/>
      <c r="L158" s="21"/>
      <c r="M158" s="21"/>
      <c r="N158" s="21"/>
      <c r="O158" s="52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 ht="15.75" customHeight="1">
      <c r="A159" s="21"/>
      <c r="B159" s="22"/>
      <c r="C159" s="22"/>
      <c r="D159" s="21"/>
      <c r="E159" s="21"/>
      <c r="F159" s="21"/>
      <c r="G159" s="21"/>
      <c r="H159" s="22"/>
      <c r="I159" s="21"/>
      <c r="J159" s="94"/>
      <c r="K159" s="21"/>
      <c r="L159" s="21"/>
      <c r="M159" s="21"/>
      <c r="N159" s="21"/>
      <c r="O159" s="52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 ht="15.75" customHeight="1">
      <c r="A160" s="21"/>
      <c r="B160" s="22"/>
      <c r="C160" s="22"/>
      <c r="D160" s="21"/>
      <c r="E160" s="21"/>
      <c r="F160" s="21"/>
      <c r="G160" s="21"/>
      <c r="H160" s="22"/>
      <c r="I160" s="21"/>
      <c r="J160" s="94"/>
      <c r="K160" s="21"/>
      <c r="L160" s="21"/>
      <c r="M160" s="21"/>
      <c r="N160" s="21"/>
      <c r="O160" s="52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 ht="15.75" customHeight="1">
      <c r="A161" s="21"/>
      <c r="B161" s="22"/>
      <c r="C161" s="22"/>
      <c r="D161" s="21"/>
      <c r="E161" s="21"/>
      <c r="F161" s="21"/>
      <c r="G161" s="21"/>
      <c r="H161" s="22"/>
      <c r="I161" s="21"/>
      <c r="J161" s="94"/>
      <c r="K161" s="21"/>
      <c r="L161" s="21"/>
      <c r="M161" s="21"/>
      <c r="N161" s="21"/>
      <c r="O161" s="52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 ht="15.75" customHeight="1">
      <c r="A162" s="21"/>
      <c r="B162" s="22"/>
      <c r="C162" s="22"/>
      <c r="D162" s="21"/>
      <c r="E162" s="21"/>
      <c r="F162" s="21"/>
      <c r="G162" s="21"/>
      <c r="H162" s="22"/>
      <c r="I162" s="21"/>
      <c r="J162" s="94"/>
      <c r="K162" s="21"/>
      <c r="L162" s="21"/>
      <c r="M162" s="21"/>
      <c r="N162" s="21"/>
      <c r="O162" s="52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 ht="15.75" customHeight="1">
      <c r="A163" s="21"/>
      <c r="B163" s="22"/>
      <c r="C163" s="22"/>
      <c r="D163" s="21"/>
      <c r="E163" s="21"/>
      <c r="F163" s="21"/>
      <c r="G163" s="21"/>
      <c r="H163" s="22"/>
      <c r="I163" s="21"/>
      <c r="J163" s="94"/>
      <c r="K163" s="21"/>
      <c r="L163" s="21"/>
      <c r="M163" s="21"/>
      <c r="N163" s="21"/>
      <c r="O163" s="52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 ht="15.75" customHeight="1">
      <c r="A164" s="21"/>
      <c r="B164" s="22"/>
      <c r="C164" s="22"/>
      <c r="D164" s="21"/>
      <c r="E164" s="21"/>
      <c r="F164" s="21"/>
      <c r="G164" s="21"/>
      <c r="H164" s="22"/>
      <c r="I164" s="21"/>
      <c r="J164" s="94"/>
      <c r="K164" s="21"/>
      <c r="L164" s="21"/>
      <c r="M164" s="21"/>
      <c r="N164" s="21"/>
      <c r="O164" s="52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 ht="15.75" customHeight="1">
      <c r="A165" s="21"/>
      <c r="B165" s="22"/>
      <c r="C165" s="22"/>
      <c r="D165" s="21"/>
      <c r="E165" s="21"/>
      <c r="F165" s="21"/>
      <c r="G165" s="21"/>
      <c r="H165" s="22"/>
      <c r="I165" s="21"/>
      <c r="J165" s="94"/>
      <c r="K165" s="21"/>
      <c r="L165" s="21"/>
      <c r="M165" s="21"/>
      <c r="N165" s="21"/>
      <c r="O165" s="52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 ht="15.75" customHeight="1">
      <c r="A166" s="21"/>
      <c r="B166" s="22"/>
      <c r="C166" s="22"/>
      <c r="D166" s="21"/>
      <c r="E166" s="21"/>
      <c r="F166" s="21"/>
      <c r="G166" s="21"/>
      <c r="H166" s="22"/>
      <c r="I166" s="21"/>
      <c r="J166" s="94"/>
      <c r="K166" s="21"/>
      <c r="L166" s="21"/>
      <c r="M166" s="21"/>
      <c r="N166" s="21"/>
      <c r="O166" s="52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 ht="15.75" customHeight="1">
      <c r="A167" s="21"/>
      <c r="B167" s="22"/>
      <c r="C167" s="22"/>
      <c r="D167" s="21"/>
      <c r="E167" s="21"/>
      <c r="F167" s="21"/>
      <c r="G167" s="21"/>
      <c r="H167" s="22"/>
      <c r="I167" s="21"/>
      <c r="J167" s="94"/>
      <c r="K167" s="21"/>
      <c r="L167" s="21"/>
      <c r="M167" s="21"/>
      <c r="N167" s="21"/>
      <c r="O167" s="52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 ht="15.75" customHeight="1">
      <c r="A168" s="21"/>
      <c r="B168" s="22"/>
      <c r="C168" s="22"/>
      <c r="D168" s="21"/>
      <c r="E168" s="21"/>
      <c r="F168" s="21"/>
      <c r="G168" s="21"/>
      <c r="H168" s="22"/>
      <c r="I168" s="21"/>
      <c r="J168" s="94"/>
      <c r="K168" s="21"/>
      <c r="L168" s="21"/>
      <c r="M168" s="21"/>
      <c r="N168" s="21"/>
      <c r="O168" s="52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 ht="15.75" customHeight="1">
      <c r="A169" s="21"/>
      <c r="B169" s="22"/>
      <c r="C169" s="22"/>
      <c r="D169" s="21"/>
      <c r="E169" s="21"/>
      <c r="F169" s="21"/>
      <c r="G169" s="21"/>
      <c r="H169" s="22"/>
      <c r="I169" s="21"/>
      <c r="J169" s="94"/>
      <c r="K169" s="21"/>
      <c r="L169" s="21"/>
      <c r="M169" s="21"/>
      <c r="N169" s="21"/>
      <c r="O169" s="52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 ht="15.75" customHeight="1">
      <c r="A170" s="21"/>
      <c r="B170" s="22"/>
      <c r="C170" s="22"/>
      <c r="D170" s="21"/>
      <c r="E170" s="21"/>
      <c r="F170" s="21"/>
      <c r="G170" s="21"/>
      <c r="H170" s="22"/>
      <c r="I170" s="21"/>
      <c r="J170" s="94"/>
      <c r="K170" s="21"/>
      <c r="L170" s="21"/>
      <c r="M170" s="21"/>
      <c r="N170" s="21"/>
      <c r="O170" s="52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 ht="15.75" customHeight="1">
      <c r="A171" s="21"/>
      <c r="B171" s="22"/>
      <c r="C171" s="22"/>
      <c r="D171" s="21"/>
      <c r="E171" s="21"/>
      <c r="F171" s="21"/>
      <c r="G171" s="21"/>
      <c r="H171" s="22"/>
      <c r="I171" s="21"/>
      <c r="J171" s="94"/>
      <c r="K171" s="21"/>
      <c r="L171" s="21"/>
      <c r="M171" s="21"/>
      <c r="N171" s="21"/>
      <c r="O171" s="52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 ht="15.75" customHeight="1">
      <c r="A172" s="21"/>
      <c r="B172" s="22"/>
      <c r="C172" s="22"/>
      <c r="D172" s="21"/>
      <c r="E172" s="21"/>
      <c r="F172" s="21"/>
      <c r="G172" s="21"/>
      <c r="H172" s="22"/>
      <c r="I172" s="21"/>
      <c r="J172" s="94"/>
      <c r="K172" s="21"/>
      <c r="L172" s="21"/>
      <c r="M172" s="21"/>
      <c r="N172" s="21"/>
      <c r="O172" s="52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 ht="15.75" customHeight="1">
      <c r="A173" s="21"/>
      <c r="B173" s="22"/>
      <c r="C173" s="22"/>
      <c r="D173" s="21"/>
      <c r="E173" s="21"/>
      <c r="F173" s="21"/>
      <c r="G173" s="21"/>
      <c r="H173" s="22"/>
      <c r="I173" s="21"/>
      <c r="J173" s="94"/>
      <c r="K173" s="21"/>
      <c r="L173" s="21"/>
      <c r="M173" s="21"/>
      <c r="N173" s="21"/>
      <c r="O173" s="52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 ht="15.75" customHeight="1">
      <c r="A174" s="21"/>
      <c r="B174" s="22"/>
      <c r="C174" s="22"/>
      <c r="D174" s="21"/>
      <c r="E174" s="21"/>
      <c r="F174" s="21"/>
      <c r="G174" s="21"/>
      <c r="H174" s="22"/>
      <c r="I174" s="21"/>
      <c r="J174" s="94"/>
      <c r="K174" s="21"/>
      <c r="L174" s="21"/>
      <c r="M174" s="21"/>
      <c r="N174" s="21"/>
      <c r="O174" s="52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 ht="15.75" customHeight="1">
      <c r="A175" s="21"/>
      <c r="B175" s="22"/>
      <c r="C175" s="22"/>
      <c r="D175" s="21"/>
      <c r="E175" s="21"/>
      <c r="F175" s="21"/>
      <c r="G175" s="21"/>
      <c r="H175" s="22"/>
      <c r="I175" s="21"/>
      <c r="J175" s="94"/>
      <c r="K175" s="21"/>
      <c r="L175" s="21"/>
      <c r="M175" s="21"/>
      <c r="N175" s="21"/>
      <c r="O175" s="52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 ht="15.75" customHeight="1">
      <c r="A176" s="21"/>
      <c r="B176" s="22"/>
      <c r="C176" s="22"/>
      <c r="D176" s="21"/>
      <c r="E176" s="21"/>
      <c r="F176" s="21"/>
      <c r="G176" s="21"/>
      <c r="H176" s="22"/>
      <c r="I176" s="21"/>
      <c r="J176" s="94"/>
      <c r="K176" s="21"/>
      <c r="L176" s="21"/>
      <c r="M176" s="21"/>
      <c r="N176" s="21"/>
      <c r="O176" s="52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 ht="15.75" customHeight="1">
      <c r="A177" s="21"/>
      <c r="B177" s="22"/>
      <c r="C177" s="22"/>
      <c r="D177" s="21"/>
      <c r="E177" s="21"/>
      <c r="F177" s="21"/>
      <c r="G177" s="21"/>
      <c r="H177" s="22"/>
      <c r="I177" s="21"/>
      <c r="J177" s="94"/>
      <c r="K177" s="21"/>
      <c r="L177" s="21"/>
      <c r="M177" s="21"/>
      <c r="N177" s="21"/>
      <c r="O177" s="52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 ht="15.75" customHeight="1">
      <c r="A178" s="21"/>
      <c r="B178" s="22"/>
      <c r="C178" s="22"/>
      <c r="D178" s="21"/>
      <c r="E178" s="21"/>
      <c r="F178" s="21"/>
      <c r="G178" s="21"/>
      <c r="H178" s="22"/>
      <c r="I178" s="21"/>
      <c r="J178" s="94"/>
      <c r="K178" s="21"/>
      <c r="L178" s="21"/>
      <c r="M178" s="21"/>
      <c r="N178" s="21"/>
      <c r="O178" s="52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 ht="15.75" customHeight="1">
      <c r="A179" s="21"/>
      <c r="B179" s="22"/>
      <c r="C179" s="22"/>
      <c r="D179" s="21"/>
      <c r="E179" s="21"/>
      <c r="F179" s="21"/>
      <c r="G179" s="21"/>
      <c r="H179" s="22"/>
      <c r="I179" s="21"/>
      <c r="J179" s="94"/>
      <c r="K179" s="21"/>
      <c r="L179" s="21"/>
      <c r="M179" s="21"/>
      <c r="N179" s="21"/>
      <c r="O179" s="52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 ht="15.75" customHeight="1">
      <c r="A180" s="21"/>
      <c r="B180" s="22"/>
      <c r="C180" s="22"/>
      <c r="D180" s="21"/>
      <c r="E180" s="21"/>
      <c r="F180" s="21"/>
      <c r="G180" s="21"/>
      <c r="H180" s="22"/>
      <c r="I180" s="21"/>
      <c r="J180" s="94"/>
      <c r="K180" s="21"/>
      <c r="L180" s="21"/>
      <c r="M180" s="21"/>
      <c r="N180" s="21"/>
      <c r="O180" s="52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 ht="15.75" customHeight="1">
      <c r="A181" s="21"/>
      <c r="B181" s="22"/>
      <c r="C181" s="22"/>
      <c r="D181" s="21"/>
      <c r="E181" s="21"/>
      <c r="F181" s="21"/>
      <c r="G181" s="21"/>
      <c r="H181" s="22"/>
      <c r="I181" s="21"/>
      <c r="J181" s="94"/>
      <c r="K181" s="21"/>
      <c r="L181" s="21"/>
      <c r="M181" s="21"/>
      <c r="N181" s="21"/>
      <c r="O181" s="52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 ht="15.75" customHeight="1">
      <c r="A182" s="21"/>
      <c r="B182" s="22"/>
      <c r="C182" s="22"/>
      <c r="D182" s="21"/>
      <c r="E182" s="21"/>
      <c r="F182" s="21"/>
      <c r="G182" s="21"/>
      <c r="H182" s="22"/>
      <c r="I182" s="21"/>
      <c r="J182" s="94"/>
      <c r="K182" s="21"/>
      <c r="L182" s="21"/>
      <c r="M182" s="21"/>
      <c r="N182" s="21"/>
      <c r="O182" s="52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 ht="15.75" customHeight="1">
      <c r="A183" s="21"/>
      <c r="B183" s="22"/>
      <c r="C183" s="22"/>
      <c r="D183" s="21"/>
      <c r="E183" s="21"/>
      <c r="F183" s="21"/>
      <c r="G183" s="21"/>
      <c r="H183" s="22"/>
      <c r="I183" s="21"/>
      <c r="J183" s="94"/>
      <c r="K183" s="21"/>
      <c r="L183" s="21"/>
      <c r="M183" s="21"/>
      <c r="N183" s="21"/>
      <c r="O183" s="52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 ht="15.75" customHeight="1">
      <c r="A184" s="21"/>
      <c r="B184" s="22"/>
      <c r="C184" s="22"/>
      <c r="D184" s="21"/>
      <c r="E184" s="21"/>
      <c r="F184" s="21"/>
      <c r="G184" s="21"/>
      <c r="H184" s="22"/>
      <c r="I184" s="21"/>
      <c r="J184" s="94"/>
      <c r="K184" s="21"/>
      <c r="L184" s="21"/>
      <c r="M184" s="21"/>
      <c r="N184" s="21"/>
      <c r="O184" s="52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 ht="15.75" customHeight="1">
      <c r="A185" s="21"/>
      <c r="B185" s="22"/>
      <c r="C185" s="22"/>
      <c r="D185" s="21"/>
      <c r="E185" s="21"/>
      <c r="F185" s="21"/>
      <c r="G185" s="21"/>
      <c r="H185" s="22"/>
      <c r="I185" s="21"/>
      <c r="J185" s="94"/>
      <c r="K185" s="21"/>
      <c r="L185" s="21"/>
      <c r="M185" s="21"/>
      <c r="N185" s="21"/>
      <c r="O185" s="52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 ht="15.75" customHeight="1">
      <c r="A186" s="21"/>
      <c r="B186" s="22"/>
      <c r="C186" s="22"/>
      <c r="D186" s="21"/>
      <c r="E186" s="21"/>
      <c r="F186" s="21"/>
      <c r="G186" s="21"/>
      <c r="H186" s="22"/>
      <c r="I186" s="21"/>
      <c r="J186" s="94"/>
      <c r="K186" s="21"/>
      <c r="L186" s="21"/>
      <c r="M186" s="21"/>
      <c r="N186" s="21"/>
      <c r="O186" s="52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 ht="15.75" customHeight="1">
      <c r="A187" s="21"/>
      <c r="B187" s="22"/>
      <c r="C187" s="22"/>
      <c r="D187" s="21"/>
      <c r="E187" s="21"/>
      <c r="F187" s="21"/>
      <c r="G187" s="21"/>
      <c r="H187" s="22"/>
      <c r="I187" s="21"/>
      <c r="J187" s="94"/>
      <c r="K187" s="21"/>
      <c r="L187" s="21"/>
      <c r="M187" s="21"/>
      <c r="N187" s="21"/>
      <c r="O187" s="52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 ht="15.75" customHeight="1">
      <c r="A188" s="21"/>
      <c r="B188" s="22"/>
      <c r="C188" s="22"/>
      <c r="D188" s="21"/>
      <c r="E188" s="21"/>
      <c r="F188" s="21"/>
      <c r="G188" s="21"/>
      <c r="H188" s="22"/>
      <c r="I188" s="21"/>
      <c r="J188" s="94"/>
      <c r="K188" s="21"/>
      <c r="L188" s="21"/>
      <c r="M188" s="21"/>
      <c r="N188" s="21"/>
      <c r="O188" s="52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 ht="15.75" customHeight="1">
      <c r="A189" s="21"/>
      <c r="B189" s="22"/>
      <c r="C189" s="22"/>
      <c r="D189" s="21"/>
      <c r="E189" s="21"/>
      <c r="F189" s="21"/>
      <c r="G189" s="21"/>
      <c r="H189" s="22"/>
      <c r="I189" s="21"/>
      <c r="J189" s="94"/>
      <c r="K189" s="21"/>
      <c r="L189" s="21"/>
      <c r="M189" s="21"/>
      <c r="N189" s="21"/>
      <c r="O189" s="52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 ht="15.75" customHeight="1">
      <c r="A190" s="21"/>
      <c r="B190" s="22"/>
      <c r="C190" s="22"/>
      <c r="D190" s="21"/>
      <c r="E190" s="21"/>
      <c r="F190" s="21"/>
      <c r="G190" s="21"/>
      <c r="H190" s="22"/>
      <c r="I190" s="21"/>
      <c r="J190" s="94"/>
      <c r="K190" s="21"/>
      <c r="L190" s="21"/>
      <c r="M190" s="21"/>
      <c r="N190" s="21"/>
      <c r="O190" s="52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 ht="15.75" customHeight="1">
      <c r="A191" s="21"/>
      <c r="B191" s="22"/>
      <c r="C191" s="22"/>
      <c r="D191" s="21"/>
      <c r="E191" s="21"/>
      <c r="F191" s="21"/>
      <c r="G191" s="21"/>
      <c r="H191" s="22"/>
      <c r="I191" s="21"/>
      <c r="J191" s="94"/>
      <c r="K191" s="21"/>
      <c r="L191" s="21"/>
      <c r="M191" s="21"/>
      <c r="N191" s="21"/>
      <c r="O191" s="52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 ht="15.75" customHeight="1">
      <c r="A192" s="21"/>
      <c r="B192" s="22"/>
      <c r="C192" s="22"/>
      <c r="D192" s="21"/>
      <c r="E192" s="21"/>
      <c r="F192" s="21"/>
      <c r="G192" s="21"/>
      <c r="H192" s="22"/>
      <c r="I192" s="21"/>
      <c r="J192" s="94"/>
      <c r="K192" s="21"/>
      <c r="L192" s="21"/>
      <c r="M192" s="21"/>
      <c r="N192" s="21"/>
      <c r="O192" s="52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 ht="15.75" customHeight="1">
      <c r="A193" s="21"/>
      <c r="B193" s="22"/>
      <c r="C193" s="22"/>
      <c r="D193" s="21"/>
      <c r="E193" s="21"/>
      <c r="F193" s="21"/>
      <c r="G193" s="21"/>
      <c r="H193" s="22"/>
      <c r="I193" s="21"/>
      <c r="J193" s="94"/>
      <c r="K193" s="21"/>
      <c r="L193" s="21"/>
      <c r="M193" s="21"/>
      <c r="N193" s="21"/>
      <c r="O193" s="52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 ht="15.75" customHeight="1">
      <c r="A194" s="21"/>
      <c r="B194" s="22"/>
      <c r="C194" s="22"/>
      <c r="D194" s="21"/>
      <c r="E194" s="21"/>
      <c r="F194" s="21"/>
      <c r="G194" s="21"/>
      <c r="H194" s="22"/>
      <c r="I194" s="21"/>
      <c r="J194" s="94"/>
      <c r="K194" s="21"/>
      <c r="L194" s="21"/>
      <c r="M194" s="21"/>
      <c r="N194" s="21"/>
      <c r="O194" s="52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 ht="15.75" customHeight="1">
      <c r="A195" s="21"/>
      <c r="B195" s="22"/>
      <c r="C195" s="22"/>
      <c r="D195" s="21"/>
      <c r="E195" s="21"/>
      <c r="F195" s="21"/>
      <c r="G195" s="21"/>
      <c r="H195" s="22"/>
      <c r="I195" s="21"/>
      <c r="J195" s="94"/>
      <c r="K195" s="21"/>
      <c r="L195" s="21"/>
      <c r="M195" s="21"/>
      <c r="N195" s="21"/>
      <c r="O195" s="52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 ht="15.75" customHeight="1">
      <c r="A196" s="21"/>
      <c r="B196" s="22"/>
      <c r="C196" s="22"/>
      <c r="D196" s="21"/>
      <c r="E196" s="21"/>
      <c r="F196" s="21"/>
      <c r="G196" s="21"/>
      <c r="H196" s="22"/>
      <c r="I196" s="21"/>
      <c r="J196" s="94"/>
      <c r="K196" s="21"/>
      <c r="L196" s="21"/>
      <c r="M196" s="21"/>
      <c r="N196" s="21"/>
      <c r="O196" s="52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 ht="15.75" customHeight="1">
      <c r="A197" s="21"/>
      <c r="B197" s="22"/>
      <c r="C197" s="22"/>
      <c r="D197" s="21"/>
      <c r="E197" s="21"/>
      <c r="F197" s="21"/>
      <c r="G197" s="21"/>
      <c r="H197" s="22"/>
      <c r="I197" s="21"/>
      <c r="J197" s="94"/>
      <c r="K197" s="21"/>
      <c r="L197" s="21"/>
      <c r="M197" s="21"/>
      <c r="N197" s="21"/>
      <c r="O197" s="52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 ht="15.75" customHeight="1">
      <c r="A198" s="21"/>
      <c r="B198" s="22"/>
      <c r="C198" s="22"/>
      <c r="D198" s="21"/>
      <c r="E198" s="21"/>
      <c r="F198" s="21"/>
      <c r="G198" s="21"/>
      <c r="H198" s="22"/>
      <c r="I198" s="21"/>
      <c r="J198" s="94"/>
      <c r="K198" s="21"/>
      <c r="L198" s="21"/>
      <c r="M198" s="21"/>
      <c r="N198" s="21"/>
      <c r="O198" s="52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 ht="15.75" customHeight="1">
      <c r="A199" s="21"/>
      <c r="B199" s="22"/>
      <c r="C199" s="22"/>
      <c r="D199" s="21"/>
      <c r="E199" s="21"/>
      <c r="F199" s="21"/>
      <c r="G199" s="21"/>
      <c r="H199" s="22"/>
      <c r="I199" s="21"/>
      <c r="J199" s="94"/>
      <c r="K199" s="21"/>
      <c r="L199" s="21"/>
      <c r="M199" s="21"/>
      <c r="N199" s="21"/>
      <c r="O199" s="52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 ht="15.75" customHeight="1">
      <c r="A200" s="21"/>
      <c r="B200" s="22"/>
      <c r="C200" s="22"/>
      <c r="D200" s="21"/>
      <c r="E200" s="21"/>
      <c r="F200" s="21"/>
      <c r="G200" s="21"/>
      <c r="H200" s="22"/>
      <c r="I200" s="21"/>
      <c r="J200" s="94"/>
      <c r="K200" s="21"/>
      <c r="L200" s="21"/>
      <c r="M200" s="21"/>
      <c r="N200" s="21"/>
      <c r="O200" s="52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 ht="15.75" customHeight="1">
      <c r="A201" s="21"/>
      <c r="B201" s="22"/>
      <c r="C201" s="22"/>
      <c r="D201" s="21"/>
      <c r="E201" s="21"/>
      <c r="F201" s="21"/>
      <c r="G201" s="21"/>
      <c r="H201" s="22"/>
      <c r="I201" s="21"/>
      <c r="J201" s="94"/>
      <c r="K201" s="21"/>
      <c r="L201" s="21"/>
      <c r="M201" s="21"/>
      <c r="N201" s="21"/>
      <c r="O201" s="52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 ht="15.75" customHeight="1">
      <c r="A202" s="21"/>
      <c r="B202" s="22"/>
      <c r="C202" s="22"/>
      <c r="D202" s="21"/>
      <c r="E202" s="21"/>
      <c r="F202" s="21"/>
      <c r="G202" s="21"/>
      <c r="H202" s="22"/>
      <c r="I202" s="21"/>
      <c r="J202" s="94"/>
      <c r="K202" s="21"/>
      <c r="L202" s="21"/>
      <c r="M202" s="21"/>
      <c r="N202" s="21"/>
      <c r="O202" s="52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 ht="15.75" customHeight="1">
      <c r="A203" s="21"/>
      <c r="B203" s="22"/>
      <c r="C203" s="22"/>
      <c r="D203" s="21"/>
      <c r="E203" s="21"/>
      <c r="F203" s="21"/>
      <c r="G203" s="21"/>
      <c r="H203" s="22"/>
      <c r="I203" s="21"/>
      <c r="J203" s="94"/>
      <c r="K203" s="21"/>
      <c r="L203" s="21"/>
      <c r="M203" s="21"/>
      <c r="N203" s="21"/>
      <c r="O203" s="52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 ht="15.75" customHeight="1">
      <c r="A204" s="21"/>
      <c r="B204" s="22"/>
      <c r="C204" s="22"/>
      <c r="D204" s="21"/>
      <c r="E204" s="21"/>
      <c r="F204" s="21"/>
      <c r="G204" s="21"/>
      <c r="H204" s="22"/>
      <c r="I204" s="21"/>
      <c r="J204" s="94"/>
      <c r="K204" s="21"/>
      <c r="L204" s="21"/>
      <c r="M204" s="21"/>
      <c r="N204" s="21"/>
      <c r="O204" s="52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 ht="15.75" customHeight="1">
      <c r="A205" s="21"/>
      <c r="B205" s="22"/>
      <c r="C205" s="22"/>
      <c r="D205" s="21"/>
      <c r="E205" s="21"/>
      <c r="F205" s="21"/>
      <c r="G205" s="21"/>
      <c r="H205" s="22"/>
      <c r="I205" s="21"/>
      <c r="J205" s="94"/>
      <c r="K205" s="21"/>
      <c r="L205" s="21"/>
      <c r="M205" s="21"/>
      <c r="N205" s="21"/>
      <c r="O205" s="52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 ht="15.75" customHeight="1">
      <c r="A206" s="21"/>
      <c r="B206" s="22"/>
      <c r="C206" s="22"/>
      <c r="D206" s="21"/>
      <c r="E206" s="21"/>
      <c r="F206" s="21"/>
      <c r="G206" s="21"/>
      <c r="H206" s="22"/>
      <c r="I206" s="21"/>
      <c r="J206" s="94"/>
      <c r="K206" s="21"/>
      <c r="L206" s="21"/>
      <c r="M206" s="21"/>
      <c r="N206" s="21"/>
      <c r="O206" s="52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 ht="15.75" customHeight="1">
      <c r="A207" s="21"/>
      <c r="B207" s="22"/>
      <c r="C207" s="22"/>
      <c r="D207" s="21"/>
      <c r="E207" s="21"/>
      <c r="F207" s="21"/>
      <c r="G207" s="21"/>
      <c r="H207" s="22"/>
      <c r="I207" s="21"/>
      <c r="J207" s="94"/>
      <c r="K207" s="21"/>
      <c r="L207" s="21"/>
      <c r="M207" s="21"/>
      <c r="N207" s="21"/>
      <c r="O207" s="52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 ht="15.75" customHeight="1">
      <c r="A208" s="21"/>
      <c r="B208" s="22"/>
      <c r="C208" s="22"/>
      <c r="D208" s="21"/>
      <c r="E208" s="21"/>
      <c r="F208" s="21"/>
      <c r="G208" s="21"/>
      <c r="H208" s="22"/>
      <c r="I208" s="21"/>
      <c r="J208" s="94"/>
      <c r="K208" s="21"/>
      <c r="L208" s="21"/>
      <c r="M208" s="21"/>
      <c r="N208" s="21"/>
      <c r="O208" s="52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 ht="15.75" customHeight="1">
      <c r="A209" s="21"/>
      <c r="B209" s="22"/>
      <c r="C209" s="22"/>
      <c r="D209" s="21"/>
      <c r="E209" s="21"/>
      <c r="F209" s="21"/>
      <c r="G209" s="21"/>
      <c r="H209" s="22"/>
      <c r="I209" s="21"/>
      <c r="J209" s="94"/>
      <c r="K209" s="21"/>
      <c r="L209" s="21"/>
      <c r="M209" s="21"/>
      <c r="N209" s="21"/>
      <c r="O209" s="52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 ht="15.75" customHeight="1">
      <c r="A210" s="21"/>
      <c r="B210" s="22"/>
      <c r="C210" s="22"/>
      <c r="D210" s="21"/>
      <c r="E210" s="21"/>
      <c r="F210" s="21"/>
      <c r="G210" s="21"/>
      <c r="H210" s="22"/>
      <c r="I210" s="21"/>
      <c r="J210" s="94"/>
      <c r="K210" s="21"/>
      <c r="L210" s="21"/>
      <c r="M210" s="21"/>
      <c r="N210" s="21"/>
      <c r="O210" s="52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 ht="15.75" customHeight="1">
      <c r="A211" s="21"/>
      <c r="B211" s="22"/>
      <c r="C211" s="22"/>
      <c r="D211" s="21"/>
      <c r="E211" s="21"/>
      <c r="F211" s="21"/>
      <c r="G211" s="21"/>
      <c r="H211" s="22"/>
      <c r="I211" s="21"/>
      <c r="J211" s="94"/>
      <c r="K211" s="21"/>
      <c r="L211" s="21"/>
      <c r="M211" s="21"/>
      <c r="N211" s="21"/>
      <c r="O211" s="52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 ht="15.75" customHeight="1">
      <c r="A212" s="21"/>
      <c r="B212" s="22"/>
      <c r="C212" s="22"/>
      <c r="D212" s="21"/>
      <c r="E212" s="21"/>
      <c r="F212" s="21"/>
      <c r="G212" s="21"/>
      <c r="H212" s="22"/>
      <c r="I212" s="21"/>
      <c r="J212" s="94"/>
      <c r="K212" s="21"/>
      <c r="L212" s="21"/>
      <c r="M212" s="21"/>
      <c r="N212" s="21"/>
      <c r="O212" s="52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 ht="15.75" customHeight="1">
      <c r="A213" s="21"/>
      <c r="B213" s="22"/>
      <c r="C213" s="22"/>
      <c r="D213" s="21"/>
      <c r="E213" s="21"/>
      <c r="F213" s="21"/>
      <c r="G213" s="21"/>
      <c r="H213" s="22"/>
      <c r="I213" s="21"/>
      <c r="J213" s="94"/>
      <c r="K213" s="21"/>
      <c r="L213" s="21"/>
      <c r="M213" s="21"/>
      <c r="N213" s="21"/>
      <c r="O213" s="52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 ht="15.75" customHeight="1">
      <c r="A214" s="21"/>
      <c r="B214" s="22"/>
      <c r="C214" s="22"/>
      <c r="D214" s="21"/>
      <c r="E214" s="21"/>
      <c r="F214" s="21"/>
      <c r="G214" s="21"/>
      <c r="H214" s="22"/>
      <c r="I214" s="21"/>
      <c r="J214" s="94"/>
      <c r="K214" s="21"/>
      <c r="L214" s="21"/>
      <c r="M214" s="21"/>
      <c r="N214" s="21"/>
      <c r="O214" s="52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 ht="15.75" customHeight="1">
      <c r="A215" s="21"/>
      <c r="B215" s="22"/>
      <c r="C215" s="22"/>
      <c r="D215" s="21"/>
      <c r="E215" s="21"/>
      <c r="F215" s="21"/>
      <c r="G215" s="21"/>
      <c r="H215" s="22"/>
      <c r="I215" s="21"/>
      <c r="J215" s="94"/>
      <c r="K215" s="21"/>
      <c r="L215" s="21"/>
      <c r="M215" s="21"/>
      <c r="N215" s="21"/>
      <c r="O215" s="52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 ht="15.75" customHeight="1">
      <c r="A216" s="21"/>
      <c r="B216" s="22"/>
      <c r="C216" s="22"/>
      <c r="D216" s="21"/>
      <c r="E216" s="21"/>
      <c r="F216" s="21"/>
      <c r="G216" s="21"/>
      <c r="H216" s="22"/>
      <c r="I216" s="21"/>
      <c r="J216" s="94"/>
      <c r="K216" s="21"/>
      <c r="L216" s="21"/>
      <c r="M216" s="21"/>
      <c r="N216" s="21"/>
      <c r="O216" s="52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 ht="15.75" customHeight="1">
      <c r="A217" s="21"/>
      <c r="B217" s="22"/>
      <c r="C217" s="22"/>
      <c r="D217" s="21"/>
      <c r="E217" s="21"/>
      <c r="F217" s="21"/>
      <c r="G217" s="21"/>
      <c r="H217" s="22"/>
      <c r="I217" s="21"/>
      <c r="J217" s="94"/>
      <c r="K217" s="21"/>
      <c r="L217" s="21"/>
      <c r="M217" s="21"/>
      <c r="N217" s="21"/>
      <c r="O217" s="52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 ht="15.75" customHeight="1">
      <c r="A218" s="21"/>
      <c r="B218" s="22"/>
      <c r="C218" s="22"/>
      <c r="D218" s="21"/>
      <c r="E218" s="21"/>
      <c r="F218" s="21"/>
      <c r="G218" s="21"/>
      <c r="H218" s="22"/>
      <c r="I218" s="21"/>
      <c r="J218" s="94"/>
      <c r="K218" s="21"/>
      <c r="L218" s="21"/>
      <c r="M218" s="21"/>
      <c r="N218" s="21"/>
      <c r="O218" s="52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 ht="15.75" customHeight="1">
      <c r="A219" s="21"/>
      <c r="B219" s="22"/>
      <c r="C219" s="22"/>
      <c r="D219" s="21"/>
      <c r="E219" s="21"/>
      <c r="F219" s="21"/>
      <c r="G219" s="21"/>
      <c r="H219" s="22"/>
      <c r="I219" s="21"/>
      <c r="J219" s="94"/>
      <c r="K219" s="21"/>
      <c r="L219" s="21"/>
      <c r="M219" s="21"/>
      <c r="N219" s="21"/>
      <c r="O219" s="52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 ht="15.75" customHeight="1">
      <c r="A220" s="21"/>
      <c r="B220" s="22"/>
      <c r="C220" s="22"/>
      <c r="D220" s="21"/>
      <c r="E220" s="21"/>
      <c r="F220" s="21"/>
      <c r="G220" s="21"/>
      <c r="H220" s="22"/>
      <c r="I220" s="21"/>
      <c r="J220" s="94"/>
      <c r="K220" s="21"/>
      <c r="L220" s="21"/>
      <c r="M220" s="21"/>
      <c r="N220" s="21"/>
      <c r="O220" s="52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 ht="15.75" customHeight="1">
      <c r="A221" s="21"/>
      <c r="B221" s="22"/>
      <c r="C221" s="22"/>
      <c r="D221" s="21"/>
      <c r="E221" s="21"/>
      <c r="F221" s="21"/>
      <c r="G221" s="21"/>
      <c r="H221" s="22"/>
      <c r="I221" s="21"/>
      <c r="J221" s="94"/>
      <c r="K221" s="21"/>
      <c r="L221" s="21"/>
      <c r="M221" s="21"/>
      <c r="N221" s="21"/>
      <c r="O221" s="52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 ht="15.75" customHeight="1">
      <c r="A222" s="21"/>
      <c r="B222" s="22"/>
      <c r="C222" s="22"/>
      <c r="D222" s="21"/>
      <c r="E222" s="21"/>
      <c r="F222" s="21"/>
      <c r="G222" s="21"/>
      <c r="H222" s="22"/>
      <c r="I222" s="21"/>
      <c r="J222" s="94"/>
      <c r="K222" s="21"/>
      <c r="L222" s="21"/>
      <c r="M222" s="21"/>
      <c r="N222" s="21"/>
      <c r="O222" s="52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 ht="15.75" customHeight="1">
      <c r="A223" s="21"/>
      <c r="B223" s="22"/>
      <c r="C223" s="22"/>
      <c r="D223" s="21"/>
      <c r="E223" s="21"/>
      <c r="F223" s="21"/>
      <c r="G223" s="21"/>
      <c r="H223" s="22"/>
      <c r="I223" s="21"/>
      <c r="J223" s="94"/>
      <c r="K223" s="21"/>
      <c r="L223" s="21"/>
      <c r="M223" s="21"/>
      <c r="N223" s="21"/>
      <c r="O223" s="52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 ht="15.75" customHeight="1">
      <c r="A224" s="21"/>
      <c r="B224" s="22"/>
      <c r="C224" s="22"/>
      <c r="D224" s="21"/>
      <c r="E224" s="21"/>
      <c r="F224" s="21"/>
      <c r="G224" s="21"/>
      <c r="H224" s="22"/>
      <c r="I224" s="21"/>
      <c r="J224" s="94"/>
      <c r="K224" s="21"/>
      <c r="L224" s="21"/>
      <c r="M224" s="21"/>
      <c r="N224" s="21"/>
      <c r="O224" s="52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 ht="15.75" customHeight="1">
      <c r="A225" s="21"/>
      <c r="B225" s="22"/>
      <c r="C225" s="22"/>
      <c r="D225" s="21"/>
      <c r="E225" s="21"/>
      <c r="F225" s="21"/>
      <c r="G225" s="21"/>
      <c r="H225" s="22"/>
      <c r="I225" s="21"/>
      <c r="J225" s="94"/>
      <c r="K225" s="21"/>
      <c r="L225" s="21"/>
      <c r="M225" s="21"/>
      <c r="N225" s="21"/>
      <c r="O225" s="52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 ht="15.75" customHeight="1">
      <c r="A226" s="21"/>
      <c r="B226" s="22"/>
      <c r="C226" s="22"/>
      <c r="D226" s="21"/>
      <c r="E226" s="21"/>
      <c r="F226" s="21"/>
      <c r="G226" s="21"/>
      <c r="H226" s="22"/>
      <c r="I226" s="21"/>
      <c r="J226" s="94"/>
      <c r="K226" s="21"/>
      <c r="L226" s="21"/>
      <c r="M226" s="21"/>
    </row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M1:N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Bonos</vt:lpstr>
      <vt:lpstr>Letras</vt:lpstr>
      <vt:lpstr>Letras ISP</vt:lpstr>
      <vt:lpstr>Otras Operaciones</vt:lpstr>
      <vt:lpstr>Canjes- Conversiones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Ministerio</dc:creator>
  <cp:lastModifiedBy>Ministerio</cp:lastModifiedBy>
  <dcterms:created xsi:type="dcterms:W3CDTF">2026-03-10T18:05:37Z</dcterms:created>
  <dcterms:modified xsi:type="dcterms:W3CDTF">2026-05-12T18:16:24Z</dcterms:modified>
</cp:coreProperties>
</file>