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inisterio\Downloads\"/>
    </mc:Choice>
  </mc:AlternateContent>
  <bookViews>
    <workbookView xWindow="0" yWindow="0" windowWidth="19200" windowHeight="7050" activeTab="1"/>
  </bookViews>
  <sheets>
    <sheet name="Portada" sheetId="1" r:id="rId1"/>
    <sheet name="Bonos" sheetId="2" r:id="rId2"/>
    <sheet name="Letras" sheetId="3" r:id="rId3"/>
    <sheet name="Letras ISP" sheetId="4" r:id="rId4"/>
    <sheet name="Otras Operaciones" sheetId="5" r:id="rId5"/>
    <sheet name="Canjes- Conversiones" sheetId="6" r:id="rId6"/>
  </sheets>
  <definedNames>
    <definedName name="_xlnm._FilterDatabase" localSheetId="1" hidden="1">Bonos!$A$3:$N$60</definedName>
    <definedName name="_xlnm._FilterDatabase" localSheetId="5" hidden="1">'Canjes- Conversiones'!$A$9:$N$62</definedName>
    <definedName name="_xlnm._FilterDatabase" localSheetId="2" hidden="1">Letras!$A$3:$N$103</definedName>
    <definedName name="_xlnm._FilterDatabase" localSheetId="4" hidden="1">'Otras Operaciones'!$A$3:$L$31</definedName>
    <definedName name="ACwvu.PLA1." localSheetId="5">#REF!</definedName>
    <definedName name="ACwvu.PLA1.">#REF!</definedName>
    <definedName name="ACwvu.PLA2.">#REF!</definedName>
    <definedName name="d" localSheetId="5">#REF!</definedName>
    <definedName name="d">#REF!</definedName>
    <definedName name="Rwvu.PLA2." localSheetId="5">#REF!</definedName>
    <definedName name="Rwvu.PLA2.">#REF!</definedName>
    <definedName name="Swvu.PLA1." localSheetId="5">#REF!</definedName>
    <definedName name="Swvu.PLA1.">#REF!</definedName>
    <definedName name="Swvu.PLA2.">#REF!</definedName>
  </definedNames>
  <calcPr calcId="162913"/>
</workbook>
</file>

<file path=xl/calcChain.xml><?xml version="1.0" encoding="utf-8"?>
<calcChain xmlns="http://schemas.openxmlformats.org/spreadsheetml/2006/main">
  <c r="K19" i="2" l="1"/>
  <c r="L59" i="6" l="1"/>
  <c r="L58" i="6"/>
  <c r="J30" i="5"/>
  <c r="J29" i="5"/>
  <c r="J28" i="5"/>
  <c r="J27" i="5"/>
  <c r="J26" i="5"/>
  <c r="J25" i="5"/>
  <c r="J24" i="5"/>
  <c r="J23" i="5"/>
  <c r="J22" i="5"/>
  <c r="J21" i="5"/>
  <c r="J20" i="5"/>
  <c r="I20" i="5"/>
  <c r="J19" i="5"/>
  <c r="J18" i="5"/>
  <c r="J17" i="5"/>
  <c r="J16" i="5"/>
  <c r="J15" i="5"/>
  <c r="J14" i="5"/>
  <c r="L20" i="4"/>
  <c r="L19" i="4"/>
  <c r="L103" i="3"/>
  <c r="J103" i="3"/>
  <c r="L102" i="3"/>
  <c r="J102" i="3"/>
  <c r="L101" i="3"/>
  <c r="J101" i="3"/>
  <c r="L100" i="3"/>
  <c r="J100" i="3"/>
  <c r="L99" i="3"/>
  <c r="J99" i="3"/>
  <c r="L98" i="3"/>
  <c r="J98" i="3"/>
  <c r="L97" i="3"/>
  <c r="J97" i="3"/>
  <c r="L96" i="3"/>
  <c r="J96" i="3"/>
  <c r="L95" i="3"/>
  <c r="J95" i="3"/>
  <c r="L94" i="3"/>
  <c r="J94" i="3"/>
  <c r="L93" i="3"/>
  <c r="J93" i="3"/>
  <c r="L92" i="3"/>
  <c r="J92" i="3"/>
  <c r="L91" i="3"/>
  <c r="J91" i="3"/>
  <c r="L90" i="3"/>
  <c r="J90" i="3"/>
  <c r="L89" i="3"/>
  <c r="J89" i="3"/>
  <c r="L88" i="3"/>
  <c r="J88" i="3"/>
  <c r="L87" i="3"/>
  <c r="J87" i="3"/>
  <c r="L86" i="3"/>
  <c r="J86" i="3"/>
  <c r="L85" i="3"/>
  <c r="J85" i="3"/>
  <c r="L84" i="3"/>
  <c r="J84" i="3"/>
  <c r="L83" i="3"/>
  <c r="J80" i="3"/>
  <c r="L60" i="2"/>
  <c r="J60" i="2"/>
  <c r="L59" i="2"/>
  <c r="J59" i="2"/>
  <c r="L58" i="2"/>
  <c r="J58" i="2"/>
  <c r="L57" i="2"/>
  <c r="J57" i="2"/>
  <c r="L56" i="2"/>
  <c r="J56" i="2"/>
  <c r="L55" i="2"/>
  <c r="J55" i="2"/>
  <c r="L54" i="2"/>
  <c r="J54" i="2"/>
  <c r="L53" i="2"/>
  <c r="J53" i="2"/>
  <c r="J52" i="2"/>
  <c r="J51" i="2"/>
  <c r="J50" i="2"/>
  <c r="J49" i="2"/>
  <c r="J48" i="2"/>
  <c r="J34" i="2"/>
  <c r="J33" i="2"/>
  <c r="J32" i="2"/>
  <c r="J31" i="2"/>
  <c r="J30" i="2"/>
  <c r="J29" i="2"/>
  <c r="J28" i="2"/>
  <c r="J8" i="2"/>
</calcChain>
</file>

<file path=xl/sharedStrings.xml><?xml version="1.0" encoding="utf-8"?>
<sst xmlns="http://schemas.openxmlformats.org/spreadsheetml/2006/main" count="1790" uniqueCount="226">
  <si>
    <t>OFICINA NACIONAL DE CRÉDITO PÚBLICO - DIRECCIÓN DE PROGRAMACIÓN E INFORMACIÓN FINANCIERA</t>
  </si>
  <si>
    <t>COLOCACIONES DE DEUDA 2025</t>
  </si>
  <si>
    <t>CONTENIDO</t>
  </si>
  <si>
    <t>1. Bonos</t>
  </si>
  <si>
    <t>2. Letras</t>
  </si>
  <si>
    <t>3. Letras intra sector público</t>
  </si>
  <si>
    <t>4. Canje y Conversiones</t>
  </si>
  <si>
    <t>5. Otras Operaciones</t>
  </si>
  <si>
    <t>Emisiones de deuda pública en millones de pesos entre 01-01-2025 y 31-12-2025 (información preliminar)</t>
  </si>
  <si>
    <t>Inicio</t>
  </si>
  <si>
    <t>Nombre del Instrumento</t>
  </si>
  <si>
    <t>Fecha de emisión</t>
  </si>
  <si>
    <t>Vencimiento</t>
  </si>
  <si>
    <t>Cupón</t>
  </si>
  <si>
    <t>Amortización</t>
  </si>
  <si>
    <r>
      <rPr>
        <b/>
        <sz val="9"/>
        <color theme="0"/>
        <rFont val="Encode Sans"/>
      </rPr>
      <t xml:space="preserve">Tipo Moneda </t>
    </r>
    <r>
      <rPr>
        <b/>
        <sz val="8"/>
        <color theme="0"/>
        <rFont val="Encode Sans"/>
      </rPr>
      <t>(*)</t>
    </r>
  </si>
  <si>
    <t>Moneda de Origen</t>
  </si>
  <si>
    <t>Fecha colocación/      liquidación</t>
  </si>
  <si>
    <t>Valor Nominal</t>
  </si>
  <si>
    <t>Valor Efectivo</t>
  </si>
  <si>
    <t>Precio de emisión c/1000</t>
  </si>
  <si>
    <t>Vida Promedio</t>
  </si>
  <si>
    <t>Resolución</t>
  </si>
  <si>
    <t>Número</t>
  </si>
  <si>
    <t>BONCER/$/TASA CERO/31-03-2027</t>
  </si>
  <si>
    <t>Cero cupón</t>
  </si>
  <si>
    <t>Integra al vencimiento</t>
  </si>
  <si>
    <t>MONEDA NACIONAL</t>
  </si>
  <si>
    <t>UCP</t>
  </si>
  <si>
    <t>RESOL</t>
  </si>
  <si>
    <t>27/2024 y 3/2025</t>
  </si>
  <si>
    <t>BONCAP/$/30-06-2026</t>
  </si>
  <si>
    <t>Tasa efectiva mensual capitalizable 2,15%.</t>
  </si>
  <si>
    <t>ARP</t>
  </si>
  <si>
    <t>BONCAP/$/15-01-2027</t>
  </si>
  <si>
    <t>Tasa efectiva mensual capitalizable 2,05%</t>
  </si>
  <si>
    <t>BONCAP/$/TASA CERO/13-02-2026</t>
  </si>
  <si>
    <t>Tasa efectiva mensual capitalizable 2,60%.</t>
  </si>
  <si>
    <t>64/2024 y 8/2025</t>
  </si>
  <si>
    <t>BONCER/$/TASA CERO/30-05-2025</t>
  </si>
  <si>
    <t>BONCER/$/TASA CERO/31-10-2025</t>
  </si>
  <si>
    <t>BONCAP/$/TASA CERO/30-01-2026</t>
  </si>
  <si>
    <t>Tasa efectiva mensual capitalizable 2,65%.</t>
  </si>
  <si>
    <t>65/2024</t>
  </si>
  <si>
    <t>BONTE/U$S/0%/30-06-2025 - Paga en pesos</t>
  </si>
  <si>
    <t>MONEDA EXTRANJERA</t>
  </si>
  <si>
    <t>DLK</t>
  </si>
  <si>
    <t>BONCER/$/TASA CERO/30-10-2026</t>
  </si>
  <si>
    <t>59/2024 y 16/2025</t>
  </si>
  <si>
    <t>BONCAP/$/TASA CERO/17-10-2025</t>
  </si>
  <si>
    <t>Tasa efectiva mensual capitalizable 3,90%.</t>
  </si>
  <si>
    <t>56/2024 y 20/2025</t>
  </si>
  <si>
    <t>6 y 20</t>
  </si>
  <si>
    <t>27/2024 y 20/2025</t>
  </si>
  <si>
    <t>BONCAP/$/30-01-2026</t>
  </si>
  <si>
    <t>Tasa efectiva mensual capitalizable 2,65%</t>
  </si>
  <si>
    <t>65/2024 y 23/2025</t>
  </si>
  <si>
    <t>65/2024 y 24/2025</t>
  </si>
  <si>
    <t>BONTE/$/29,50%/30-05-2030</t>
  </si>
  <si>
    <t>Tasa Nonimal anual  29,5%.</t>
  </si>
  <si>
    <t>24 y 26</t>
  </si>
  <si>
    <t>6 y 29</t>
  </si>
  <si>
    <t>BONCER/$/TASA CERO/31-03-2026</t>
  </si>
  <si>
    <t>25/2024</t>
  </si>
  <si>
    <t>BONTE/U$S/0%/15-12-2025 - Paga en pesos</t>
  </si>
  <si>
    <t>35/24 y 35/25</t>
  </si>
  <si>
    <t>BONCAP/$/30-04-2027</t>
  </si>
  <si>
    <t>Tasa efectiva mensual capitalizable 2,55%</t>
  </si>
  <si>
    <t>59/2024 y 60/2025</t>
  </si>
  <si>
    <t>BONCER/$/TASA CERO/30-04-2027</t>
  </si>
  <si>
    <t>BONTE/U$S/6,5%/30-11-2029</t>
  </si>
  <si>
    <t>Tasa Nonimal anual  6,5%.</t>
  </si>
  <si>
    <t>BONCAP/$/31-05-2027</t>
  </si>
  <si>
    <t>Tasa efectiva mensual capitalizable 2,40%</t>
  </si>
  <si>
    <t>BONCER/$/TASA CERO/31-05-27</t>
  </si>
  <si>
    <t>BONCER/$/TASA CERO/30-06-2028</t>
  </si>
  <si>
    <t>8/2024 y 63/2025</t>
  </si>
  <si>
    <t>(*) Refiere al tipo de moneda s/norma de emisión.</t>
  </si>
  <si>
    <t>Tipo Moneda (*)</t>
  </si>
  <si>
    <t>Vida Promedio (días remanentes)</t>
  </si>
  <si>
    <t>LECAP/$/31-07-2025</t>
  </si>
  <si>
    <t>Tasa efectiva mensual capitalizable 3,98%.</t>
  </si>
  <si>
    <t>Íntegra al vencimiento</t>
  </si>
  <si>
    <t>55/2024 y 3/2025</t>
  </si>
  <si>
    <t>LECAP/$/31-10-2025</t>
  </si>
  <si>
    <t>Tasa efectiva mensual capitalizable 2,74%.</t>
  </si>
  <si>
    <t>65/2024 y 3/2025</t>
  </si>
  <si>
    <t>LECAP/$/14-03-2025</t>
  </si>
  <si>
    <t>52/2024 y 6/2025</t>
  </si>
  <si>
    <t>LECAP/$/28-04-2025</t>
  </si>
  <si>
    <t>Tasa efectiva mensual capitalizable 3,95%.</t>
  </si>
  <si>
    <t>55/2024 y 6/2025</t>
  </si>
  <si>
    <t>52/2024 y 8/2025</t>
  </si>
  <si>
    <t>LECAP/$/30-05-2025</t>
  </si>
  <si>
    <t>55/2024 y 8/2025</t>
  </si>
  <si>
    <t>LECAP/$/28-11-2025</t>
  </si>
  <si>
    <t>Tasa efectiva mensual capitalizable 2,26%.</t>
  </si>
  <si>
    <t>LELINK/U$D/16-1-2026</t>
  </si>
  <si>
    <t>Cupón cero</t>
  </si>
  <si>
    <t>USD</t>
  </si>
  <si>
    <t>LECAP/$/31-03-2025</t>
  </si>
  <si>
    <t>Tasa efectiva mensual capitalizable 4,1%.</t>
  </si>
  <si>
    <t>25/2024 y 9/2025</t>
  </si>
  <si>
    <t>LECAP/$/18-06-2025</t>
  </si>
  <si>
    <t>46/2024 y 5/2025</t>
  </si>
  <si>
    <t>LECAP/$/16-04-2025</t>
  </si>
  <si>
    <t>52/2024 y 11/2025</t>
  </si>
  <si>
    <t>55/2024 y 11/2025</t>
  </si>
  <si>
    <t>55/2024 y 15/2025</t>
  </si>
  <si>
    <t>LECAP/$/TAMAR+5%/31-07-2025</t>
  </si>
  <si>
    <t>Tasa efectiva mensual “TAMAR TEM”</t>
  </si>
  <si>
    <t>LECAP/$/16-05-2025</t>
  </si>
  <si>
    <t>52/2024 y 16/2025</t>
  </si>
  <si>
    <t>46/2024 y 16/2025</t>
  </si>
  <si>
    <t>55/2024 y 16/2025</t>
  </si>
  <si>
    <t>LECAP/$/15-08-2025</t>
  </si>
  <si>
    <t>LECAP/$/12-09-2025</t>
  </si>
  <si>
    <t>52/2024 y 20/2025</t>
  </si>
  <si>
    <t>8/2025y 20/2025</t>
  </si>
  <si>
    <t>55/2024 y 23/2025</t>
  </si>
  <si>
    <t>LECAP/$/29-08-2025</t>
  </si>
  <si>
    <t>Tasa efectiva mensual capitalizable 3,88%.</t>
  </si>
  <si>
    <t>50/2024 y 23/2025</t>
  </si>
  <si>
    <t>LECAP/$/30-06-2025</t>
  </si>
  <si>
    <t>55/2024 y 24/2025</t>
  </si>
  <si>
    <t>50/2024 y 25/2025</t>
  </si>
  <si>
    <t>LECAP/$/29-05-2026</t>
  </si>
  <si>
    <t>Tasa efectiva mensual capitalizable 2,35%.</t>
  </si>
  <si>
    <t>50/2024 y 24/2025</t>
  </si>
  <si>
    <t>LECAP/$/10-07-2025</t>
  </si>
  <si>
    <t>Tasa efectiva mensual capitalizable 2,58%.</t>
  </si>
  <si>
    <t>56/2024 y 26/2025</t>
  </si>
  <si>
    <t>55/2024 y 29/2025</t>
  </si>
  <si>
    <t>50/2024 y 29/2025</t>
  </si>
  <si>
    <t>LECAP/$/30-09-2025</t>
  </si>
  <si>
    <t>LELINK/U$D/31-10-2025</t>
  </si>
  <si>
    <t>50/2024 y 28/2025</t>
  </si>
  <si>
    <t>LECAP/$/10-11-2025</t>
  </si>
  <si>
    <t>Tasa efectiva mensual capitalizable 2,2%.</t>
  </si>
  <si>
    <t>LECAP/$/TAMAR+6%/10-11-2025</t>
  </si>
  <si>
    <t>LECAP/$/TAMAR+7,5%/16-01-2026</t>
  </si>
  <si>
    <t>LECAP/$/16-01-2026</t>
  </si>
  <si>
    <t>Tasa efectiva mensual capitalizable 3,6%.</t>
  </si>
  <si>
    <t>LECAP/$/TAMAR+1%/28-11-2025</t>
  </si>
  <si>
    <t>55/2024 y 41/2025</t>
  </si>
  <si>
    <t>38 y 41</t>
  </si>
  <si>
    <t>39 y 41</t>
  </si>
  <si>
    <t>LECAP/$/27-02-2026</t>
  </si>
  <si>
    <t>LECAP/$/TAMAR+1,5%/27-02-2026</t>
  </si>
  <si>
    <t>LECAP/$/TAMAR+2%/15-12-2025</t>
  </si>
  <si>
    <t>8 y 47</t>
  </si>
  <si>
    <t>LECAP/$/30-04-2026</t>
  </si>
  <si>
    <t>Tasa efectiva mensual capitalizable 3,53%.</t>
  </si>
  <si>
    <t>31 y 47</t>
  </si>
  <si>
    <t>LELINK/U$D/28-11-2025</t>
  </si>
  <si>
    <t>LELINK/U$D/30-04-2026</t>
  </si>
  <si>
    <t>LELINK/U$D/30-01-2026</t>
  </si>
  <si>
    <t>10/17/2025</t>
  </si>
  <si>
    <t>8 y 54</t>
  </si>
  <si>
    <t>47 y 54</t>
  </si>
  <si>
    <t>LECAP/$/30-10-2026</t>
  </si>
  <si>
    <t>Tasa efectiva mensual capitalizable 2,55%.</t>
  </si>
  <si>
    <t>LECAP/$/31-08-2026</t>
  </si>
  <si>
    <t>Tasa efectiva mensual capitalizable 2,5%.</t>
  </si>
  <si>
    <t>LECAP/$/TAMAR+5%/31-08-2026</t>
  </si>
  <si>
    <t>47 y 60</t>
  </si>
  <si>
    <t>LECAP/$/TAMAR+4%/30-04-2026</t>
  </si>
  <si>
    <t>LECER/$/CER/29-05-2026</t>
  </si>
  <si>
    <t>LECER/$/CER/30-11-2026</t>
  </si>
  <si>
    <t>LECAP/$/17-04-2026</t>
  </si>
  <si>
    <t>Tasa efectiva mensual capitalizable 2,40%.</t>
  </si>
  <si>
    <t>LECAP/$/30-11-2026</t>
  </si>
  <si>
    <t>58 y 63</t>
  </si>
  <si>
    <t>60 y 63</t>
  </si>
  <si>
    <t>24 y 63</t>
  </si>
  <si>
    <t xml:space="preserve">Moneda de Origen </t>
  </si>
  <si>
    <t>Vida Promedio 
(días remanentes)</t>
  </si>
  <si>
    <t>LETRA/U$S/BCRA/7-1-2030</t>
  </si>
  <si>
    <t>Pagaderos semestralmente, en función de la tasa de interés que devenguen las reservas internacionales del Banco Central de la República Argentina para el mismo período y hasta un máximo de la tasa SOFR TERM a un año más el margen de ajuste de 0,71513% menos un punto porcentual, aplicada sobre el monto de capital efectivamente suscripto.</t>
  </si>
  <si>
    <t>LETRA/U$S/VARIOS/13-2-2026</t>
  </si>
  <si>
    <t>(**) Refiere al tipo de moneda de denominación s/ norma de emisión. En caso que la moneda sea UCP se utilizo el CER a la fecha de emisión para convertir los montos a pesos y en caso que la moneda sea DLK se utilizo el dólar a la fecha de colocación para convertir los montos a pesos.</t>
  </si>
  <si>
    <t>Norma</t>
  </si>
  <si>
    <t>LECAP/$/ 30-06-2025</t>
  </si>
  <si>
    <t>BONCAP/$/TASA CERO/15-12-2025</t>
  </si>
  <si>
    <t>Tasa efectiva mensual capitalizable 3,89%.</t>
  </si>
  <si>
    <t>BONTE/U$S/0%/30-06-2026 - Paga en pesos</t>
  </si>
  <si>
    <t>BONO R.A./U$S/STEP UP/09-07-2035</t>
  </si>
  <si>
    <t>Tasas nominales anuales: 
 (1) Del 04-09-2020 (inclusive) al 09-07-2021 (exclusive): 0,125%.
 (2) Del 09-07-2021 (inclusive) al 09-07- 2022 (exclusive): 1,125%.
 (3) Del 09-07-2022 (inclusive) al 09-07-2023 (exclusive): 1,50%.
 (4) Del 09-07-2023 (inclusive) al 09-07-2024 (exclusive): 3,625%.
 (5) Del 09-07-2024 (inclusive) al 09-07-2027 (exclusive): 4,125%.
 (6) Del 09-07-2027 (inclusive) al 09-07-2028 (exclusive): 4,75%.
 (7) Del 09-07-2028 (inclusive) al vto.: 5,00%.
 Pago de intereses semestrales los días 09-01 y 09-07, comenzando el 09-07-2021. Base 30/360.</t>
  </si>
  <si>
    <t>10 cuotas semestrales iguales pagaderas el 9 de enero y julio de cada año. Fecha de pago primera cuota: 9 de enero de 2031.</t>
  </si>
  <si>
    <t>BONO R.A./U$S/STEP UP/09-01-2038</t>
  </si>
  <si>
    <t>Tasas nominales anuales: 
 (1) Del 04-09-2020 (inclusive) al 09-07-2021 (exclusive): 0,125%.
 (2) Del 09-07-2021 (inclusive) al 09-07-2022 (exclusive): 2,00%.
 (3) Del 09-07-2022 (inclusive) al 09-07-2023 (exclusive):3,875%.
 (4) Del 09-07-2023 (inclusive) al 09-07-2024 (exclusive): 4,25%.
 (5) Del 09-07-2024 (inclusive) al vto.: 5,00%.
 Pago de intereses semestrales los días 09-01 y 09-07, comenzando el 09-07-2021. Base 30/360.</t>
  </si>
  <si>
    <t>22 cuotas semestrales iguales pagaderas el 9 de enero y julio de cada año. Fecha de pago primera cuota: 9 de julio de 2027.</t>
  </si>
  <si>
    <t>Canje</t>
  </si>
  <si>
    <t>Moneda de Origen (**)</t>
  </si>
  <si>
    <t>Valor Técnico Adjudicado</t>
  </si>
  <si>
    <t>Norma de emisión Original</t>
  </si>
  <si>
    <t>Conversiones</t>
  </si>
  <si>
    <t>Nombre del Instrumento a entregar</t>
  </si>
  <si>
    <t>Valor Nominal a entregar nuevos instrumentos</t>
  </si>
  <si>
    <t>Instrumento  a dar de baja</t>
  </si>
  <si>
    <t>Valor a dar de baja(**)</t>
  </si>
  <si>
    <t>BONTE TASA DUAL /$/16-03-2026  - Paga en pesos</t>
  </si>
  <si>
    <t>El máximo valor entre :
A) una tasa efectiva mensual capitalizable mensualmente de 2,25% (tasa fija) hasta el vencimiento 
y  
B) una tasa efectiva mensual “TAMAR TEM” (tasa variable) capitalizable mensualmente hasta el vencimiento</t>
  </si>
  <si>
    <t>BONTE TASA DUAL /$/30-06-2026  - Paga en pesos</t>
  </si>
  <si>
    <t>El máximo valor entre :
A) una tasa efectiva mensual capitalizable mensualmente de 2,19% (tasa fija) hasta el vencimiento 
y  
B) una tasa efectiva mensual “TAMAR TEM” (tasa variable) capitalizable mensualmente hasta el vencimiento</t>
  </si>
  <si>
    <t>BONTE TASA DUAL /$/15-09-2026  - Paga en pesos</t>
  </si>
  <si>
    <t>El máximo valor entre :
A) una tasa efectiva mensual capitalizable mensualmente de 2,17% (tasa fija) hasta el vencimiento 
y  
B) una tasa efectiva mensual “TAMAR TEM” (tasa variable) capitalizable mensualmente hasta el vencimiento</t>
  </si>
  <si>
    <t>BONTE TASA DUAL /$/15-12-2026  - Paga en pesos</t>
  </si>
  <si>
    <t>El máximo valor entre :
A) una tasa efectiva mensual capitalizable mensualmente de 2,14% (tasa fija) hasta el vencimiento 
y  
B) una tasa efectiva mensual “TAMAR TEM” (tasa variable) capitalizable mensualmente hasta el vencimiento</t>
  </si>
  <si>
    <r>
      <rPr>
        <sz val="8"/>
        <color theme="1"/>
        <rFont val="Encode Sans"/>
      </rPr>
      <t xml:space="preserve">El </t>
    </r>
    <r>
      <rPr>
        <u/>
        <sz val="8"/>
        <color theme="1"/>
        <rFont val="Encode Sans"/>
      </rPr>
      <t>máximo valor entre</t>
    </r>
    <r>
      <rPr>
        <sz val="8"/>
        <color theme="1"/>
        <rFont val="Encode Sans"/>
      </rPr>
      <t xml:space="preserve"> :
A) una tasa efectiva mensual capitalizable mensualmente de 2,25% (tasa fija) hasta el vencimiento 
y  
B) una tasa efectiva mensual “TAMAR TEM” (tasa variable) capitalizable mensualmente hasta el vencimiento</t>
    </r>
  </si>
  <si>
    <r>
      <rPr>
        <sz val="8"/>
        <color theme="1"/>
        <rFont val="Encode Sans"/>
      </rPr>
      <t xml:space="preserve">El </t>
    </r>
    <r>
      <rPr>
        <u/>
        <sz val="8"/>
        <color theme="1"/>
        <rFont val="Encode Sans"/>
      </rPr>
      <t>máximo valor entre</t>
    </r>
    <r>
      <rPr>
        <sz val="8"/>
        <color theme="1"/>
        <rFont val="Encode Sans"/>
      </rPr>
      <t xml:space="preserve"> :
A) una tasa efectiva mensual capitalizable mensualmente de 2,25% (tasa fija) hasta el vencimiento 
y  
B) una tasa efectiva mensual “TAMAR TEM” (tasa variable) capitalizable mensualmente hasta el vencimiento</t>
    </r>
  </si>
  <si>
    <r>
      <rPr>
        <sz val="8"/>
        <color theme="1"/>
        <rFont val="Encode Sans"/>
      </rPr>
      <t xml:space="preserve">El </t>
    </r>
    <r>
      <rPr>
        <u/>
        <sz val="8"/>
        <color theme="1"/>
        <rFont val="Encode Sans"/>
      </rPr>
      <t>máximo valor entre</t>
    </r>
    <r>
      <rPr>
        <sz val="8"/>
        <color theme="1"/>
        <rFont val="Encode Sans"/>
      </rPr>
      <t xml:space="preserve"> :
A) una tasa efectiva mensual capitalizable mensualmente de 2,25% (tasa fija) hasta el vencimiento 
y  
B) una tasa efectiva mensual “TAMAR TEM” (tasa variable) capitalizable mensualmente hasta el vencimiento</t>
    </r>
  </si>
  <si>
    <r>
      <rPr>
        <sz val="8"/>
        <color theme="1"/>
        <rFont val="Encode Sans"/>
      </rPr>
      <t xml:space="preserve">El </t>
    </r>
    <r>
      <rPr>
        <u/>
        <sz val="8"/>
        <color theme="1"/>
        <rFont val="Encode Sans"/>
      </rPr>
      <t>máximo valor entre</t>
    </r>
    <r>
      <rPr>
        <sz val="8"/>
        <color theme="1"/>
        <rFont val="Encode Sans"/>
      </rPr>
      <t xml:space="preserve"> :
A) una tasa efectiva mensual capitalizable mensualmente de 2,25% (tasa fija) hasta el vencimiento 
y  
B) una tasa efectiva mensual “TAMAR TEM” (tasa variable) capitalizable mensualmente hasta el vencimiento</t>
    </r>
  </si>
  <si>
    <r>
      <rPr>
        <sz val="8"/>
        <color theme="1"/>
        <rFont val="Encode Sans"/>
      </rPr>
      <t xml:space="preserve">El </t>
    </r>
    <r>
      <rPr>
        <u/>
        <sz val="8"/>
        <color theme="1"/>
        <rFont val="Encode Sans"/>
      </rPr>
      <t>máximo valor entre</t>
    </r>
    <r>
      <rPr>
        <sz val="8"/>
        <color theme="1"/>
        <rFont val="Encode Sans"/>
      </rPr>
      <t xml:space="preserve"> :
A) una tasa efectiva mensual capitalizable mensualmente de 2,25% (tasa fija) hasta el vencimiento 
y  
B) una tasa efectiva mensual “TAMAR TEM” (tasa variable) capitalizable mensualmente hasta el vencimiento</t>
    </r>
  </si>
  <si>
    <r>
      <rPr>
        <sz val="8"/>
        <color theme="1"/>
        <rFont val="Encode Sans"/>
      </rPr>
      <t xml:space="preserve">El </t>
    </r>
    <r>
      <rPr>
        <u/>
        <sz val="8"/>
        <color theme="1"/>
        <rFont val="Encode Sans"/>
      </rPr>
      <t>máximo valor entre</t>
    </r>
    <r>
      <rPr>
        <sz val="8"/>
        <color theme="1"/>
        <rFont val="Encode Sans"/>
      </rPr>
      <t xml:space="preserve"> :
A) una tasa efectiva mensual capitalizable mensualmente de 2,25% (tasa fija) hasta el vencimiento 
y  
B) una tasa efectiva mensual “TAMAR TEM” (tasa variable) capitalizable mensualmente hasta el vencimiento</t>
    </r>
  </si>
  <si>
    <r>
      <rPr>
        <sz val="8"/>
        <color theme="1"/>
        <rFont val="Encode Sans"/>
      </rPr>
      <t xml:space="preserve">El </t>
    </r>
    <r>
      <rPr>
        <u/>
        <sz val="8"/>
        <color theme="1"/>
        <rFont val="Encode Sans"/>
      </rPr>
      <t>máximo valor entre</t>
    </r>
    <r>
      <rPr>
        <sz val="8"/>
        <color theme="1"/>
        <rFont val="Encode Sans"/>
      </rPr>
      <t xml:space="preserve"> :
A) una tasa efectiva mensual capitalizable mensualmente de 2,25% (tasa fija) hasta el vencimiento 
y  
B) una tasa efectiva mensual “TAMAR TEM” (tasa variable) capitalizable mensualmente hasta el vencimiento</t>
    </r>
  </si>
  <si>
    <r>
      <rPr>
        <sz val="8"/>
        <color theme="1"/>
        <rFont val="Encode Sans"/>
      </rPr>
      <t xml:space="preserve">El </t>
    </r>
    <r>
      <rPr>
        <u/>
        <sz val="8"/>
        <color theme="1"/>
        <rFont val="Encode Sans"/>
      </rPr>
      <t>máximo valor entre</t>
    </r>
    <r>
      <rPr>
        <sz val="8"/>
        <color theme="1"/>
        <rFont val="Encode Sans"/>
      </rPr>
      <t xml:space="preserve"> :
A) una tasa efectiva mensual capitalizable mensualmente de 2,25% (tasa fija) hasta el vencimiento 
y  
B) una tasa efectiva mensual “TAMAR TEM” (tasa variable) capitalizable mensualmente hasta el vencimiento</t>
    </r>
  </si>
  <si>
    <r>
      <rPr>
        <sz val="8"/>
        <color theme="1"/>
        <rFont val="Encode Sans"/>
      </rPr>
      <t xml:space="preserve">El </t>
    </r>
    <r>
      <rPr>
        <u/>
        <sz val="8"/>
        <color theme="1"/>
        <rFont val="Encode Sans"/>
      </rPr>
      <t>máximo valor entre</t>
    </r>
    <r>
      <rPr>
        <sz val="8"/>
        <color theme="1"/>
        <rFont val="Encode Sans"/>
      </rPr>
      <t xml:space="preserve"> :
A) una tasa efectiva mensual capitalizable mensualmente de 2,25% (tasa fija) hasta el vencimiento 
y  
B) una tasa efectiva mensual “TAMAR TEM” (tasa variable) capitalizable mensualmente hasta el vencimiento</t>
    </r>
  </si>
  <si>
    <r>
      <rPr>
        <sz val="8"/>
        <color theme="1"/>
        <rFont val="Encode Sans"/>
      </rPr>
      <t xml:space="preserve">El </t>
    </r>
    <r>
      <rPr>
        <u/>
        <sz val="8"/>
        <color theme="1"/>
        <rFont val="Encode Sans"/>
      </rPr>
      <t>máximo valor entre</t>
    </r>
    <r>
      <rPr>
        <sz val="8"/>
        <color theme="1"/>
        <rFont val="Encode Sans"/>
      </rPr>
      <t xml:space="preserve"> :
A) una tasa efectiva mensual capitalizable mensualmente de 2,25% (tasa fija) hasta el vencimiento 
y  
B) una tasa efectiva mensual “TAMAR TEM” (tasa variable) capitalizable mensualmente hasta el vencimiento</t>
    </r>
  </si>
  <si>
    <t>BONCER/$/1,80+CER/09-11-2025</t>
  </si>
  <si>
    <t>BONCER/$/4,25%+CER/14-2-2025</t>
  </si>
  <si>
    <t>Tasa efectiva mensual capitalizable 3,9%.</t>
  </si>
  <si>
    <t>BONCAP TASA DUAL /$/15-12-2026</t>
  </si>
  <si>
    <t>BONCER/$/TASA CERO/30-06-2026</t>
  </si>
  <si>
    <t>LEFI/$/TASA VARIABLE/17-07-2025</t>
  </si>
  <si>
    <t>(**) Los valores correspondientes a instrumentos DLK estan expresados en pesos.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</si>
</sst>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8" formatCode="&quot;$&quot;\ #,##0.00;[Red]\-&quot;$&quot;\ #,##0.00"/>
    <numFmt numFmtId="164" formatCode="0.0"/>
    <numFmt numFmtId="165" formatCode="_-* #,##0.00_-;\-* #,##0.00_-;_-* &quot;-&quot;??_-;_-@"/>
    <numFmt numFmtId="166" formatCode="#,##0.0000"/>
    <numFmt numFmtId="167" formatCode="#,##0.000"/>
    <numFmt numFmtId="168" formatCode="#,##0.0"/>
    <numFmt numFmtId="169" formatCode="0.0000"/>
    <numFmt numFmtId="170" formatCode="0.0000000000"/>
    <numFmt numFmtId="171" formatCode="#,##0.000000000"/>
    <numFmt numFmtId="172" formatCode="0.00000000000"/>
    <numFmt numFmtId="173" formatCode="0.000000000000"/>
    <numFmt numFmtId="174" formatCode="0.000000000"/>
  </numFmts>
  <fonts count="35">
    <font>
      <sz val="11"/>
      <color theme="1"/>
      <name val="Calibri"/>
      <scheme val="minor"/>
    </font>
    <font>
      <sz val="11"/>
      <color theme="1"/>
      <name val="Encode Sans"/>
    </font>
    <font>
      <sz val="11"/>
      <color rgb="FF3A3838"/>
      <name val="Encode Sans"/>
    </font>
    <font>
      <b/>
      <sz val="11"/>
      <color rgb="FF3A3838"/>
      <name val="Encode Sans"/>
    </font>
    <font>
      <sz val="11"/>
      <color rgb="FF00B0F0"/>
      <name val="Encode Sans"/>
    </font>
    <font>
      <sz val="18"/>
      <color rgb="FF00B0F0"/>
      <name val="Encode Sans"/>
    </font>
    <font>
      <b/>
      <sz val="14"/>
      <color rgb="FF0070C0"/>
      <name val="Encode Sans"/>
    </font>
    <font>
      <b/>
      <sz val="14"/>
      <color rgb="FF3A3838"/>
      <name val="Encode Sans"/>
    </font>
    <font>
      <b/>
      <sz val="11"/>
      <color theme="1"/>
      <name val="Encode Sans"/>
    </font>
    <font>
      <sz val="14"/>
      <color rgb="FF00B0F0"/>
      <name val="Encode Sans"/>
    </font>
    <font>
      <u/>
      <sz val="16"/>
      <color rgb="FF00B0F0"/>
      <name val="Encode Sans"/>
    </font>
    <font>
      <sz val="16"/>
      <color rgb="FF00B0F0"/>
      <name val="Encode Sans"/>
    </font>
    <font>
      <sz val="16"/>
      <color theme="1"/>
      <name val="Encode Sans"/>
    </font>
    <font>
      <i/>
      <sz val="16"/>
      <color theme="1"/>
      <name val="Encode Sans"/>
    </font>
    <font>
      <b/>
      <sz val="16"/>
      <color theme="1"/>
      <name val="Encode Sans"/>
    </font>
    <font>
      <b/>
      <u/>
      <sz val="9"/>
      <color theme="1"/>
      <name val="Encode Sans"/>
    </font>
    <font>
      <sz val="9"/>
      <color theme="1"/>
      <name val="Encode Sans"/>
    </font>
    <font>
      <b/>
      <u/>
      <sz val="11"/>
      <color theme="10"/>
      <name val="Encode Sans"/>
    </font>
    <font>
      <sz val="8"/>
      <color theme="1"/>
      <name val="Encode Sans"/>
    </font>
    <font>
      <sz val="8"/>
      <color rgb="FF333333"/>
      <name val="Arial"/>
      <family val="2"/>
    </font>
    <font>
      <b/>
      <sz val="9"/>
      <color theme="0"/>
      <name val="Encode Sans"/>
    </font>
    <font>
      <b/>
      <sz val="9"/>
      <color rgb="FFFFFFFF"/>
      <name val="Encode Sans"/>
    </font>
    <font>
      <b/>
      <sz val="13"/>
      <color theme="1"/>
      <name val="Calibri"/>
      <family val="2"/>
    </font>
    <font>
      <sz val="11"/>
      <color theme="1"/>
      <name val="Calibri"/>
      <family val="2"/>
    </font>
    <font>
      <b/>
      <sz val="9"/>
      <color theme="1"/>
      <name val="Encode Sans"/>
    </font>
    <font>
      <sz val="8"/>
      <color rgb="FF000000"/>
      <name val="Encode Sans"/>
    </font>
    <font>
      <u/>
      <sz val="11"/>
      <color rgb="FF000000"/>
      <name val="Encode Sans"/>
    </font>
    <font>
      <u/>
      <sz val="11"/>
      <color theme="1"/>
      <name val="Encode Sans"/>
    </font>
    <font>
      <u/>
      <sz val="11"/>
      <color theme="10"/>
      <name val="Encode Sans"/>
    </font>
    <font>
      <b/>
      <sz val="10"/>
      <color theme="0"/>
      <name val="Encode Sans"/>
    </font>
    <font>
      <b/>
      <u/>
      <sz val="9"/>
      <color theme="1"/>
      <name val="Encode Sans"/>
    </font>
    <font>
      <b/>
      <u/>
      <sz val="9"/>
      <color theme="1"/>
      <name val="Encode Sans"/>
    </font>
    <font>
      <sz val="11"/>
      <color rgb="FF000000"/>
      <name val="Calibri"/>
      <family val="2"/>
    </font>
    <font>
      <b/>
      <sz val="8"/>
      <color theme="0"/>
      <name val="Encode Sans"/>
    </font>
    <font>
      <u/>
      <sz val="8"/>
      <color theme="1"/>
      <name val="Encode Sans"/>
    </font>
  </fonts>
  <fills count="4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60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0" xfId="0" applyFont="1"/>
    <xf numFmtId="0" fontId="12" fillId="0" borderId="0" xfId="0" applyFont="1"/>
    <xf numFmtId="14" fontId="12" fillId="0" borderId="0" xfId="0" applyNumberFormat="1" applyFont="1"/>
    <xf numFmtId="0" fontId="11" fillId="0" borderId="0" xfId="0" applyFont="1" applyAlignment="1">
      <alignment vertical="center"/>
    </xf>
    <xf numFmtId="0" fontId="14" fillId="0" borderId="0" xfId="0" applyFont="1"/>
    <xf numFmtId="0" fontId="15" fillId="0" borderId="0" xfId="0" applyFont="1" applyAlignment="1">
      <alignment vertical="center"/>
    </xf>
    <xf numFmtId="14" fontId="16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0" fontId="18" fillId="0" borderId="0" xfId="0" applyFont="1"/>
    <xf numFmtId="14" fontId="18" fillId="0" borderId="0" xfId="0" applyNumberFormat="1" applyFont="1"/>
    <xf numFmtId="14" fontId="19" fillId="0" borderId="0" xfId="0" applyNumberFormat="1" applyFont="1"/>
    <xf numFmtId="0" fontId="20" fillId="2" borderId="1" xfId="0" applyFont="1" applyFill="1" applyBorder="1" applyAlignment="1">
      <alignment horizontal="center" vertical="center" wrapText="1"/>
    </xf>
    <xf numFmtId="14" fontId="20" fillId="2" borderId="1" xfId="0" applyNumberFormat="1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3" fontId="18" fillId="0" borderId="1" xfId="0" applyNumberFormat="1" applyFont="1" applyBorder="1" applyAlignment="1">
      <alignment horizontal="center" vertical="center" wrapText="1"/>
    </xf>
    <xf numFmtId="4" fontId="18" fillId="0" borderId="1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8" fillId="0" borderId="2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3" fontId="18" fillId="0" borderId="1" xfId="0" applyNumberFormat="1" applyFont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3" borderId="0" xfId="0" applyFont="1" applyFill="1"/>
    <xf numFmtId="14" fontId="18" fillId="3" borderId="0" xfId="0" applyNumberFormat="1" applyFont="1" applyFill="1"/>
    <xf numFmtId="0" fontId="18" fillId="3" borderId="4" xfId="0" applyFont="1" applyFill="1" applyBorder="1"/>
    <xf numFmtId="14" fontId="18" fillId="3" borderId="4" xfId="0" applyNumberFormat="1" applyFont="1" applyFill="1" applyBorder="1"/>
    <xf numFmtId="14" fontId="18" fillId="0" borderId="0" xfId="0" applyNumberFormat="1" applyFont="1"/>
    <xf numFmtId="2" fontId="18" fillId="0" borderId="0" xfId="0" applyNumberFormat="1" applyFont="1"/>
    <xf numFmtId="165" fontId="18" fillId="0" borderId="0" xfId="0" applyNumberFormat="1" applyFont="1"/>
    <xf numFmtId="14" fontId="22" fillId="0" borderId="0" xfId="0" applyNumberFormat="1" applyFont="1" applyAlignment="1">
      <alignment vertical="center"/>
    </xf>
    <xf numFmtId="14" fontId="23" fillId="0" borderId="0" xfId="0" applyNumberFormat="1" applyFont="1"/>
    <xf numFmtId="0" fontId="24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14" fontId="1" fillId="0" borderId="0" xfId="0" applyNumberFormat="1" applyFont="1"/>
    <xf numFmtId="3" fontId="20" fillId="2" borderId="1" xfId="0" applyNumberFormat="1" applyFont="1" applyFill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3" fillId="0" borderId="0" xfId="0" applyFont="1" applyAlignment="1">
      <alignment horizontal="center" wrapText="1"/>
    </xf>
    <xf numFmtId="14" fontId="18" fillId="0" borderId="3" xfId="0" applyNumberFormat="1" applyFont="1" applyBorder="1" applyAlignment="1">
      <alignment horizontal="center" vertical="center" wrapText="1"/>
    </xf>
    <xf numFmtId="3" fontId="18" fillId="0" borderId="3" xfId="0" applyNumberFormat="1" applyFont="1" applyBorder="1" applyAlignment="1">
      <alignment horizontal="center" vertical="center" wrapText="1"/>
    </xf>
    <xf numFmtId="14" fontId="18" fillId="0" borderId="3" xfId="0" applyNumberFormat="1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1" fontId="18" fillId="0" borderId="1" xfId="0" applyNumberFormat="1" applyFont="1" applyBorder="1" applyAlignment="1">
      <alignment horizontal="center" vertical="center" wrapText="1"/>
    </xf>
    <xf numFmtId="3" fontId="1" fillId="0" borderId="0" xfId="0" applyNumberFormat="1" applyFont="1"/>
    <xf numFmtId="4" fontId="1" fillId="0" borderId="0" xfId="0" applyNumberFormat="1" applyFont="1"/>
    <xf numFmtId="166" fontId="1" fillId="0" borderId="0" xfId="0" applyNumberFormat="1" applyFont="1"/>
    <xf numFmtId="167" fontId="16" fillId="0" borderId="0" xfId="0" applyNumberFormat="1" applyFont="1" applyAlignment="1">
      <alignment vertical="center"/>
    </xf>
    <xf numFmtId="167" fontId="18" fillId="0" borderId="0" xfId="0" applyNumberFormat="1" applyFont="1"/>
    <xf numFmtId="167" fontId="20" fillId="2" borderId="1" xfId="0" applyNumberFormat="1" applyFont="1" applyFill="1" applyBorder="1" applyAlignment="1">
      <alignment horizontal="center" vertical="center" wrapText="1"/>
    </xf>
    <xf numFmtId="164" fontId="18" fillId="0" borderId="1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14" fontId="18" fillId="0" borderId="0" xfId="0" applyNumberFormat="1" applyFont="1" applyAlignment="1">
      <alignment horizontal="center" wrapText="1"/>
    </xf>
    <xf numFmtId="14" fontId="18" fillId="0" borderId="0" xfId="0" applyNumberFormat="1" applyFont="1" applyAlignment="1">
      <alignment horizontal="center" wrapText="1"/>
    </xf>
    <xf numFmtId="0" fontId="18" fillId="0" borderId="0" xfId="0" applyFont="1" applyAlignment="1">
      <alignment horizontal="center" wrapText="1"/>
    </xf>
    <xf numFmtId="167" fontId="18" fillId="0" borderId="0" xfId="0" applyNumberFormat="1" applyFont="1" applyAlignment="1">
      <alignment horizontal="center" vertical="center" wrapText="1"/>
    </xf>
    <xf numFmtId="167" fontId="18" fillId="0" borderId="0" xfId="0" applyNumberFormat="1" applyFont="1" applyAlignment="1">
      <alignment horizontal="center" wrapText="1"/>
    </xf>
    <xf numFmtId="4" fontId="18" fillId="0" borderId="0" xfId="0" applyNumberFormat="1" applyFont="1" applyAlignment="1">
      <alignment horizontal="center" wrapText="1"/>
    </xf>
    <xf numFmtId="168" fontId="18" fillId="0" borderId="0" xfId="0" applyNumberFormat="1" applyFont="1" applyAlignment="1">
      <alignment horizontal="center" wrapText="1"/>
    </xf>
    <xf numFmtId="167" fontId="18" fillId="3" borderId="4" xfId="0" applyNumberFormat="1" applyFont="1" applyFill="1" applyBorder="1"/>
    <xf numFmtId="0" fontId="28" fillId="0" borderId="0" xfId="0" applyFont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14" fontId="29" fillId="2" borderId="7" xfId="0" applyNumberFormat="1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14" fontId="18" fillId="3" borderId="1" xfId="0" applyNumberFormat="1" applyFont="1" applyFill="1" applyBorder="1" applyAlignment="1">
      <alignment horizontal="center" vertical="center" wrapText="1"/>
    </xf>
    <xf numFmtId="4" fontId="18" fillId="3" borderId="1" xfId="0" applyNumberFormat="1" applyFont="1" applyFill="1" applyBorder="1" applyAlignment="1">
      <alignment horizontal="center" vertical="center" wrapText="1"/>
    </xf>
    <xf numFmtId="164" fontId="18" fillId="3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/>
    <xf numFmtId="14" fontId="30" fillId="0" borderId="0" xfId="0" applyNumberFormat="1" applyFont="1" applyAlignment="1">
      <alignment vertical="center"/>
    </xf>
    <xf numFmtId="168" fontId="16" fillId="0" borderId="0" xfId="0" applyNumberFormat="1" applyFont="1" applyAlignment="1">
      <alignment vertical="center"/>
    </xf>
    <xf numFmtId="2" fontId="16" fillId="0" borderId="0" xfId="0" applyNumberFormat="1" applyFont="1" applyAlignment="1">
      <alignment vertical="center"/>
    </xf>
    <xf numFmtId="0" fontId="31" fillId="3" borderId="4" xfId="0" applyFont="1" applyFill="1" applyBorder="1" applyAlignment="1">
      <alignment vertical="center"/>
    </xf>
    <xf numFmtId="168" fontId="18" fillId="0" borderId="0" xfId="0" applyNumberFormat="1" applyFont="1"/>
    <xf numFmtId="168" fontId="20" fillId="2" borderId="1" xfId="0" applyNumberFormat="1" applyFont="1" applyFill="1" applyBorder="1" applyAlignment="1">
      <alignment horizontal="center" vertical="center" wrapText="1"/>
    </xf>
    <xf numFmtId="2" fontId="20" fillId="0" borderId="0" xfId="0" applyNumberFormat="1" applyFont="1" applyAlignment="1">
      <alignment horizontal="center" vertical="center" wrapText="1"/>
    </xf>
    <xf numFmtId="2" fontId="18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0" fillId="2" borderId="9" xfId="0" applyFont="1" applyFill="1" applyBorder="1" applyAlignment="1">
      <alignment horizontal="center" vertical="center" wrapText="1"/>
    </xf>
    <xf numFmtId="14" fontId="20" fillId="2" borderId="9" xfId="0" applyNumberFormat="1" applyFont="1" applyFill="1" applyBorder="1" applyAlignment="1">
      <alignment horizontal="center" vertical="center" wrapText="1"/>
    </xf>
    <xf numFmtId="169" fontId="18" fillId="3" borderId="1" xfId="0" applyNumberFormat="1" applyFont="1" applyFill="1" applyBorder="1" applyAlignment="1">
      <alignment horizontal="center" vertical="center" wrapText="1"/>
    </xf>
    <xf numFmtId="4" fontId="18" fillId="3" borderId="4" xfId="0" applyNumberFormat="1" applyFont="1" applyFill="1" applyBorder="1"/>
    <xf numFmtId="170" fontId="18" fillId="3" borderId="4" xfId="0" applyNumberFormat="1" applyFont="1" applyFill="1" applyBorder="1"/>
    <xf numFmtId="171" fontId="18" fillId="3" borderId="4" xfId="0" applyNumberFormat="1" applyFont="1" applyFill="1" applyBorder="1"/>
    <xf numFmtId="172" fontId="18" fillId="3" borderId="4" xfId="0" applyNumberFormat="1" applyFont="1" applyFill="1" applyBorder="1"/>
    <xf numFmtId="173" fontId="18" fillId="3" borderId="4" xfId="0" applyNumberFormat="1" applyFont="1" applyFill="1" applyBorder="1"/>
    <xf numFmtId="174" fontId="18" fillId="3" borderId="4" xfId="0" applyNumberFormat="1" applyFont="1" applyFill="1" applyBorder="1"/>
    <xf numFmtId="2" fontId="18" fillId="3" borderId="4" xfId="0" applyNumberFormat="1" applyFont="1" applyFill="1" applyBorder="1"/>
    <xf numFmtId="14" fontId="18" fillId="3" borderId="4" xfId="0" applyNumberFormat="1" applyFont="1" applyFill="1" applyBorder="1" applyAlignment="1">
      <alignment horizontal="center" vertical="center" wrapText="1"/>
    </xf>
    <xf numFmtId="170" fontId="18" fillId="0" borderId="0" xfId="0" applyNumberFormat="1" applyFont="1"/>
    <xf numFmtId="174" fontId="18" fillId="0" borderId="0" xfId="0" applyNumberFormat="1" applyFont="1"/>
    <xf numFmtId="3" fontId="18" fillId="3" borderId="4" xfId="0" applyNumberFormat="1" applyFont="1" applyFill="1" applyBorder="1"/>
    <xf numFmtId="3" fontId="32" fillId="0" borderId="0" xfId="0" applyNumberFormat="1" applyFont="1" applyAlignment="1">
      <alignment horizontal="center"/>
    </xf>
    <xf numFmtId="14" fontId="18" fillId="3" borderId="4" xfId="0" applyNumberFormat="1" applyFont="1" applyFill="1" applyBorder="1"/>
    <xf numFmtId="168" fontId="18" fillId="3" borderId="4" xfId="0" applyNumberFormat="1" applyFont="1" applyFill="1" applyBorder="1"/>
    <xf numFmtId="8" fontId="18" fillId="3" borderId="4" xfId="0" applyNumberFormat="1" applyFont="1" applyFill="1" applyBorder="1"/>
    <xf numFmtId="0" fontId="18" fillId="0" borderId="1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  <xf numFmtId="14" fontId="18" fillId="0" borderId="3" xfId="0" applyNumberFormat="1" applyFont="1" applyFill="1" applyBorder="1" applyAlignment="1">
      <alignment horizontal="center" vertical="center" wrapText="1"/>
    </xf>
    <xf numFmtId="14" fontId="18" fillId="0" borderId="1" xfId="0" applyNumberFormat="1" applyFont="1" applyFill="1" applyBorder="1" applyAlignment="1">
      <alignment horizontal="center" vertical="center" wrapText="1"/>
    </xf>
    <xf numFmtId="4" fontId="18" fillId="0" borderId="1" xfId="0" applyNumberFormat="1" applyFont="1" applyFill="1" applyBorder="1" applyAlignment="1">
      <alignment horizontal="center" vertical="center" wrapText="1"/>
    </xf>
    <xf numFmtId="2" fontId="18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/>
    <xf numFmtId="0" fontId="0" fillId="0" borderId="0" xfId="0" applyFont="1" applyFill="1" applyAlignment="1"/>
    <xf numFmtId="3" fontId="18" fillId="0" borderId="1" xfId="0" applyNumberFormat="1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 wrapText="1"/>
    </xf>
    <xf numFmtId="3" fontId="18" fillId="0" borderId="3" xfId="0" applyNumberFormat="1" applyFont="1" applyFill="1" applyBorder="1" applyAlignment="1">
      <alignment horizontal="center" vertical="center" wrapText="1"/>
    </xf>
    <xf numFmtId="0" fontId="25" fillId="0" borderId="3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26" fillId="0" borderId="0" xfId="0" applyFont="1" applyFill="1"/>
    <xf numFmtId="0" fontId="18" fillId="0" borderId="0" xfId="0" applyFont="1" applyFill="1"/>
    <xf numFmtId="0" fontId="18" fillId="0" borderId="0" xfId="0" applyFont="1" applyFill="1" applyAlignment="1">
      <alignment vertical="center"/>
    </xf>
    <xf numFmtId="164" fontId="18" fillId="0" borderId="0" xfId="0" applyNumberFormat="1" applyFont="1" applyFill="1"/>
    <xf numFmtId="0" fontId="18" fillId="0" borderId="1" xfId="0" applyFont="1" applyFill="1" applyBorder="1" applyAlignment="1">
      <alignment vertical="center" wrapText="1"/>
    </xf>
    <xf numFmtId="0" fontId="18" fillId="0" borderId="10" xfId="0" applyFont="1" applyFill="1" applyBorder="1" applyAlignment="1">
      <alignment horizontal="center" vertical="center" wrapText="1"/>
    </xf>
    <xf numFmtId="164" fontId="18" fillId="0" borderId="1" xfId="0" applyNumberFormat="1" applyFont="1" applyFill="1" applyBorder="1" applyAlignment="1">
      <alignment horizontal="center" vertical="center" wrapText="1"/>
    </xf>
    <xf numFmtId="2" fontId="18" fillId="0" borderId="0" xfId="0" applyNumberFormat="1" applyFont="1" applyFill="1"/>
    <xf numFmtId="0" fontId="1" fillId="0" borderId="4" xfId="0" applyFont="1" applyFill="1" applyBorder="1"/>
    <xf numFmtId="14" fontId="1" fillId="0" borderId="0" xfId="0" applyNumberFormat="1" applyFont="1" applyFill="1"/>
    <xf numFmtId="4" fontId="1" fillId="0" borderId="0" xfId="0" applyNumberFormat="1" applyFont="1" applyFill="1"/>
    <xf numFmtId="167" fontId="18" fillId="0" borderId="1" xfId="0" applyNumberFormat="1" applyFont="1" applyFill="1" applyBorder="1" applyAlignment="1">
      <alignment horizontal="center" vertical="center" wrapText="1"/>
    </xf>
    <xf numFmtId="165" fontId="1" fillId="0" borderId="0" xfId="0" applyNumberFormat="1" applyFont="1" applyFill="1" applyAlignment="1">
      <alignment horizontal="center" vertical="center" wrapText="1"/>
    </xf>
    <xf numFmtId="3" fontId="1" fillId="0" borderId="0" xfId="0" applyNumberFormat="1" applyFont="1" applyFill="1" applyAlignment="1">
      <alignment horizontal="center" vertical="center" wrapText="1"/>
    </xf>
    <xf numFmtId="165" fontId="1" fillId="0" borderId="0" xfId="0" applyNumberFormat="1" applyFont="1" applyFill="1"/>
    <xf numFmtId="0" fontId="18" fillId="0" borderId="5" xfId="0" applyFont="1" applyFill="1" applyBorder="1" applyAlignment="1">
      <alignment horizontal="center" vertical="center" wrapText="1"/>
    </xf>
    <xf numFmtId="14" fontId="18" fillId="0" borderId="5" xfId="0" applyNumberFormat="1" applyFont="1" applyFill="1" applyBorder="1" applyAlignment="1">
      <alignment horizontal="center" vertical="center" wrapText="1"/>
    </xf>
    <xf numFmtId="167" fontId="18" fillId="0" borderId="5" xfId="0" applyNumberFormat="1" applyFont="1" applyFill="1" applyBorder="1" applyAlignment="1">
      <alignment horizontal="center" vertical="center" wrapText="1"/>
    </xf>
    <xf numFmtId="4" fontId="18" fillId="0" borderId="5" xfId="0" applyNumberFormat="1" applyFont="1" applyFill="1" applyBorder="1" applyAlignment="1">
      <alignment horizontal="center" vertical="center" wrapText="1"/>
    </xf>
    <xf numFmtId="164" fontId="18" fillId="0" borderId="5" xfId="0" applyNumberFormat="1" applyFont="1" applyFill="1" applyBorder="1" applyAlignment="1">
      <alignment horizontal="center" vertical="center" wrapText="1"/>
    </xf>
    <xf numFmtId="168" fontId="18" fillId="0" borderId="1" xfId="0" applyNumberFormat="1" applyFont="1" applyFill="1" applyBorder="1" applyAlignment="1">
      <alignment horizontal="center" vertical="center" wrapText="1"/>
    </xf>
    <xf numFmtId="167" fontId="18" fillId="0" borderId="1" xfId="0" applyNumberFormat="1" applyFont="1" applyFill="1" applyBorder="1" applyAlignment="1">
      <alignment horizontal="center" wrapText="1"/>
    </xf>
    <xf numFmtId="14" fontId="18" fillId="0" borderId="1" xfId="0" applyNumberFormat="1" applyFont="1" applyFill="1" applyBorder="1" applyAlignment="1">
      <alignment horizontal="center" wrapText="1"/>
    </xf>
    <xf numFmtId="0" fontId="18" fillId="0" borderId="1" xfId="0" applyFont="1" applyFill="1" applyBorder="1" applyAlignment="1">
      <alignment horizontal="center" wrapText="1"/>
    </xf>
    <xf numFmtId="4" fontId="18" fillId="0" borderId="1" xfId="0" applyNumberFormat="1" applyFont="1" applyFill="1" applyBorder="1" applyAlignment="1">
      <alignment horizontal="center" wrapText="1"/>
    </xf>
    <xf numFmtId="168" fontId="18" fillId="0" borderId="1" xfId="0" applyNumberFormat="1" applyFont="1" applyFill="1" applyBorder="1" applyAlignment="1">
      <alignment horizontal="center" wrapText="1"/>
    </xf>
    <xf numFmtId="0" fontId="18" fillId="0" borderId="0" xfId="0" applyFont="1" applyFill="1" applyAlignment="1">
      <alignment horizontal="center"/>
    </xf>
    <xf numFmtId="1" fontId="18" fillId="0" borderId="1" xfId="0" applyNumberFormat="1" applyFont="1" applyFill="1" applyBorder="1" applyAlignment="1">
      <alignment horizontal="center" vertical="center" wrapText="1"/>
    </xf>
    <xf numFmtId="0" fontId="27" fillId="0" borderId="0" xfId="0" applyFont="1" applyFill="1"/>
    <xf numFmtId="0" fontId="13" fillId="0" borderId="0" xfId="0" applyFont="1" applyAlignment="1">
      <alignment horizontal="left"/>
    </xf>
    <xf numFmtId="0" fontId="0" fillId="0" borderId="0" xfId="0" applyFont="1" applyAlignment="1"/>
    <xf numFmtId="0" fontId="1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466725</xdr:colOff>
      <xdr:row>1</xdr:row>
      <xdr:rowOff>104775</xdr:rowOff>
    </xdr:from>
    <xdr:ext cx="2419350" cy="828675"/>
    <xdr:sp macro="" textlink="">
      <xdr:nvSpPr>
        <xdr:cNvPr id="3" name="Shape 3"/>
        <xdr:cNvSpPr txBox="1"/>
      </xdr:nvSpPr>
      <xdr:spPr>
        <a:xfrm>
          <a:off x="4141088" y="3370425"/>
          <a:ext cx="2409825" cy="819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300" i="0" u="none" strike="noStrike" cap="none">
              <a:solidFill>
                <a:srgbClr val="434343"/>
              </a:solidFill>
              <a:latin typeface="Encode Sans Condensed"/>
              <a:ea typeface="Encode Sans Condensed"/>
              <a:cs typeface="Encode Sans Condensed"/>
              <a:sym typeface="Encode Sans Condensed"/>
            </a:rPr>
            <a:t>Secretaría de</a:t>
          </a:r>
          <a:r>
            <a:rPr lang="en-US" sz="1300">
              <a:solidFill>
                <a:srgbClr val="434343"/>
              </a:solidFill>
              <a:latin typeface="Encode Sans Condensed"/>
              <a:ea typeface="Encode Sans Condensed"/>
              <a:cs typeface="Encode Sans Condensed"/>
              <a:sym typeface="Encode Sans Condensed"/>
            </a:rPr>
            <a:t> Finanzas</a:t>
          </a:r>
          <a:endParaRPr sz="1300" i="0" u="none" strike="noStrike" cap="none">
            <a:solidFill>
              <a:srgbClr val="434343"/>
            </a:solidFill>
            <a:latin typeface="Encode Sans Condensed"/>
            <a:ea typeface="Encode Sans Condensed"/>
            <a:cs typeface="Encode Sans Condensed"/>
            <a:sym typeface="Encode Sans Condensed"/>
          </a:endParaRPr>
        </a:p>
      </xdr:txBody>
    </xdr:sp>
    <xdr:clientData fLocksWithSheet="0"/>
  </xdr:oneCellAnchor>
  <xdr:oneCellAnchor>
    <xdr:from>
      <xdr:col>10</xdr:col>
      <xdr:colOff>638175</xdr:colOff>
      <xdr:row>1</xdr:row>
      <xdr:rowOff>95250</xdr:rowOff>
    </xdr:from>
    <xdr:ext cx="2057400" cy="857250"/>
    <xdr:grpSp>
      <xdr:nvGrpSpPr>
        <xdr:cNvPr id="2" name="Shape 2"/>
        <xdr:cNvGrpSpPr/>
      </xdr:nvGrpSpPr>
      <xdr:grpSpPr>
        <a:xfrm>
          <a:off x="8620125" y="381000"/>
          <a:ext cx="2057400" cy="857250"/>
          <a:chOff x="4317300" y="3351375"/>
          <a:chExt cx="2057400" cy="857250"/>
        </a:xfrm>
      </xdr:grpSpPr>
      <xdr:grpSp>
        <xdr:nvGrpSpPr>
          <xdr:cNvPr id="4" name="Shape 4"/>
          <xdr:cNvGrpSpPr/>
        </xdr:nvGrpSpPr>
        <xdr:grpSpPr>
          <a:xfrm>
            <a:off x="4317300" y="3351375"/>
            <a:ext cx="2057400" cy="857250"/>
            <a:chOff x="4317300" y="3351375"/>
            <a:chExt cx="2057400" cy="857250"/>
          </a:xfrm>
        </xdr:grpSpPr>
        <xdr:sp macro="" textlink="">
          <xdr:nvSpPr>
            <xdr:cNvPr id="5" name="Shape 5"/>
            <xdr:cNvSpPr/>
          </xdr:nvSpPr>
          <xdr:spPr>
            <a:xfrm>
              <a:off x="4317300" y="3351375"/>
              <a:ext cx="2057400" cy="8572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" name="Shape 6"/>
            <xdr:cNvGrpSpPr/>
          </xdr:nvGrpSpPr>
          <xdr:grpSpPr>
            <a:xfrm>
              <a:off x="4317300" y="3351375"/>
              <a:ext cx="2057400" cy="857250"/>
              <a:chOff x="4317300" y="3351375"/>
              <a:chExt cx="2057400" cy="857250"/>
            </a:xfrm>
          </xdr:grpSpPr>
          <xdr:sp macro="" textlink="">
            <xdr:nvSpPr>
              <xdr:cNvPr id="7" name="Shape 7"/>
              <xdr:cNvSpPr/>
            </xdr:nvSpPr>
            <xdr:spPr>
              <a:xfrm>
                <a:off x="4317300" y="3351375"/>
                <a:ext cx="2057400" cy="8572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" name="Shape 8"/>
              <xdr:cNvGrpSpPr/>
            </xdr:nvGrpSpPr>
            <xdr:grpSpPr>
              <a:xfrm>
                <a:off x="4317300" y="3351375"/>
                <a:ext cx="2057400" cy="857250"/>
                <a:chOff x="4317300" y="3351375"/>
                <a:chExt cx="2057400" cy="857250"/>
              </a:xfrm>
            </xdr:grpSpPr>
            <xdr:sp macro="" textlink="">
              <xdr:nvSpPr>
                <xdr:cNvPr id="9" name="Shape 9"/>
                <xdr:cNvSpPr/>
              </xdr:nvSpPr>
              <xdr:spPr>
                <a:xfrm>
                  <a:off x="4317300" y="3351375"/>
                  <a:ext cx="2057400" cy="8572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" name="Shape 10"/>
                <xdr:cNvGrpSpPr/>
              </xdr:nvGrpSpPr>
              <xdr:grpSpPr>
                <a:xfrm>
                  <a:off x="4317300" y="3351375"/>
                  <a:ext cx="2057400" cy="857250"/>
                  <a:chOff x="4317300" y="3351375"/>
                  <a:chExt cx="2057400" cy="857250"/>
                </a:xfrm>
              </xdr:grpSpPr>
              <xdr:sp macro="" textlink="">
                <xdr:nvSpPr>
                  <xdr:cNvPr id="11" name="Shape 11"/>
                  <xdr:cNvSpPr/>
                </xdr:nvSpPr>
                <xdr:spPr>
                  <a:xfrm>
                    <a:off x="4317300" y="3351375"/>
                    <a:ext cx="2057400" cy="8572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" name="Shape 12"/>
                  <xdr:cNvGrpSpPr/>
                </xdr:nvGrpSpPr>
                <xdr:grpSpPr>
                  <a:xfrm>
                    <a:off x="4317300" y="3351375"/>
                    <a:ext cx="2057400" cy="857250"/>
                    <a:chOff x="4317300" y="3351375"/>
                    <a:chExt cx="2057400" cy="857250"/>
                  </a:xfrm>
                </xdr:grpSpPr>
                <xdr:sp macro="" textlink="">
                  <xdr:nvSpPr>
                    <xdr:cNvPr id="13" name="Shape 13"/>
                    <xdr:cNvSpPr/>
                  </xdr:nvSpPr>
                  <xdr:spPr>
                    <a:xfrm>
                      <a:off x="4317300" y="3351375"/>
                      <a:ext cx="2057400" cy="8572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" name="Shape 14"/>
                    <xdr:cNvGrpSpPr/>
                  </xdr:nvGrpSpPr>
                  <xdr:grpSpPr>
                    <a:xfrm>
                      <a:off x="4317300" y="3351375"/>
                      <a:ext cx="2057400" cy="857250"/>
                      <a:chOff x="4317300" y="3351375"/>
                      <a:chExt cx="2057400" cy="857250"/>
                    </a:xfrm>
                  </xdr:grpSpPr>
                  <xdr:sp macro="" textlink="">
                    <xdr:nvSpPr>
                      <xdr:cNvPr id="15" name="Shape 15"/>
                      <xdr:cNvSpPr/>
                    </xdr:nvSpPr>
                    <xdr:spPr>
                      <a:xfrm>
                        <a:off x="4317300" y="3351375"/>
                        <a:ext cx="2057400" cy="8572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" name="Shape 16"/>
                      <xdr:cNvGrpSpPr/>
                    </xdr:nvGrpSpPr>
                    <xdr:grpSpPr>
                      <a:xfrm>
                        <a:off x="4317300" y="3351375"/>
                        <a:ext cx="2057400" cy="857250"/>
                        <a:chOff x="2337425" y="992050"/>
                        <a:chExt cx="1116000" cy="372025"/>
                      </a:xfrm>
                    </xdr:grpSpPr>
                    <xdr:sp macro="" textlink="">
                      <xdr:nvSpPr>
                        <xdr:cNvPr id="17" name="Shape 17"/>
                        <xdr:cNvSpPr/>
                      </xdr:nvSpPr>
                      <xdr:spPr>
                        <a:xfrm>
                          <a:off x="2337425" y="992050"/>
                          <a:ext cx="1116000" cy="3720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sp macro="" textlink="">
                      <xdr:nvSpPr>
                        <xdr:cNvPr id="18" name="Shape 18"/>
                        <xdr:cNvSpPr/>
                      </xdr:nvSpPr>
                      <xdr:spPr>
                        <a:xfrm>
                          <a:off x="2358800" y="1075600"/>
                          <a:ext cx="191500" cy="126825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7660" h="5073" extrusionOk="0">
                              <a:moveTo>
                                <a:pt x="3820" y="0"/>
                              </a:moveTo>
                              <a:cubicBezTo>
                                <a:pt x="3303" y="0"/>
                                <a:pt x="2806" y="120"/>
                                <a:pt x="2348" y="378"/>
                              </a:cubicBezTo>
                              <a:cubicBezTo>
                                <a:pt x="1890" y="637"/>
                                <a:pt x="1473" y="1015"/>
                                <a:pt x="1115" y="1472"/>
                              </a:cubicBezTo>
                              <a:cubicBezTo>
                                <a:pt x="776" y="1930"/>
                                <a:pt x="498" y="2487"/>
                                <a:pt x="299" y="3084"/>
                              </a:cubicBezTo>
                              <a:cubicBezTo>
                                <a:pt x="100" y="3700"/>
                                <a:pt x="1" y="4377"/>
                                <a:pt x="1" y="5073"/>
                              </a:cubicBezTo>
                              <a:lnTo>
                                <a:pt x="3701" y="5073"/>
                              </a:lnTo>
                              <a:lnTo>
                                <a:pt x="3701" y="3879"/>
                              </a:lnTo>
                              <a:lnTo>
                                <a:pt x="2865" y="3879"/>
                              </a:lnTo>
                              <a:cubicBezTo>
                                <a:pt x="2686" y="3879"/>
                                <a:pt x="2587" y="3820"/>
                                <a:pt x="2527" y="3740"/>
                              </a:cubicBezTo>
                              <a:cubicBezTo>
                                <a:pt x="2487" y="3700"/>
                                <a:pt x="2467" y="3621"/>
                                <a:pt x="2447" y="3541"/>
                              </a:cubicBezTo>
                              <a:cubicBezTo>
                                <a:pt x="2447" y="3541"/>
                                <a:pt x="2447" y="3521"/>
                                <a:pt x="2447" y="3521"/>
                              </a:cubicBezTo>
                              <a:cubicBezTo>
                                <a:pt x="2428" y="3462"/>
                                <a:pt x="2447" y="3362"/>
                                <a:pt x="2467" y="3283"/>
                              </a:cubicBezTo>
                              <a:cubicBezTo>
                                <a:pt x="2567" y="2726"/>
                                <a:pt x="2786" y="2368"/>
                                <a:pt x="2965" y="2149"/>
                              </a:cubicBezTo>
                              <a:cubicBezTo>
                                <a:pt x="2945" y="2129"/>
                                <a:pt x="2925" y="2129"/>
                                <a:pt x="2905" y="2109"/>
                              </a:cubicBezTo>
                              <a:cubicBezTo>
                                <a:pt x="2786" y="2049"/>
                                <a:pt x="2746" y="1930"/>
                                <a:pt x="2766" y="1771"/>
                              </a:cubicBezTo>
                              <a:cubicBezTo>
                                <a:pt x="2786" y="1592"/>
                                <a:pt x="2965" y="1413"/>
                                <a:pt x="3004" y="1373"/>
                              </a:cubicBezTo>
                              <a:cubicBezTo>
                                <a:pt x="3283" y="1035"/>
                                <a:pt x="3701" y="1015"/>
                                <a:pt x="3760" y="1015"/>
                              </a:cubicBezTo>
                              <a:cubicBezTo>
                                <a:pt x="3764" y="1015"/>
                                <a:pt x="3770" y="1015"/>
                                <a:pt x="3777" y="1015"/>
                              </a:cubicBezTo>
                              <a:cubicBezTo>
                                <a:pt x="3889" y="1015"/>
                                <a:pt x="4396" y="1032"/>
                                <a:pt x="4675" y="1592"/>
                              </a:cubicBezTo>
                              <a:cubicBezTo>
                                <a:pt x="5053" y="2288"/>
                                <a:pt x="5133" y="2865"/>
                                <a:pt x="5193" y="3322"/>
                              </a:cubicBezTo>
                              <a:lnTo>
                                <a:pt x="5193" y="3342"/>
                              </a:lnTo>
                              <a:cubicBezTo>
                                <a:pt x="5213" y="3442"/>
                                <a:pt x="5213" y="3501"/>
                                <a:pt x="5193" y="3561"/>
                              </a:cubicBezTo>
                              <a:cubicBezTo>
                                <a:pt x="5193" y="3561"/>
                                <a:pt x="5193" y="3561"/>
                                <a:pt x="5193" y="3581"/>
                              </a:cubicBezTo>
                              <a:cubicBezTo>
                                <a:pt x="5173" y="3641"/>
                                <a:pt x="5133" y="3681"/>
                                <a:pt x="5093" y="3720"/>
                              </a:cubicBezTo>
                              <a:cubicBezTo>
                                <a:pt x="5033" y="3800"/>
                                <a:pt x="4914" y="3860"/>
                                <a:pt x="4775" y="3879"/>
                              </a:cubicBezTo>
                              <a:cubicBezTo>
                                <a:pt x="4715" y="3879"/>
                                <a:pt x="4656" y="3899"/>
                                <a:pt x="4636" y="3899"/>
                              </a:cubicBezTo>
                              <a:lnTo>
                                <a:pt x="3959" y="3899"/>
                              </a:lnTo>
                              <a:lnTo>
                                <a:pt x="3959" y="5073"/>
                              </a:lnTo>
                              <a:lnTo>
                                <a:pt x="7659" y="5073"/>
                              </a:lnTo>
                              <a:cubicBezTo>
                                <a:pt x="7659" y="4377"/>
                                <a:pt x="7560" y="3720"/>
                                <a:pt x="7361" y="3084"/>
                              </a:cubicBezTo>
                              <a:cubicBezTo>
                                <a:pt x="7162" y="2487"/>
                                <a:pt x="6884" y="1930"/>
                                <a:pt x="6525" y="1472"/>
                              </a:cubicBezTo>
                              <a:cubicBezTo>
                                <a:pt x="6167" y="995"/>
                                <a:pt x="5770" y="637"/>
                                <a:pt x="5312" y="378"/>
                              </a:cubicBezTo>
                              <a:cubicBezTo>
                                <a:pt x="4835" y="120"/>
                                <a:pt x="4337" y="0"/>
                                <a:pt x="3820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00B3E8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19" name="Shape 19"/>
                        <xdr:cNvSpPr/>
                      </xdr:nvSpPr>
                      <xdr:spPr>
                        <a:xfrm>
                          <a:off x="2358800" y="1201925"/>
                          <a:ext cx="92525" cy="38300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3701" h="1532" extrusionOk="0">
                              <a:moveTo>
                                <a:pt x="1" y="0"/>
                              </a:moveTo>
                              <a:cubicBezTo>
                                <a:pt x="1" y="537"/>
                                <a:pt x="60" y="1035"/>
                                <a:pt x="180" y="1532"/>
                              </a:cubicBezTo>
                              <a:cubicBezTo>
                                <a:pt x="1831" y="1333"/>
                                <a:pt x="2825" y="1154"/>
                                <a:pt x="3104" y="955"/>
                              </a:cubicBezTo>
                              <a:cubicBezTo>
                                <a:pt x="3323" y="796"/>
                                <a:pt x="3482" y="716"/>
                                <a:pt x="3701" y="716"/>
                              </a:cubicBezTo>
                              <a:lnTo>
                                <a:pt x="3701" y="0"/>
                              </a:lnTo>
                              <a:close/>
                            </a:path>
                          </a:pathLst>
                        </a:custGeom>
                        <a:solidFill>
                          <a:srgbClr val="FFFFFF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20" name="Shape 20"/>
                        <xdr:cNvSpPr/>
                      </xdr:nvSpPr>
                      <xdr:spPr>
                        <a:xfrm>
                          <a:off x="2457775" y="1201925"/>
                          <a:ext cx="92525" cy="38800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3701" h="1552" extrusionOk="0">
                              <a:moveTo>
                                <a:pt x="0" y="0"/>
                              </a:moveTo>
                              <a:lnTo>
                                <a:pt x="0" y="756"/>
                              </a:lnTo>
                              <a:cubicBezTo>
                                <a:pt x="140" y="776"/>
                                <a:pt x="239" y="816"/>
                                <a:pt x="378" y="875"/>
                              </a:cubicBezTo>
                              <a:lnTo>
                                <a:pt x="398" y="875"/>
                              </a:lnTo>
                              <a:cubicBezTo>
                                <a:pt x="617" y="875"/>
                                <a:pt x="796" y="935"/>
                                <a:pt x="1055" y="1035"/>
                              </a:cubicBezTo>
                              <a:cubicBezTo>
                                <a:pt x="1114" y="1054"/>
                                <a:pt x="1194" y="1074"/>
                                <a:pt x="1273" y="1114"/>
                              </a:cubicBezTo>
                              <a:cubicBezTo>
                                <a:pt x="1313" y="1114"/>
                                <a:pt x="2507" y="1492"/>
                                <a:pt x="3521" y="1552"/>
                              </a:cubicBezTo>
                              <a:cubicBezTo>
                                <a:pt x="3641" y="1054"/>
                                <a:pt x="3700" y="537"/>
                                <a:pt x="3700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FFFFFF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21" name="Shape 21"/>
                        <xdr:cNvSpPr/>
                      </xdr:nvSpPr>
                      <xdr:spPr>
                        <a:xfrm>
                          <a:off x="2448325" y="1059175"/>
                          <a:ext cx="25" cy="25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1" h="1" extrusionOk="0">
                              <a:moveTo>
                                <a:pt x="0" y="1"/>
                              </a:moveTo>
                              <a:lnTo>
                                <a:pt x="0" y="1"/>
                              </a:lnTo>
                              <a:lnTo>
                                <a:pt x="0" y="1"/>
                              </a:lnTo>
                              <a:close/>
                            </a:path>
                          </a:pathLst>
                        </a:custGeom>
                        <a:solidFill>
                          <a:srgbClr val="231F20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22" name="Shape 22"/>
                        <xdr:cNvSpPr/>
                      </xdr:nvSpPr>
                      <xdr:spPr>
                        <a:xfrm>
                          <a:off x="2428925" y="1062175"/>
                          <a:ext cx="25" cy="25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1" h="1" extrusionOk="0">
                              <a:moveTo>
                                <a:pt x="1" y="0"/>
                              </a:moveTo>
                              <a:close/>
                            </a:path>
                          </a:pathLst>
                        </a:custGeom>
                        <a:solidFill>
                          <a:srgbClr val="231F20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23" name="Shape 23"/>
                        <xdr:cNvSpPr/>
                      </xdr:nvSpPr>
                      <xdr:spPr>
                        <a:xfrm>
                          <a:off x="2428925" y="1062175"/>
                          <a:ext cx="25" cy="25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1" h="1" extrusionOk="0">
                              <a:moveTo>
                                <a:pt x="1" y="0"/>
                              </a:moveTo>
                              <a:lnTo>
                                <a:pt x="1" y="0"/>
                              </a:lnTo>
                              <a:lnTo>
                                <a:pt x="1" y="0"/>
                              </a:lnTo>
                              <a:lnTo>
                                <a:pt x="1" y="0"/>
                              </a:lnTo>
                              <a:close/>
                            </a:path>
                          </a:pathLst>
                        </a:custGeom>
                        <a:solidFill>
                          <a:srgbClr val="231F20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24" name="Shape 24"/>
                        <xdr:cNvSpPr/>
                      </xdr:nvSpPr>
                      <xdr:spPr>
                        <a:xfrm>
                          <a:off x="2378700" y="1261100"/>
                          <a:ext cx="151700" cy="64675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6068" h="2587" extrusionOk="0">
                              <a:moveTo>
                                <a:pt x="4655" y="0"/>
                              </a:moveTo>
                              <a:cubicBezTo>
                                <a:pt x="4655" y="40"/>
                                <a:pt x="4615" y="80"/>
                                <a:pt x="4596" y="100"/>
                              </a:cubicBezTo>
                              <a:cubicBezTo>
                                <a:pt x="4536" y="159"/>
                                <a:pt x="4456" y="199"/>
                                <a:pt x="4357" y="199"/>
                              </a:cubicBezTo>
                              <a:cubicBezTo>
                                <a:pt x="4337" y="239"/>
                                <a:pt x="4317" y="259"/>
                                <a:pt x="4277" y="299"/>
                              </a:cubicBezTo>
                              <a:cubicBezTo>
                                <a:pt x="4242" y="352"/>
                                <a:pt x="4159" y="421"/>
                                <a:pt x="4014" y="421"/>
                              </a:cubicBezTo>
                              <a:cubicBezTo>
                                <a:pt x="3996" y="421"/>
                                <a:pt x="3978" y="420"/>
                                <a:pt x="3959" y="418"/>
                              </a:cubicBezTo>
                              <a:cubicBezTo>
                                <a:pt x="3939" y="458"/>
                                <a:pt x="3919" y="478"/>
                                <a:pt x="3899" y="518"/>
                              </a:cubicBezTo>
                              <a:cubicBezTo>
                                <a:pt x="3839" y="578"/>
                                <a:pt x="3755" y="604"/>
                                <a:pt x="3665" y="604"/>
                              </a:cubicBezTo>
                              <a:cubicBezTo>
                                <a:pt x="3637" y="604"/>
                                <a:pt x="3609" y="602"/>
                                <a:pt x="3581" y="597"/>
                              </a:cubicBezTo>
                              <a:cubicBezTo>
                                <a:pt x="3561" y="637"/>
                                <a:pt x="3501" y="657"/>
                                <a:pt x="3462" y="677"/>
                              </a:cubicBezTo>
                              <a:cubicBezTo>
                                <a:pt x="3413" y="701"/>
                                <a:pt x="3356" y="718"/>
                                <a:pt x="3291" y="718"/>
                              </a:cubicBezTo>
                              <a:cubicBezTo>
                                <a:pt x="3252" y="718"/>
                                <a:pt x="3209" y="712"/>
                                <a:pt x="3163" y="697"/>
                              </a:cubicBezTo>
                              <a:lnTo>
                                <a:pt x="3163" y="1691"/>
                              </a:lnTo>
                              <a:cubicBezTo>
                                <a:pt x="3163" y="1751"/>
                                <a:pt x="3104" y="1811"/>
                                <a:pt x="3024" y="1811"/>
                              </a:cubicBezTo>
                              <a:cubicBezTo>
                                <a:pt x="2964" y="1811"/>
                                <a:pt x="2905" y="1751"/>
                                <a:pt x="2905" y="1691"/>
                              </a:cubicBezTo>
                              <a:lnTo>
                                <a:pt x="2905" y="756"/>
                              </a:lnTo>
                              <a:cubicBezTo>
                                <a:pt x="2865" y="756"/>
                                <a:pt x="2805" y="776"/>
                                <a:pt x="2746" y="776"/>
                              </a:cubicBezTo>
                              <a:lnTo>
                                <a:pt x="2686" y="776"/>
                              </a:lnTo>
                              <a:cubicBezTo>
                                <a:pt x="2606" y="756"/>
                                <a:pt x="2547" y="716"/>
                                <a:pt x="2507" y="657"/>
                              </a:cubicBezTo>
                              <a:cubicBezTo>
                                <a:pt x="2471" y="666"/>
                                <a:pt x="2420" y="675"/>
                                <a:pt x="2365" y="675"/>
                              </a:cubicBezTo>
                              <a:cubicBezTo>
                                <a:pt x="2297" y="675"/>
                                <a:pt x="2224" y="661"/>
                                <a:pt x="2169" y="617"/>
                              </a:cubicBezTo>
                              <a:cubicBezTo>
                                <a:pt x="2129" y="597"/>
                                <a:pt x="2109" y="557"/>
                                <a:pt x="2089" y="498"/>
                              </a:cubicBezTo>
                              <a:cubicBezTo>
                                <a:pt x="2049" y="498"/>
                                <a:pt x="2010" y="498"/>
                                <a:pt x="1970" y="478"/>
                              </a:cubicBezTo>
                              <a:cubicBezTo>
                                <a:pt x="1850" y="438"/>
                                <a:pt x="1791" y="378"/>
                                <a:pt x="1751" y="299"/>
                              </a:cubicBezTo>
                              <a:cubicBezTo>
                                <a:pt x="1731" y="299"/>
                                <a:pt x="1691" y="299"/>
                                <a:pt x="1671" y="279"/>
                              </a:cubicBezTo>
                              <a:cubicBezTo>
                                <a:pt x="1572" y="279"/>
                                <a:pt x="1453" y="239"/>
                                <a:pt x="1413" y="120"/>
                              </a:cubicBezTo>
                              <a:cubicBezTo>
                                <a:pt x="1413" y="100"/>
                                <a:pt x="1393" y="80"/>
                                <a:pt x="1393" y="60"/>
                              </a:cubicBezTo>
                              <a:cubicBezTo>
                                <a:pt x="876" y="339"/>
                                <a:pt x="259" y="597"/>
                                <a:pt x="0" y="716"/>
                              </a:cubicBezTo>
                              <a:cubicBezTo>
                                <a:pt x="100" y="896"/>
                                <a:pt x="219" y="1075"/>
                                <a:pt x="339" y="1234"/>
                              </a:cubicBezTo>
                              <a:cubicBezTo>
                                <a:pt x="677" y="1711"/>
                                <a:pt x="1094" y="2069"/>
                                <a:pt x="1552" y="2328"/>
                              </a:cubicBezTo>
                              <a:cubicBezTo>
                                <a:pt x="1771" y="2447"/>
                                <a:pt x="1990" y="2527"/>
                                <a:pt x="2208" y="2586"/>
                              </a:cubicBezTo>
                              <a:cubicBezTo>
                                <a:pt x="2228" y="2547"/>
                                <a:pt x="2268" y="2527"/>
                                <a:pt x="2308" y="2487"/>
                              </a:cubicBezTo>
                              <a:cubicBezTo>
                                <a:pt x="2384" y="2434"/>
                                <a:pt x="2493" y="2415"/>
                                <a:pt x="2603" y="2415"/>
                              </a:cubicBezTo>
                              <a:cubicBezTo>
                                <a:pt x="2781" y="2415"/>
                                <a:pt x="2963" y="2462"/>
                                <a:pt x="3024" y="2487"/>
                              </a:cubicBezTo>
                              <a:cubicBezTo>
                                <a:pt x="3098" y="2462"/>
                                <a:pt x="3285" y="2415"/>
                                <a:pt x="3464" y="2415"/>
                              </a:cubicBezTo>
                              <a:cubicBezTo>
                                <a:pt x="3575" y="2415"/>
                                <a:pt x="3684" y="2434"/>
                                <a:pt x="3760" y="2487"/>
                              </a:cubicBezTo>
                              <a:cubicBezTo>
                                <a:pt x="3800" y="2507"/>
                                <a:pt x="3840" y="2547"/>
                                <a:pt x="3860" y="2586"/>
                              </a:cubicBezTo>
                              <a:cubicBezTo>
                                <a:pt x="4078" y="2527"/>
                                <a:pt x="4297" y="2447"/>
                                <a:pt x="4516" y="2328"/>
                              </a:cubicBezTo>
                              <a:cubicBezTo>
                                <a:pt x="4974" y="2069"/>
                                <a:pt x="5391" y="1691"/>
                                <a:pt x="5729" y="1234"/>
                              </a:cubicBezTo>
                              <a:cubicBezTo>
                                <a:pt x="5849" y="1094"/>
                                <a:pt x="5968" y="915"/>
                                <a:pt x="6068" y="756"/>
                              </a:cubicBezTo>
                              <a:cubicBezTo>
                                <a:pt x="5749" y="637"/>
                                <a:pt x="5093" y="339"/>
                                <a:pt x="4655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FFFFFF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25" name="Shape 25"/>
                        <xdr:cNvSpPr/>
                      </xdr:nvSpPr>
                      <xdr:spPr>
                        <a:xfrm>
                          <a:off x="2425950" y="1321475"/>
                          <a:ext cx="57200" cy="42600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2288" h="1704" extrusionOk="0">
                              <a:moveTo>
                                <a:pt x="713" y="0"/>
                              </a:moveTo>
                              <a:cubicBezTo>
                                <a:pt x="603" y="0"/>
                                <a:pt x="494" y="19"/>
                                <a:pt x="418" y="72"/>
                              </a:cubicBezTo>
                              <a:cubicBezTo>
                                <a:pt x="338" y="132"/>
                                <a:pt x="279" y="211"/>
                                <a:pt x="279" y="291"/>
                              </a:cubicBezTo>
                              <a:cubicBezTo>
                                <a:pt x="259" y="390"/>
                                <a:pt x="299" y="490"/>
                                <a:pt x="358" y="569"/>
                              </a:cubicBezTo>
                              <a:cubicBezTo>
                                <a:pt x="478" y="709"/>
                                <a:pt x="677" y="768"/>
                                <a:pt x="796" y="788"/>
                              </a:cubicBezTo>
                              <a:cubicBezTo>
                                <a:pt x="796" y="828"/>
                                <a:pt x="796" y="848"/>
                                <a:pt x="796" y="868"/>
                              </a:cubicBezTo>
                              <a:cubicBezTo>
                                <a:pt x="796" y="907"/>
                                <a:pt x="796" y="927"/>
                                <a:pt x="796" y="947"/>
                              </a:cubicBezTo>
                              <a:cubicBezTo>
                                <a:pt x="716" y="1047"/>
                                <a:pt x="418" y="1305"/>
                                <a:pt x="0" y="1345"/>
                              </a:cubicBezTo>
                              <a:cubicBezTo>
                                <a:pt x="0" y="1365"/>
                                <a:pt x="40" y="1425"/>
                                <a:pt x="120" y="1504"/>
                              </a:cubicBezTo>
                              <a:cubicBezTo>
                                <a:pt x="497" y="1425"/>
                                <a:pt x="756" y="1226"/>
                                <a:pt x="875" y="1106"/>
                              </a:cubicBezTo>
                              <a:cubicBezTo>
                                <a:pt x="895" y="1126"/>
                                <a:pt x="915" y="1126"/>
                                <a:pt x="915" y="1146"/>
                              </a:cubicBezTo>
                              <a:cubicBezTo>
                                <a:pt x="895" y="1246"/>
                                <a:pt x="776" y="1524"/>
                                <a:pt x="318" y="1624"/>
                              </a:cubicBezTo>
                              <a:cubicBezTo>
                                <a:pt x="398" y="1663"/>
                                <a:pt x="497" y="1683"/>
                                <a:pt x="597" y="1703"/>
                              </a:cubicBezTo>
                              <a:cubicBezTo>
                                <a:pt x="915" y="1564"/>
                                <a:pt x="1035" y="1345"/>
                                <a:pt x="1074" y="1226"/>
                              </a:cubicBezTo>
                              <a:lnTo>
                                <a:pt x="1214" y="1226"/>
                              </a:lnTo>
                              <a:cubicBezTo>
                                <a:pt x="1253" y="1345"/>
                                <a:pt x="1373" y="1564"/>
                                <a:pt x="1691" y="1703"/>
                              </a:cubicBezTo>
                              <a:cubicBezTo>
                                <a:pt x="1791" y="1703"/>
                                <a:pt x="1890" y="1663"/>
                                <a:pt x="1970" y="1624"/>
                              </a:cubicBezTo>
                              <a:cubicBezTo>
                                <a:pt x="1512" y="1524"/>
                                <a:pt x="1393" y="1246"/>
                                <a:pt x="1353" y="1146"/>
                              </a:cubicBezTo>
                              <a:cubicBezTo>
                                <a:pt x="1373" y="1126"/>
                                <a:pt x="1393" y="1126"/>
                                <a:pt x="1393" y="1106"/>
                              </a:cubicBezTo>
                              <a:cubicBezTo>
                                <a:pt x="1532" y="1226"/>
                                <a:pt x="1791" y="1425"/>
                                <a:pt x="2168" y="1504"/>
                              </a:cubicBezTo>
                              <a:cubicBezTo>
                                <a:pt x="2248" y="1425"/>
                                <a:pt x="2268" y="1365"/>
                                <a:pt x="2288" y="1345"/>
                              </a:cubicBezTo>
                              <a:cubicBezTo>
                                <a:pt x="1870" y="1305"/>
                                <a:pt x="1572" y="1047"/>
                                <a:pt x="1472" y="947"/>
                              </a:cubicBezTo>
                              <a:cubicBezTo>
                                <a:pt x="1492" y="927"/>
                                <a:pt x="1492" y="907"/>
                                <a:pt x="1492" y="868"/>
                              </a:cubicBezTo>
                              <a:cubicBezTo>
                                <a:pt x="1492" y="848"/>
                                <a:pt x="1492" y="828"/>
                                <a:pt x="1472" y="788"/>
                              </a:cubicBezTo>
                              <a:cubicBezTo>
                                <a:pt x="1611" y="768"/>
                                <a:pt x="1810" y="709"/>
                                <a:pt x="1930" y="569"/>
                              </a:cubicBezTo>
                              <a:cubicBezTo>
                                <a:pt x="1989" y="490"/>
                                <a:pt x="2009" y="390"/>
                                <a:pt x="2009" y="291"/>
                              </a:cubicBezTo>
                              <a:cubicBezTo>
                                <a:pt x="1989" y="211"/>
                                <a:pt x="1950" y="132"/>
                                <a:pt x="1870" y="72"/>
                              </a:cubicBezTo>
                              <a:cubicBezTo>
                                <a:pt x="1786" y="19"/>
                                <a:pt x="1676" y="0"/>
                                <a:pt x="1565" y="0"/>
                              </a:cubicBezTo>
                              <a:cubicBezTo>
                                <a:pt x="1387" y="0"/>
                                <a:pt x="1208" y="47"/>
                                <a:pt x="1134" y="72"/>
                              </a:cubicBezTo>
                              <a:cubicBezTo>
                                <a:pt x="1073" y="47"/>
                                <a:pt x="891" y="0"/>
                                <a:pt x="713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00B3E8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26" name="Shape 26"/>
                        <xdr:cNvSpPr/>
                      </xdr:nvSpPr>
                      <xdr:spPr>
                        <a:xfrm>
                          <a:off x="2462750" y="1325750"/>
                          <a:ext cx="9475" cy="10475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379" h="419" extrusionOk="0">
                              <a:moveTo>
                                <a:pt x="0" y="0"/>
                              </a:moveTo>
                              <a:cubicBezTo>
                                <a:pt x="40" y="40"/>
                                <a:pt x="100" y="100"/>
                                <a:pt x="120" y="179"/>
                              </a:cubicBezTo>
                              <a:cubicBezTo>
                                <a:pt x="159" y="259"/>
                                <a:pt x="139" y="339"/>
                                <a:pt x="100" y="418"/>
                              </a:cubicBezTo>
                              <a:cubicBezTo>
                                <a:pt x="199" y="398"/>
                                <a:pt x="279" y="358"/>
                                <a:pt x="319" y="299"/>
                              </a:cubicBezTo>
                              <a:cubicBezTo>
                                <a:pt x="358" y="239"/>
                                <a:pt x="378" y="199"/>
                                <a:pt x="358" y="140"/>
                              </a:cubicBezTo>
                              <a:cubicBezTo>
                                <a:pt x="358" y="100"/>
                                <a:pt x="338" y="60"/>
                                <a:pt x="319" y="40"/>
                              </a:cubicBezTo>
                              <a:cubicBezTo>
                                <a:pt x="239" y="0"/>
                                <a:pt x="120" y="0"/>
                                <a:pt x="0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FFFFFF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27" name="Shape 27"/>
                        <xdr:cNvSpPr/>
                      </xdr:nvSpPr>
                      <xdr:spPr>
                        <a:xfrm>
                          <a:off x="2446325" y="1327250"/>
                          <a:ext cx="16450" cy="9475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658" h="379" extrusionOk="0">
                              <a:moveTo>
                                <a:pt x="319" y="0"/>
                              </a:moveTo>
                              <a:cubicBezTo>
                                <a:pt x="319" y="0"/>
                                <a:pt x="80" y="0"/>
                                <a:pt x="21" y="179"/>
                              </a:cubicBezTo>
                              <a:cubicBezTo>
                                <a:pt x="1" y="259"/>
                                <a:pt x="41" y="338"/>
                                <a:pt x="100" y="378"/>
                              </a:cubicBezTo>
                              <a:cubicBezTo>
                                <a:pt x="160" y="318"/>
                                <a:pt x="239" y="298"/>
                                <a:pt x="319" y="298"/>
                              </a:cubicBezTo>
                              <a:cubicBezTo>
                                <a:pt x="419" y="298"/>
                                <a:pt x="498" y="318"/>
                                <a:pt x="558" y="378"/>
                              </a:cubicBezTo>
                              <a:cubicBezTo>
                                <a:pt x="598" y="318"/>
                                <a:pt x="657" y="259"/>
                                <a:pt x="617" y="179"/>
                              </a:cubicBezTo>
                              <a:cubicBezTo>
                                <a:pt x="598" y="100"/>
                                <a:pt x="538" y="60"/>
                                <a:pt x="458" y="20"/>
                              </a:cubicBezTo>
                              <a:cubicBezTo>
                                <a:pt x="379" y="0"/>
                                <a:pt x="319" y="0"/>
                                <a:pt x="319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FFFFFF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28" name="Shape 28"/>
                        <xdr:cNvSpPr/>
                      </xdr:nvSpPr>
                      <xdr:spPr>
                        <a:xfrm>
                          <a:off x="2436875" y="1325750"/>
                          <a:ext cx="9475" cy="10475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379" h="419" extrusionOk="0">
                              <a:moveTo>
                                <a:pt x="279" y="0"/>
                              </a:moveTo>
                              <a:cubicBezTo>
                                <a:pt x="180" y="0"/>
                                <a:pt x="100" y="0"/>
                                <a:pt x="60" y="40"/>
                              </a:cubicBezTo>
                              <a:cubicBezTo>
                                <a:pt x="21" y="60"/>
                                <a:pt x="1" y="100"/>
                                <a:pt x="1" y="140"/>
                              </a:cubicBezTo>
                              <a:cubicBezTo>
                                <a:pt x="1" y="199"/>
                                <a:pt x="21" y="239"/>
                                <a:pt x="41" y="299"/>
                              </a:cubicBezTo>
                              <a:cubicBezTo>
                                <a:pt x="100" y="358"/>
                                <a:pt x="180" y="398"/>
                                <a:pt x="259" y="418"/>
                              </a:cubicBezTo>
                              <a:cubicBezTo>
                                <a:pt x="220" y="358"/>
                                <a:pt x="220" y="279"/>
                                <a:pt x="240" y="179"/>
                              </a:cubicBezTo>
                              <a:cubicBezTo>
                                <a:pt x="279" y="100"/>
                                <a:pt x="319" y="40"/>
                                <a:pt x="379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FFFFFF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29" name="Shape 29"/>
                        <xdr:cNvSpPr/>
                      </xdr:nvSpPr>
                      <xdr:spPr>
                        <a:xfrm>
                          <a:off x="2449825" y="1338675"/>
                          <a:ext cx="8975" cy="8975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359" h="359" extrusionOk="0">
                              <a:moveTo>
                                <a:pt x="179" y="1"/>
                              </a:moveTo>
                              <a:cubicBezTo>
                                <a:pt x="80" y="1"/>
                                <a:pt x="0" y="80"/>
                                <a:pt x="0" y="180"/>
                              </a:cubicBezTo>
                              <a:cubicBezTo>
                                <a:pt x="0" y="279"/>
                                <a:pt x="80" y="359"/>
                                <a:pt x="179" y="359"/>
                              </a:cubicBezTo>
                              <a:cubicBezTo>
                                <a:pt x="279" y="359"/>
                                <a:pt x="358" y="279"/>
                                <a:pt x="358" y="180"/>
                              </a:cubicBezTo>
                              <a:cubicBezTo>
                                <a:pt x="358" y="80"/>
                                <a:pt x="279" y="1"/>
                                <a:pt x="179" y="1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FFFFFF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30" name="Shape 30"/>
                        <xdr:cNvSpPr/>
                      </xdr:nvSpPr>
                      <xdr:spPr>
                        <a:xfrm>
                          <a:off x="2459750" y="1349125"/>
                          <a:ext cx="20425" cy="12950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817" h="518" extrusionOk="0">
                              <a:moveTo>
                                <a:pt x="41" y="0"/>
                              </a:moveTo>
                              <a:cubicBezTo>
                                <a:pt x="41" y="20"/>
                                <a:pt x="21" y="20"/>
                                <a:pt x="1" y="40"/>
                              </a:cubicBezTo>
                              <a:cubicBezTo>
                                <a:pt x="41" y="140"/>
                                <a:pt x="140" y="398"/>
                                <a:pt x="598" y="518"/>
                              </a:cubicBezTo>
                              <a:cubicBezTo>
                                <a:pt x="697" y="478"/>
                                <a:pt x="757" y="438"/>
                                <a:pt x="816" y="398"/>
                              </a:cubicBezTo>
                              <a:cubicBezTo>
                                <a:pt x="439" y="319"/>
                                <a:pt x="160" y="120"/>
                                <a:pt x="41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FFFFFF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31" name="Shape 31"/>
                        <xdr:cNvSpPr/>
                      </xdr:nvSpPr>
                      <xdr:spPr>
                        <a:xfrm>
                          <a:off x="2428925" y="1349125"/>
                          <a:ext cx="19925" cy="12950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797" h="518" extrusionOk="0">
                              <a:moveTo>
                                <a:pt x="756" y="0"/>
                              </a:moveTo>
                              <a:cubicBezTo>
                                <a:pt x="637" y="120"/>
                                <a:pt x="378" y="319"/>
                                <a:pt x="1" y="398"/>
                              </a:cubicBezTo>
                              <a:cubicBezTo>
                                <a:pt x="40" y="438"/>
                                <a:pt x="120" y="478"/>
                                <a:pt x="199" y="518"/>
                              </a:cubicBezTo>
                              <a:cubicBezTo>
                                <a:pt x="657" y="398"/>
                                <a:pt x="776" y="140"/>
                                <a:pt x="796" y="40"/>
                              </a:cubicBezTo>
                              <a:cubicBezTo>
                                <a:pt x="796" y="20"/>
                                <a:pt x="776" y="20"/>
                                <a:pt x="756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FFFFFF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32" name="Shape 32"/>
                        <xdr:cNvSpPr/>
                      </xdr:nvSpPr>
                      <xdr:spPr>
                        <a:xfrm>
                          <a:off x="2337425" y="992050"/>
                          <a:ext cx="234250" cy="348150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9370" h="13926" extrusionOk="0">
                              <a:moveTo>
                                <a:pt x="4675" y="398"/>
                              </a:moveTo>
                              <a:lnTo>
                                <a:pt x="4775" y="1094"/>
                              </a:lnTo>
                              <a:cubicBezTo>
                                <a:pt x="4775" y="1114"/>
                                <a:pt x="4794" y="1134"/>
                                <a:pt x="4814" y="1134"/>
                              </a:cubicBezTo>
                              <a:cubicBezTo>
                                <a:pt x="4834" y="1134"/>
                                <a:pt x="4854" y="1114"/>
                                <a:pt x="4854" y="1094"/>
                              </a:cubicBezTo>
                              <a:cubicBezTo>
                                <a:pt x="4854" y="1075"/>
                                <a:pt x="4874" y="935"/>
                                <a:pt x="4954" y="776"/>
                              </a:cubicBezTo>
                              <a:cubicBezTo>
                                <a:pt x="4973" y="736"/>
                                <a:pt x="4993" y="697"/>
                                <a:pt x="5013" y="657"/>
                              </a:cubicBezTo>
                              <a:cubicBezTo>
                                <a:pt x="5053" y="597"/>
                                <a:pt x="5073" y="537"/>
                                <a:pt x="5093" y="458"/>
                              </a:cubicBezTo>
                              <a:cubicBezTo>
                                <a:pt x="5093" y="458"/>
                                <a:pt x="5093" y="478"/>
                                <a:pt x="5093" y="498"/>
                              </a:cubicBezTo>
                              <a:cubicBezTo>
                                <a:pt x="5093" y="637"/>
                                <a:pt x="5073" y="776"/>
                                <a:pt x="5053" y="856"/>
                              </a:cubicBezTo>
                              <a:cubicBezTo>
                                <a:pt x="5033" y="1015"/>
                                <a:pt x="5053" y="1134"/>
                                <a:pt x="5053" y="1154"/>
                              </a:cubicBezTo>
                              <a:cubicBezTo>
                                <a:pt x="5053" y="1174"/>
                                <a:pt x="5073" y="1174"/>
                                <a:pt x="5093" y="1174"/>
                              </a:cubicBezTo>
                              <a:cubicBezTo>
                                <a:pt x="5093" y="1174"/>
                                <a:pt x="5113" y="1174"/>
                                <a:pt x="5133" y="1154"/>
                              </a:cubicBezTo>
                              <a:lnTo>
                                <a:pt x="5491" y="557"/>
                              </a:lnTo>
                              <a:lnTo>
                                <a:pt x="5312" y="1234"/>
                              </a:lnTo>
                              <a:cubicBezTo>
                                <a:pt x="5312" y="1254"/>
                                <a:pt x="5312" y="1274"/>
                                <a:pt x="5332" y="1293"/>
                              </a:cubicBezTo>
                              <a:cubicBezTo>
                                <a:pt x="5351" y="1293"/>
                                <a:pt x="5371" y="1293"/>
                                <a:pt x="5391" y="1274"/>
                              </a:cubicBezTo>
                              <a:cubicBezTo>
                                <a:pt x="5391" y="1254"/>
                                <a:pt x="5471" y="1134"/>
                                <a:pt x="5590" y="1015"/>
                              </a:cubicBezTo>
                              <a:cubicBezTo>
                                <a:pt x="5630" y="975"/>
                                <a:pt x="5670" y="955"/>
                                <a:pt x="5709" y="935"/>
                              </a:cubicBezTo>
                              <a:cubicBezTo>
                                <a:pt x="5749" y="876"/>
                                <a:pt x="5809" y="836"/>
                                <a:pt x="5869" y="776"/>
                              </a:cubicBezTo>
                              <a:lnTo>
                                <a:pt x="5869" y="776"/>
                              </a:lnTo>
                              <a:cubicBezTo>
                                <a:pt x="5849" y="796"/>
                                <a:pt x="5849" y="796"/>
                                <a:pt x="5849" y="816"/>
                              </a:cubicBezTo>
                              <a:cubicBezTo>
                                <a:pt x="5789" y="955"/>
                                <a:pt x="5709" y="1075"/>
                                <a:pt x="5670" y="1134"/>
                              </a:cubicBezTo>
                              <a:cubicBezTo>
                                <a:pt x="5590" y="1254"/>
                                <a:pt x="5550" y="1393"/>
                                <a:pt x="5550" y="1393"/>
                              </a:cubicBezTo>
                              <a:cubicBezTo>
                                <a:pt x="5550" y="1413"/>
                                <a:pt x="5550" y="1433"/>
                                <a:pt x="5570" y="1433"/>
                              </a:cubicBezTo>
                              <a:cubicBezTo>
                                <a:pt x="5580" y="1443"/>
                                <a:pt x="5590" y="1448"/>
                                <a:pt x="5598" y="1448"/>
                              </a:cubicBezTo>
                              <a:cubicBezTo>
                                <a:pt x="5605" y="1448"/>
                                <a:pt x="5610" y="1443"/>
                                <a:pt x="5610" y="1433"/>
                              </a:cubicBezTo>
                              <a:lnTo>
                                <a:pt x="6187" y="1015"/>
                              </a:lnTo>
                              <a:lnTo>
                                <a:pt x="6187" y="1015"/>
                              </a:lnTo>
                              <a:lnTo>
                                <a:pt x="5769" y="1592"/>
                              </a:lnTo>
                              <a:cubicBezTo>
                                <a:pt x="5749" y="1592"/>
                                <a:pt x="5749" y="1612"/>
                                <a:pt x="5769" y="1632"/>
                              </a:cubicBezTo>
                              <a:cubicBezTo>
                                <a:pt x="5779" y="1642"/>
                                <a:pt x="5789" y="1647"/>
                                <a:pt x="5799" y="1647"/>
                              </a:cubicBezTo>
                              <a:cubicBezTo>
                                <a:pt x="5809" y="1647"/>
                                <a:pt x="5819" y="1642"/>
                                <a:pt x="5829" y="1632"/>
                              </a:cubicBezTo>
                              <a:cubicBezTo>
                                <a:pt x="5829" y="1632"/>
                                <a:pt x="5948" y="1552"/>
                                <a:pt x="6107" y="1492"/>
                              </a:cubicBezTo>
                              <a:cubicBezTo>
                                <a:pt x="6147" y="1472"/>
                                <a:pt x="6187" y="1453"/>
                                <a:pt x="6247" y="1453"/>
                              </a:cubicBezTo>
                              <a:cubicBezTo>
                                <a:pt x="6302" y="1434"/>
                                <a:pt x="6358" y="1416"/>
                                <a:pt x="6429" y="1381"/>
                              </a:cubicBezTo>
                              <a:lnTo>
                                <a:pt x="6429" y="1381"/>
                              </a:lnTo>
                              <a:cubicBezTo>
                                <a:pt x="6426" y="1387"/>
                                <a:pt x="6426" y="1393"/>
                                <a:pt x="6426" y="1393"/>
                              </a:cubicBezTo>
                              <a:cubicBezTo>
                                <a:pt x="6306" y="1492"/>
                                <a:pt x="6187" y="1572"/>
                                <a:pt x="6127" y="1612"/>
                              </a:cubicBezTo>
                              <a:cubicBezTo>
                                <a:pt x="6008" y="1711"/>
                                <a:pt x="5928" y="1811"/>
                                <a:pt x="5928" y="1831"/>
                              </a:cubicBezTo>
                              <a:cubicBezTo>
                                <a:pt x="5908" y="1831"/>
                                <a:pt x="5908" y="1850"/>
                                <a:pt x="5928" y="1870"/>
                              </a:cubicBezTo>
                              <a:cubicBezTo>
                                <a:pt x="5928" y="1890"/>
                                <a:pt x="5948" y="1890"/>
                                <a:pt x="5968" y="1890"/>
                              </a:cubicBezTo>
                              <a:lnTo>
                                <a:pt x="6644" y="1711"/>
                              </a:lnTo>
                              <a:lnTo>
                                <a:pt x="6048" y="2069"/>
                              </a:lnTo>
                              <a:cubicBezTo>
                                <a:pt x="6028" y="2089"/>
                                <a:pt x="6008" y="2109"/>
                                <a:pt x="6028" y="2129"/>
                              </a:cubicBezTo>
                              <a:cubicBezTo>
                                <a:pt x="6028" y="2149"/>
                                <a:pt x="6048" y="2149"/>
                                <a:pt x="6068" y="2149"/>
                              </a:cubicBezTo>
                              <a:cubicBezTo>
                                <a:pt x="6083" y="2149"/>
                                <a:pt x="6176" y="2123"/>
                                <a:pt x="6294" y="2123"/>
                              </a:cubicBezTo>
                              <a:cubicBezTo>
                                <a:pt x="6323" y="2123"/>
                                <a:pt x="6354" y="2125"/>
                                <a:pt x="6386" y="2129"/>
                              </a:cubicBezTo>
                              <a:lnTo>
                                <a:pt x="6525" y="2129"/>
                              </a:lnTo>
                              <a:cubicBezTo>
                                <a:pt x="6605" y="2149"/>
                                <a:pt x="6664" y="2149"/>
                                <a:pt x="6744" y="2149"/>
                              </a:cubicBezTo>
                              <a:lnTo>
                                <a:pt x="6724" y="2149"/>
                              </a:lnTo>
                              <a:cubicBezTo>
                                <a:pt x="6565" y="2208"/>
                                <a:pt x="6445" y="2228"/>
                                <a:pt x="6366" y="2248"/>
                              </a:cubicBezTo>
                              <a:cubicBezTo>
                                <a:pt x="6207" y="2288"/>
                                <a:pt x="6107" y="2348"/>
                                <a:pt x="6087" y="2348"/>
                              </a:cubicBezTo>
                              <a:cubicBezTo>
                                <a:pt x="6087" y="2368"/>
                                <a:pt x="6068" y="2388"/>
                                <a:pt x="6087" y="2388"/>
                              </a:cubicBezTo>
                              <a:cubicBezTo>
                                <a:pt x="6087" y="2407"/>
                                <a:pt x="6087" y="2427"/>
                                <a:pt x="6107" y="2427"/>
                              </a:cubicBezTo>
                              <a:lnTo>
                                <a:pt x="6823" y="2527"/>
                              </a:lnTo>
                              <a:lnTo>
                                <a:pt x="6107" y="2626"/>
                              </a:lnTo>
                              <a:cubicBezTo>
                                <a:pt x="6087" y="2626"/>
                                <a:pt x="6087" y="2646"/>
                                <a:pt x="6087" y="2666"/>
                              </a:cubicBezTo>
                              <a:cubicBezTo>
                                <a:pt x="6087" y="2686"/>
                                <a:pt x="6087" y="2706"/>
                                <a:pt x="6107" y="2706"/>
                              </a:cubicBezTo>
                              <a:cubicBezTo>
                                <a:pt x="6127" y="2706"/>
                                <a:pt x="6266" y="2746"/>
                                <a:pt x="6426" y="2805"/>
                              </a:cubicBezTo>
                              <a:cubicBezTo>
                                <a:pt x="6465" y="2825"/>
                                <a:pt x="6505" y="2845"/>
                                <a:pt x="6545" y="2865"/>
                              </a:cubicBezTo>
                              <a:cubicBezTo>
                                <a:pt x="6605" y="2905"/>
                                <a:pt x="6664" y="2945"/>
                                <a:pt x="6744" y="2964"/>
                              </a:cubicBezTo>
                              <a:lnTo>
                                <a:pt x="6704" y="2964"/>
                              </a:lnTo>
                              <a:cubicBezTo>
                                <a:pt x="6565" y="2945"/>
                                <a:pt x="6426" y="2925"/>
                                <a:pt x="6346" y="2925"/>
                              </a:cubicBezTo>
                              <a:lnTo>
                                <a:pt x="6326" y="2925"/>
                              </a:lnTo>
                              <a:cubicBezTo>
                                <a:pt x="6207" y="2865"/>
                                <a:pt x="6068" y="2825"/>
                                <a:pt x="5948" y="2825"/>
                              </a:cubicBezTo>
                              <a:cubicBezTo>
                                <a:pt x="5928" y="2805"/>
                                <a:pt x="5928" y="2785"/>
                                <a:pt x="5888" y="2765"/>
                              </a:cubicBezTo>
                              <a:cubicBezTo>
                                <a:pt x="5709" y="2706"/>
                                <a:pt x="5530" y="2666"/>
                                <a:pt x="5351" y="2666"/>
                              </a:cubicBezTo>
                              <a:cubicBezTo>
                                <a:pt x="5292" y="2666"/>
                                <a:pt x="5252" y="2666"/>
                                <a:pt x="5192" y="2686"/>
                              </a:cubicBezTo>
                              <a:cubicBezTo>
                                <a:pt x="5192" y="2666"/>
                                <a:pt x="5192" y="2666"/>
                                <a:pt x="5172" y="2666"/>
                              </a:cubicBezTo>
                              <a:cubicBezTo>
                                <a:pt x="5172" y="2626"/>
                                <a:pt x="5152" y="2626"/>
                                <a:pt x="5113" y="2606"/>
                              </a:cubicBezTo>
                              <a:cubicBezTo>
                                <a:pt x="5030" y="2598"/>
                                <a:pt x="4951" y="2593"/>
                                <a:pt x="4876" y="2593"/>
                              </a:cubicBezTo>
                              <a:cubicBezTo>
                                <a:pt x="4769" y="2593"/>
                                <a:pt x="4669" y="2603"/>
                                <a:pt x="4576" y="2626"/>
                              </a:cubicBezTo>
                              <a:cubicBezTo>
                                <a:pt x="4516" y="2626"/>
                                <a:pt x="4456" y="2646"/>
                                <a:pt x="4397" y="2666"/>
                              </a:cubicBezTo>
                              <a:cubicBezTo>
                                <a:pt x="4397" y="2666"/>
                                <a:pt x="4397" y="2646"/>
                                <a:pt x="4377" y="2626"/>
                              </a:cubicBezTo>
                              <a:cubicBezTo>
                                <a:pt x="4357" y="2606"/>
                                <a:pt x="4337" y="2606"/>
                                <a:pt x="4317" y="2606"/>
                              </a:cubicBezTo>
                              <a:cubicBezTo>
                                <a:pt x="4118" y="2626"/>
                                <a:pt x="3939" y="2666"/>
                                <a:pt x="3780" y="2726"/>
                              </a:cubicBezTo>
                              <a:cubicBezTo>
                                <a:pt x="3740" y="2746"/>
                                <a:pt x="3700" y="2765"/>
                                <a:pt x="3680" y="2785"/>
                              </a:cubicBezTo>
                              <a:cubicBezTo>
                                <a:pt x="3661" y="2765"/>
                                <a:pt x="3661" y="2746"/>
                                <a:pt x="3641" y="2726"/>
                              </a:cubicBezTo>
                              <a:cubicBezTo>
                                <a:pt x="3621" y="2706"/>
                                <a:pt x="3601" y="2706"/>
                                <a:pt x="3561" y="2706"/>
                              </a:cubicBezTo>
                              <a:cubicBezTo>
                                <a:pt x="3382" y="2765"/>
                                <a:pt x="3203" y="2845"/>
                                <a:pt x="3064" y="2945"/>
                              </a:cubicBezTo>
                              <a:lnTo>
                                <a:pt x="2944" y="2945"/>
                              </a:lnTo>
                              <a:cubicBezTo>
                                <a:pt x="2924" y="2945"/>
                                <a:pt x="2825" y="2925"/>
                                <a:pt x="2805" y="2925"/>
                              </a:cubicBezTo>
                              <a:lnTo>
                                <a:pt x="2626" y="2925"/>
                              </a:lnTo>
                              <a:cubicBezTo>
                                <a:pt x="2785" y="2865"/>
                                <a:pt x="2905" y="2825"/>
                                <a:pt x="2984" y="2825"/>
                              </a:cubicBezTo>
                              <a:cubicBezTo>
                                <a:pt x="3143" y="2785"/>
                                <a:pt x="3243" y="2706"/>
                                <a:pt x="3263" y="2706"/>
                              </a:cubicBezTo>
                              <a:cubicBezTo>
                                <a:pt x="3263" y="2706"/>
                                <a:pt x="3283" y="2686"/>
                                <a:pt x="3263" y="2666"/>
                              </a:cubicBezTo>
                              <a:cubicBezTo>
                                <a:pt x="3263" y="2646"/>
                                <a:pt x="3263" y="2646"/>
                                <a:pt x="3243" y="2626"/>
                              </a:cubicBezTo>
                              <a:lnTo>
                                <a:pt x="2527" y="2527"/>
                              </a:lnTo>
                              <a:lnTo>
                                <a:pt x="3243" y="2427"/>
                              </a:lnTo>
                              <a:cubicBezTo>
                                <a:pt x="3263" y="2427"/>
                                <a:pt x="3263" y="2407"/>
                                <a:pt x="3263" y="2388"/>
                              </a:cubicBezTo>
                              <a:cubicBezTo>
                                <a:pt x="3263" y="2368"/>
                                <a:pt x="3263" y="2348"/>
                                <a:pt x="3243" y="2348"/>
                              </a:cubicBezTo>
                              <a:cubicBezTo>
                                <a:pt x="3223" y="2348"/>
                                <a:pt x="3084" y="2328"/>
                                <a:pt x="2924" y="2248"/>
                              </a:cubicBezTo>
                              <a:cubicBezTo>
                                <a:pt x="2885" y="2228"/>
                                <a:pt x="2845" y="2208"/>
                                <a:pt x="2805" y="2189"/>
                              </a:cubicBezTo>
                              <a:cubicBezTo>
                                <a:pt x="2745" y="2169"/>
                                <a:pt x="2686" y="2129"/>
                                <a:pt x="2606" y="2109"/>
                              </a:cubicBezTo>
                              <a:lnTo>
                                <a:pt x="2626" y="2109"/>
                              </a:lnTo>
                              <a:cubicBezTo>
                                <a:pt x="2785" y="2109"/>
                                <a:pt x="2924" y="2129"/>
                                <a:pt x="3004" y="2149"/>
                              </a:cubicBezTo>
                              <a:cubicBezTo>
                                <a:pt x="3057" y="2155"/>
                                <a:pt x="3106" y="2158"/>
                                <a:pt x="3147" y="2158"/>
                              </a:cubicBezTo>
                              <a:cubicBezTo>
                                <a:pt x="3230" y="2158"/>
                                <a:pt x="3283" y="2149"/>
                                <a:pt x="3283" y="2149"/>
                              </a:cubicBezTo>
                              <a:cubicBezTo>
                                <a:pt x="3302" y="2149"/>
                                <a:pt x="3322" y="2129"/>
                                <a:pt x="3322" y="2129"/>
                              </a:cubicBezTo>
                              <a:cubicBezTo>
                                <a:pt x="3322" y="2109"/>
                                <a:pt x="3322" y="2089"/>
                                <a:pt x="3302" y="2069"/>
                              </a:cubicBezTo>
                              <a:lnTo>
                                <a:pt x="2686" y="1711"/>
                              </a:lnTo>
                              <a:lnTo>
                                <a:pt x="3382" y="1890"/>
                              </a:lnTo>
                              <a:cubicBezTo>
                                <a:pt x="3402" y="1890"/>
                                <a:pt x="3422" y="1890"/>
                                <a:pt x="3422" y="1870"/>
                              </a:cubicBezTo>
                              <a:cubicBezTo>
                                <a:pt x="3442" y="1850"/>
                                <a:pt x="3422" y="1831"/>
                                <a:pt x="3422" y="1811"/>
                              </a:cubicBezTo>
                              <a:cubicBezTo>
                                <a:pt x="3402" y="1811"/>
                                <a:pt x="3283" y="1731"/>
                                <a:pt x="3163" y="1612"/>
                              </a:cubicBezTo>
                              <a:cubicBezTo>
                                <a:pt x="3123" y="1572"/>
                                <a:pt x="3104" y="1532"/>
                                <a:pt x="3064" y="1492"/>
                              </a:cubicBezTo>
                              <a:cubicBezTo>
                                <a:pt x="3028" y="1457"/>
                                <a:pt x="2993" y="1405"/>
                                <a:pt x="2943" y="1352"/>
                              </a:cubicBezTo>
                              <a:lnTo>
                                <a:pt x="2943" y="1352"/>
                              </a:lnTo>
                              <a:cubicBezTo>
                                <a:pt x="2949" y="1353"/>
                                <a:pt x="2957" y="1353"/>
                                <a:pt x="2964" y="1353"/>
                              </a:cubicBezTo>
                              <a:cubicBezTo>
                                <a:pt x="3084" y="1413"/>
                                <a:pt x="3203" y="1492"/>
                                <a:pt x="3263" y="1532"/>
                              </a:cubicBezTo>
                              <a:cubicBezTo>
                                <a:pt x="3402" y="1612"/>
                                <a:pt x="3541" y="1651"/>
                                <a:pt x="3541" y="1651"/>
                              </a:cubicBezTo>
                              <a:cubicBezTo>
                                <a:pt x="3561" y="1651"/>
                                <a:pt x="3581" y="1651"/>
                                <a:pt x="3581" y="1632"/>
                              </a:cubicBezTo>
                              <a:cubicBezTo>
                                <a:pt x="3601" y="1612"/>
                                <a:pt x="3601" y="1592"/>
                                <a:pt x="3581" y="1592"/>
                              </a:cubicBezTo>
                              <a:lnTo>
                                <a:pt x="3163" y="1015"/>
                              </a:lnTo>
                              <a:lnTo>
                                <a:pt x="3720" y="1433"/>
                              </a:lnTo>
                              <a:cubicBezTo>
                                <a:pt x="3730" y="1443"/>
                                <a:pt x="3740" y="1448"/>
                                <a:pt x="3750" y="1448"/>
                              </a:cubicBezTo>
                              <a:cubicBezTo>
                                <a:pt x="3760" y="1448"/>
                                <a:pt x="3770" y="1443"/>
                                <a:pt x="3780" y="1433"/>
                              </a:cubicBezTo>
                              <a:cubicBezTo>
                                <a:pt x="3800" y="1413"/>
                                <a:pt x="3800" y="1393"/>
                                <a:pt x="3780" y="1373"/>
                              </a:cubicBezTo>
                              <a:cubicBezTo>
                                <a:pt x="3780" y="1373"/>
                                <a:pt x="3700" y="1254"/>
                                <a:pt x="3641" y="1094"/>
                              </a:cubicBezTo>
                              <a:cubicBezTo>
                                <a:pt x="3621" y="1055"/>
                                <a:pt x="3601" y="1015"/>
                                <a:pt x="3601" y="955"/>
                              </a:cubicBezTo>
                              <a:cubicBezTo>
                                <a:pt x="3582" y="900"/>
                                <a:pt x="3564" y="844"/>
                                <a:pt x="3529" y="773"/>
                              </a:cubicBezTo>
                              <a:lnTo>
                                <a:pt x="3529" y="773"/>
                              </a:lnTo>
                              <a:cubicBezTo>
                                <a:pt x="3535" y="776"/>
                                <a:pt x="3541" y="776"/>
                                <a:pt x="3541" y="776"/>
                              </a:cubicBezTo>
                              <a:cubicBezTo>
                                <a:pt x="3641" y="896"/>
                                <a:pt x="3720" y="1015"/>
                                <a:pt x="3760" y="1075"/>
                              </a:cubicBezTo>
                              <a:cubicBezTo>
                                <a:pt x="3859" y="1194"/>
                                <a:pt x="3959" y="1274"/>
                                <a:pt x="3959" y="1274"/>
                              </a:cubicBezTo>
                              <a:cubicBezTo>
                                <a:pt x="3969" y="1283"/>
                                <a:pt x="3979" y="1288"/>
                                <a:pt x="3989" y="1288"/>
                              </a:cubicBezTo>
                              <a:cubicBezTo>
                                <a:pt x="3999" y="1288"/>
                                <a:pt x="4009" y="1283"/>
                                <a:pt x="4019" y="1274"/>
                              </a:cubicBezTo>
                              <a:cubicBezTo>
                                <a:pt x="4038" y="1274"/>
                                <a:pt x="4038" y="1254"/>
                                <a:pt x="4038" y="1234"/>
                              </a:cubicBezTo>
                              <a:lnTo>
                                <a:pt x="3859" y="557"/>
                              </a:lnTo>
                              <a:lnTo>
                                <a:pt x="4218" y="1154"/>
                              </a:lnTo>
                              <a:cubicBezTo>
                                <a:pt x="4232" y="1168"/>
                                <a:pt x="4246" y="1182"/>
                                <a:pt x="4260" y="1182"/>
                              </a:cubicBezTo>
                              <a:cubicBezTo>
                                <a:pt x="4266" y="1182"/>
                                <a:pt x="4271" y="1180"/>
                                <a:pt x="4277" y="1174"/>
                              </a:cubicBezTo>
                              <a:cubicBezTo>
                                <a:pt x="4297" y="1174"/>
                                <a:pt x="4297" y="1154"/>
                                <a:pt x="4297" y="1134"/>
                              </a:cubicBezTo>
                              <a:cubicBezTo>
                                <a:pt x="4297" y="1134"/>
                                <a:pt x="4257" y="975"/>
                                <a:pt x="4257" y="816"/>
                              </a:cubicBezTo>
                              <a:cubicBezTo>
                                <a:pt x="4277" y="756"/>
                                <a:pt x="4277" y="717"/>
                                <a:pt x="4277" y="677"/>
                              </a:cubicBezTo>
                              <a:cubicBezTo>
                                <a:pt x="4277" y="597"/>
                                <a:pt x="4297" y="537"/>
                                <a:pt x="4277" y="458"/>
                              </a:cubicBezTo>
                              <a:cubicBezTo>
                                <a:pt x="4297" y="458"/>
                                <a:pt x="4297" y="478"/>
                                <a:pt x="4297" y="478"/>
                              </a:cubicBezTo>
                              <a:cubicBezTo>
                                <a:pt x="4337" y="637"/>
                                <a:pt x="4377" y="776"/>
                                <a:pt x="4397" y="836"/>
                              </a:cubicBezTo>
                              <a:cubicBezTo>
                                <a:pt x="4436" y="995"/>
                                <a:pt x="4496" y="1094"/>
                                <a:pt x="4496" y="1114"/>
                              </a:cubicBezTo>
                              <a:cubicBezTo>
                                <a:pt x="4516" y="1114"/>
                                <a:pt x="4536" y="1134"/>
                                <a:pt x="4536" y="1134"/>
                              </a:cubicBezTo>
                              <a:cubicBezTo>
                                <a:pt x="4556" y="1114"/>
                                <a:pt x="4576" y="1114"/>
                                <a:pt x="4576" y="1094"/>
                              </a:cubicBezTo>
                              <a:lnTo>
                                <a:pt x="4675" y="398"/>
                              </a:lnTo>
                              <a:close/>
                              <a:moveTo>
                                <a:pt x="4848" y="2741"/>
                              </a:moveTo>
                              <a:cubicBezTo>
                                <a:pt x="4888" y="2741"/>
                                <a:pt x="4930" y="2742"/>
                                <a:pt x="4973" y="2746"/>
                              </a:cubicBezTo>
                              <a:cubicBezTo>
                                <a:pt x="4914" y="2805"/>
                                <a:pt x="4814" y="2865"/>
                                <a:pt x="4635" y="2925"/>
                              </a:cubicBezTo>
                              <a:cubicBezTo>
                                <a:pt x="4615" y="2925"/>
                                <a:pt x="4595" y="2945"/>
                                <a:pt x="4595" y="2964"/>
                              </a:cubicBezTo>
                              <a:cubicBezTo>
                                <a:pt x="4595" y="3004"/>
                                <a:pt x="4615" y="3024"/>
                                <a:pt x="4635" y="3024"/>
                              </a:cubicBezTo>
                              <a:cubicBezTo>
                                <a:pt x="4635" y="3024"/>
                                <a:pt x="4794" y="3084"/>
                                <a:pt x="4894" y="3183"/>
                              </a:cubicBezTo>
                              <a:cubicBezTo>
                                <a:pt x="4854" y="3203"/>
                                <a:pt x="4814" y="3203"/>
                                <a:pt x="4755" y="3203"/>
                              </a:cubicBezTo>
                              <a:cubicBezTo>
                                <a:pt x="4576" y="3203"/>
                                <a:pt x="4337" y="3163"/>
                                <a:pt x="4158" y="3024"/>
                              </a:cubicBezTo>
                              <a:cubicBezTo>
                                <a:pt x="4198" y="2984"/>
                                <a:pt x="4237" y="2925"/>
                                <a:pt x="4337" y="2865"/>
                              </a:cubicBezTo>
                              <a:cubicBezTo>
                                <a:pt x="4469" y="2782"/>
                                <a:pt x="4644" y="2741"/>
                                <a:pt x="4848" y="2741"/>
                              </a:cubicBezTo>
                              <a:close/>
                              <a:moveTo>
                                <a:pt x="5944" y="2971"/>
                              </a:moveTo>
                              <a:cubicBezTo>
                                <a:pt x="5985" y="2971"/>
                                <a:pt x="6026" y="2976"/>
                                <a:pt x="6068" y="2984"/>
                              </a:cubicBezTo>
                              <a:cubicBezTo>
                                <a:pt x="6167" y="3004"/>
                                <a:pt x="6266" y="3044"/>
                                <a:pt x="6366" y="3104"/>
                              </a:cubicBezTo>
                              <a:cubicBezTo>
                                <a:pt x="6306" y="3124"/>
                                <a:pt x="6207" y="3163"/>
                                <a:pt x="6107" y="3183"/>
                              </a:cubicBezTo>
                              <a:cubicBezTo>
                                <a:pt x="6048" y="3183"/>
                                <a:pt x="5968" y="3203"/>
                                <a:pt x="5908" y="3203"/>
                              </a:cubicBezTo>
                              <a:cubicBezTo>
                                <a:pt x="5769" y="3203"/>
                                <a:pt x="5650" y="3163"/>
                                <a:pt x="5550" y="3084"/>
                              </a:cubicBezTo>
                              <a:cubicBezTo>
                                <a:pt x="5590" y="3064"/>
                                <a:pt x="5670" y="3024"/>
                                <a:pt x="5769" y="3004"/>
                              </a:cubicBezTo>
                              <a:cubicBezTo>
                                <a:pt x="5827" y="2981"/>
                                <a:pt x="5886" y="2971"/>
                                <a:pt x="5944" y="2971"/>
                              </a:cubicBezTo>
                              <a:close/>
                              <a:moveTo>
                                <a:pt x="4218" y="2765"/>
                              </a:moveTo>
                              <a:lnTo>
                                <a:pt x="4218" y="2765"/>
                              </a:lnTo>
                              <a:cubicBezTo>
                                <a:pt x="4178" y="2825"/>
                                <a:pt x="4098" y="2905"/>
                                <a:pt x="3919" y="3004"/>
                              </a:cubicBezTo>
                              <a:cubicBezTo>
                                <a:pt x="3899" y="3004"/>
                                <a:pt x="3879" y="3024"/>
                                <a:pt x="3879" y="3064"/>
                              </a:cubicBezTo>
                              <a:cubicBezTo>
                                <a:pt x="3879" y="3084"/>
                                <a:pt x="3899" y="3104"/>
                                <a:pt x="3939" y="3104"/>
                              </a:cubicBezTo>
                              <a:cubicBezTo>
                                <a:pt x="3939" y="3104"/>
                                <a:pt x="4078" y="3143"/>
                                <a:pt x="4218" y="3203"/>
                              </a:cubicBezTo>
                              <a:lnTo>
                                <a:pt x="4237" y="3203"/>
                              </a:lnTo>
                              <a:cubicBezTo>
                                <a:pt x="4237" y="3223"/>
                                <a:pt x="4218" y="3223"/>
                                <a:pt x="4218" y="3223"/>
                              </a:cubicBezTo>
                              <a:cubicBezTo>
                                <a:pt x="4158" y="3243"/>
                                <a:pt x="4098" y="3243"/>
                                <a:pt x="4038" y="3263"/>
                              </a:cubicBezTo>
                              <a:cubicBezTo>
                                <a:pt x="3979" y="3283"/>
                                <a:pt x="3899" y="3283"/>
                                <a:pt x="3820" y="3283"/>
                              </a:cubicBezTo>
                              <a:cubicBezTo>
                                <a:pt x="3720" y="3283"/>
                                <a:pt x="3581" y="3263"/>
                                <a:pt x="3462" y="3203"/>
                              </a:cubicBezTo>
                              <a:cubicBezTo>
                                <a:pt x="3481" y="3163"/>
                                <a:pt x="3521" y="3084"/>
                                <a:pt x="3581" y="3024"/>
                              </a:cubicBezTo>
                              <a:cubicBezTo>
                                <a:pt x="3720" y="2885"/>
                                <a:pt x="3939" y="2785"/>
                                <a:pt x="4218" y="2765"/>
                              </a:cubicBezTo>
                              <a:close/>
                              <a:moveTo>
                                <a:pt x="5364" y="2805"/>
                              </a:moveTo>
                              <a:cubicBezTo>
                                <a:pt x="5476" y="2805"/>
                                <a:pt x="5600" y="2825"/>
                                <a:pt x="5729" y="2865"/>
                              </a:cubicBezTo>
                              <a:cubicBezTo>
                                <a:pt x="5650" y="2905"/>
                                <a:pt x="5530" y="2945"/>
                                <a:pt x="5371" y="2964"/>
                              </a:cubicBezTo>
                              <a:cubicBezTo>
                                <a:pt x="5332" y="2964"/>
                                <a:pt x="5312" y="2984"/>
                                <a:pt x="5312" y="3004"/>
                              </a:cubicBezTo>
                              <a:cubicBezTo>
                                <a:pt x="5312" y="3024"/>
                                <a:pt x="5312" y="3064"/>
                                <a:pt x="5332" y="3064"/>
                              </a:cubicBezTo>
                              <a:cubicBezTo>
                                <a:pt x="5332" y="3064"/>
                                <a:pt x="5471" y="3163"/>
                                <a:pt x="5570" y="3283"/>
                              </a:cubicBezTo>
                              <a:lnTo>
                                <a:pt x="5570" y="3303"/>
                              </a:lnTo>
                              <a:cubicBezTo>
                                <a:pt x="5411" y="3283"/>
                                <a:pt x="5093" y="3243"/>
                                <a:pt x="4874" y="2984"/>
                              </a:cubicBezTo>
                              <a:cubicBezTo>
                                <a:pt x="4874" y="2984"/>
                                <a:pt x="4874" y="2964"/>
                                <a:pt x="4874" y="2964"/>
                              </a:cubicBezTo>
                              <a:cubicBezTo>
                                <a:pt x="4914" y="2945"/>
                                <a:pt x="4973" y="2885"/>
                                <a:pt x="5073" y="2865"/>
                              </a:cubicBezTo>
                              <a:cubicBezTo>
                                <a:pt x="5152" y="2825"/>
                                <a:pt x="5252" y="2805"/>
                                <a:pt x="5364" y="2805"/>
                              </a:cubicBezTo>
                              <a:close/>
                              <a:moveTo>
                                <a:pt x="3501" y="2885"/>
                              </a:moveTo>
                              <a:cubicBezTo>
                                <a:pt x="3481" y="2964"/>
                                <a:pt x="3402" y="3104"/>
                                <a:pt x="3243" y="3223"/>
                              </a:cubicBezTo>
                              <a:cubicBezTo>
                                <a:pt x="3223" y="3243"/>
                                <a:pt x="3223" y="3263"/>
                                <a:pt x="3223" y="3283"/>
                              </a:cubicBezTo>
                              <a:cubicBezTo>
                                <a:pt x="3223" y="3322"/>
                                <a:pt x="3263" y="3322"/>
                                <a:pt x="3283" y="3322"/>
                              </a:cubicBezTo>
                              <a:cubicBezTo>
                                <a:pt x="3283" y="3322"/>
                                <a:pt x="3342" y="3322"/>
                                <a:pt x="3422" y="3342"/>
                              </a:cubicBezTo>
                              <a:cubicBezTo>
                                <a:pt x="3481" y="3342"/>
                                <a:pt x="3541" y="3362"/>
                                <a:pt x="3581" y="3362"/>
                              </a:cubicBezTo>
                              <a:cubicBezTo>
                                <a:pt x="3601" y="3362"/>
                                <a:pt x="3601" y="3382"/>
                                <a:pt x="3601" y="3382"/>
                              </a:cubicBezTo>
                              <a:lnTo>
                                <a:pt x="3581" y="3382"/>
                              </a:lnTo>
                              <a:cubicBezTo>
                                <a:pt x="3521" y="3402"/>
                                <a:pt x="3462" y="3442"/>
                                <a:pt x="3402" y="3462"/>
                              </a:cubicBezTo>
                              <a:cubicBezTo>
                                <a:pt x="3263" y="3501"/>
                                <a:pt x="3143" y="3521"/>
                                <a:pt x="3044" y="3521"/>
                              </a:cubicBezTo>
                              <a:cubicBezTo>
                                <a:pt x="2964" y="3521"/>
                                <a:pt x="2885" y="3501"/>
                                <a:pt x="2825" y="3501"/>
                              </a:cubicBezTo>
                              <a:cubicBezTo>
                                <a:pt x="2825" y="3501"/>
                                <a:pt x="2825" y="3501"/>
                                <a:pt x="2825" y="3482"/>
                              </a:cubicBezTo>
                              <a:cubicBezTo>
                                <a:pt x="2845" y="3362"/>
                                <a:pt x="2964" y="3064"/>
                                <a:pt x="3501" y="2885"/>
                              </a:cubicBezTo>
                              <a:close/>
                              <a:moveTo>
                                <a:pt x="6081" y="3319"/>
                              </a:moveTo>
                              <a:cubicBezTo>
                                <a:pt x="6251" y="3319"/>
                                <a:pt x="6403" y="3380"/>
                                <a:pt x="6525" y="3501"/>
                              </a:cubicBezTo>
                              <a:cubicBezTo>
                                <a:pt x="6525" y="3501"/>
                                <a:pt x="6525" y="3501"/>
                                <a:pt x="6525" y="3521"/>
                              </a:cubicBezTo>
                              <a:lnTo>
                                <a:pt x="6505" y="3521"/>
                              </a:lnTo>
                              <a:cubicBezTo>
                                <a:pt x="6465" y="3521"/>
                                <a:pt x="6406" y="3541"/>
                                <a:pt x="6326" y="3541"/>
                              </a:cubicBezTo>
                              <a:lnTo>
                                <a:pt x="6286" y="3541"/>
                              </a:lnTo>
                              <a:cubicBezTo>
                                <a:pt x="6127" y="3541"/>
                                <a:pt x="5948" y="3482"/>
                                <a:pt x="5789" y="3362"/>
                              </a:cubicBezTo>
                              <a:cubicBezTo>
                                <a:pt x="5869" y="3322"/>
                                <a:pt x="5928" y="3322"/>
                                <a:pt x="6008" y="3322"/>
                              </a:cubicBezTo>
                              <a:cubicBezTo>
                                <a:pt x="6033" y="3320"/>
                                <a:pt x="6057" y="3319"/>
                                <a:pt x="6081" y="3319"/>
                              </a:cubicBezTo>
                              <a:close/>
                              <a:moveTo>
                                <a:pt x="2785" y="3124"/>
                              </a:moveTo>
                              <a:cubicBezTo>
                                <a:pt x="2785" y="3124"/>
                                <a:pt x="2805" y="3143"/>
                                <a:pt x="2805" y="3143"/>
                              </a:cubicBezTo>
                              <a:cubicBezTo>
                                <a:pt x="2785" y="3243"/>
                                <a:pt x="2765" y="3402"/>
                                <a:pt x="2646" y="3581"/>
                              </a:cubicBezTo>
                              <a:cubicBezTo>
                                <a:pt x="2626" y="3601"/>
                                <a:pt x="2626" y="3641"/>
                                <a:pt x="2646" y="3661"/>
                              </a:cubicBezTo>
                              <a:cubicBezTo>
                                <a:pt x="2646" y="3681"/>
                                <a:pt x="2686" y="3681"/>
                                <a:pt x="2706" y="3681"/>
                              </a:cubicBezTo>
                              <a:cubicBezTo>
                                <a:pt x="2706" y="3681"/>
                                <a:pt x="2795" y="3655"/>
                                <a:pt x="2912" y="3655"/>
                              </a:cubicBezTo>
                              <a:cubicBezTo>
                                <a:pt x="2941" y="3655"/>
                                <a:pt x="2972" y="3657"/>
                                <a:pt x="3004" y="3661"/>
                              </a:cubicBezTo>
                              <a:cubicBezTo>
                                <a:pt x="2865" y="3780"/>
                                <a:pt x="2626" y="3939"/>
                                <a:pt x="2348" y="3939"/>
                              </a:cubicBezTo>
                              <a:lnTo>
                                <a:pt x="2308" y="3939"/>
                              </a:lnTo>
                              <a:cubicBezTo>
                                <a:pt x="2308" y="3800"/>
                                <a:pt x="2328" y="3462"/>
                                <a:pt x="2785" y="3124"/>
                              </a:cubicBezTo>
                              <a:close/>
                              <a:moveTo>
                                <a:pt x="6545" y="3223"/>
                              </a:moveTo>
                              <a:cubicBezTo>
                                <a:pt x="6784" y="3303"/>
                                <a:pt x="6943" y="3442"/>
                                <a:pt x="7022" y="3641"/>
                              </a:cubicBezTo>
                              <a:cubicBezTo>
                                <a:pt x="7062" y="3760"/>
                                <a:pt x="7062" y="3879"/>
                                <a:pt x="7062" y="3939"/>
                              </a:cubicBezTo>
                              <a:lnTo>
                                <a:pt x="7042" y="3939"/>
                              </a:lnTo>
                              <a:cubicBezTo>
                                <a:pt x="6784" y="3939"/>
                                <a:pt x="6505" y="3780"/>
                                <a:pt x="6366" y="3681"/>
                              </a:cubicBezTo>
                              <a:cubicBezTo>
                                <a:pt x="6412" y="3667"/>
                                <a:pt x="6461" y="3663"/>
                                <a:pt x="6505" y="3663"/>
                              </a:cubicBezTo>
                              <a:cubicBezTo>
                                <a:pt x="6594" y="3663"/>
                                <a:pt x="6664" y="3681"/>
                                <a:pt x="6664" y="3681"/>
                              </a:cubicBezTo>
                              <a:cubicBezTo>
                                <a:pt x="6684" y="3681"/>
                                <a:pt x="6704" y="3681"/>
                                <a:pt x="6724" y="3661"/>
                              </a:cubicBezTo>
                              <a:cubicBezTo>
                                <a:pt x="6744" y="3621"/>
                                <a:pt x="6744" y="3601"/>
                                <a:pt x="6724" y="3581"/>
                              </a:cubicBezTo>
                              <a:cubicBezTo>
                                <a:pt x="6625" y="3462"/>
                                <a:pt x="6565" y="3322"/>
                                <a:pt x="6525" y="3223"/>
                              </a:cubicBezTo>
                              <a:close/>
                              <a:moveTo>
                                <a:pt x="2228" y="3561"/>
                              </a:moveTo>
                              <a:cubicBezTo>
                                <a:pt x="2228" y="3681"/>
                                <a:pt x="2208" y="3840"/>
                                <a:pt x="2109" y="4019"/>
                              </a:cubicBezTo>
                              <a:cubicBezTo>
                                <a:pt x="2089" y="4058"/>
                                <a:pt x="2109" y="4078"/>
                                <a:pt x="2109" y="4098"/>
                              </a:cubicBezTo>
                              <a:cubicBezTo>
                                <a:pt x="2129" y="4118"/>
                                <a:pt x="2149" y="4118"/>
                                <a:pt x="2188" y="4118"/>
                              </a:cubicBezTo>
                              <a:cubicBezTo>
                                <a:pt x="2188" y="4118"/>
                                <a:pt x="2328" y="4058"/>
                                <a:pt x="2487" y="4058"/>
                              </a:cubicBezTo>
                              <a:cubicBezTo>
                                <a:pt x="2427" y="4118"/>
                                <a:pt x="2367" y="4178"/>
                                <a:pt x="2308" y="4218"/>
                              </a:cubicBezTo>
                              <a:cubicBezTo>
                                <a:pt x="2188" y="4317"/>
                                <a:pt x="2009" y="4417"/>
                                <a:pt x="1850" y="4417"/>
                              </a:cubicBezTo>
                              <a:lnTo>
                                <a:pt x="1810" y="4417"/>
                              </a:lnTo>
                              <a:cubicBezTo>
                                <a:pt x="1810" y="4377"/>
                                <a:pt x="1791" y="4277"/>
                                <a:pt x="1830" y="4158"/>
                              </a:cubicBezTo>
                              <a:cubicBezTo>
                                <a:pt x="1850" y="4058"/>
                                <a:pt x="1890" y="3959"/>
                                <a:pt x="1950" y="3840"/>
                              </a:cubicBezTo>
                              <a:cubicBezTo>
                                <a:pt x="2029" y="3740"/>
                                <a:pt x="2109" y="3661"/>
                                <a:pt x="2208" y="3561"/>
                              </a:cubicBezTo>
                              <a:close/>
                              <a:moveTo>
                                <a:pt x="7162" y="3561"/>
                              </a:moveTo>
                              <a:lnTo>
                                <a:pt x="7162" y="3561"/>
                              </a:lnTo>
                              <a:cubicBezTo>
                                <a:pt x="7261" y="3661"/>
                                <a:pt x="7361" y="3740"/>
                                <a:pt x="7420" y="3840"/>
                              </a:cubicBezTo>
                              <a:cubicBezTo>
                                <a:pt x="7480" y="3939"/>
                                <a:pt x="7520" y="4039"/>
                                <a:pt x="7540" y="4158"/>
                              </a:cubicBezTo>
                              <a:cubicBezTo>
                                <a:pt x="7579" y="4277"/>
                                <a:pt x="7579" y="4377"/>
                                <a:pt x="7559" y="4417"/>
                              </a:cubicBezTo>
                              <a:cubicBezTo>
                                <a:pt x="7361" y="4417"/>
                                <a:pt x="7162" y="4317"/>
                                <a:pt x="7062" y="4218"/>
                              </a:cubicBezTo>
                              <a:cubicBezTo>
                                <a:pt x="7002" y="4178"/>
                                <a:pt x="6943" y="4118"/>
                                <a:pt x="6883" y="4058"/>
                              </a:cubicBezTo>
                              <a:lnTo>
                                <a:pt x="6903" y="4058"/>
                              </a:lnTo>
                              <a:cubicBezTo>
                                <a:pt x="7062" y="4058"/>
                                <a:pt x="7201" y="4118"/>
                                <a:pt x="7201" y="4118"/>
                              </a:cubicBezTo>
                              <a:cubicBezTo>
                                <a:pt x="7221" y="4118"/>
                                <a:pt x="7241" y="4118"/>
                                <a:pt x="7261" y="4098"/>
                              </a:cubicBezTo>
                              <a:cubicBezTo>
                                <a:pt x="7281" y="4078"/>
                                <a:pt x="7281" y="4058"/>
                                <a:pt x="7261" y="4019"/>
                              </a:cubicBezTo>
                              <a:cubicBezTo>
                                <a:pt x="7182" y="3840"/>
                                <a:pt x="7162" y="3681"/>
                                <a:pt x="7162" y="3561"/>
                              </a:cubicBezTo>
                              <a:close/>
                              <a:moveTo>
                                <a:pt x="1671" y="4078"/>
                              </a:moveTo>
                              <a:cubicBezTo>
                                <a:pt x="1691" y="4178"/>
                                <a:pt x="1711" y="4357"/>
                                <a:pt x="1631" y="4556"/>
                              </a:cubicBezTo>
                              <a:cubicBezTo>
                                <a:pt x="1631" y="4576"/>
                                <a:pt x="1631" y="4596"/>
                                <a:pt x="1651" y="4615"/>
                              </a:cubicBezTo>
                              <a:cubicBezTo>
                                <a:pt x="1661" y="4625"/>
                                <a:pt x="1676" y="4630"/>
                                <a:pt x="1691" y="4630"/>
                              </a:cubicBezTo>
                              <a:cubicBezTo>
                                <a:pt x="1706" y="4630"/>
                                <a:pt x="1721" y="4625"/>
                                <a:pt x="1731" y="4615"/>
                              </a:cubicBezTo>
                              <a:cubicBezTo>
                                <a:pt x="1731" y="4615"/>
                                <a:pt x="1870" y="4536"/>
                                <a:pt x="2029" y="4516"/>
                              </a:cubicBezTo>
                              <a:lnTo>
                                <a:pt x="2029" y="4516"/>
                              </a:lnTo>
                              <a:cubicBezTo>
                                <a:pt x="1930" y="4675"/>
                                <a:pt x="1691" y="4934"/>
                                <a:pt x="1413" y="4974"/>
                              </a:cubicBezTo>
                              <a:cubicBezTo>
                                <a:pt x="1373" y="4854"/>
                                <a:pt x="1313" y="4516"/>
                                <a:pt x="1671" y="4078"/>
                              </a:cubicBezTo>
                              <a:close/>
                              <a:moveTo>
                                <a:pt x="7719" y="4078"/>
                              </a:moveTo>
                              <a:cubicBezTo>
                                <a:pt x="7798" y="4178"/>
                                <a:pt x="7858" y="4297"/>
                                <a:pt x="7918" y="4397"/>
                              </a:cubicBezTo>
                              <a:cubicBezTo>
                                <a:pt x="7957" y="4516"/>
                                <a:pt x="7997" y="4615"/>
                                <a:pt x="7997" y="4715"/>
                              </a:cubicBezTo>
                              <a:cubicBezTo>
                                <a:pt x="7997" y="4834"/>
                                <a:pt x="7977" y="4934"/>
                                <a:pt x="7957" y="4974"/>
                              </a:cubicBezTo>
                              <a:cubicBezTo>
                                <a:pt x="7778" y="4954"/>
                                <a:pt x="7619" y="4854"/>
                                <a:pt x="7480" y="4695"/>
                              </a:cubicBezTo>
                              <a:cubicBezTo>
                                <a:pt x="7420" y="4635"/>
                                <a:pt x="7380" y="4576"/>
                                <a:pt x="7341" y="4516"/>
                              </a:cubicBezTo>
                              <a:cubicBezTo>
                                <a:pt x="7500" y="4516"/>
                                <a:pt x="7639" y="4615"/>
                                <a:pt x="7639" y="4615"/>
                              </a:cubicBezTo>
                              <a:cubicBezTo>
                                <a:pt x="7649" y="4625"/>
                                <a:pt x="7664" y="4630"/>
                                <a:pt x="7679" y="4630"/>
                              </a:cubicBezTo>
                              <a:cubicBezTo>
                                <a:pt x="7694" y="4630"/>
                                <a:pt x="7709" y="4625"/>
                                <a:pt x="7719" y="4615"/>
                              </a:cubicBezTo>
                              <a:cubicBezTo>
                                <a:pt x="7739" y="4596"/>
                                <a:pt x="7739" y="4576"/>
                                <a:pt x="7739" y="4556"/>
                              </a:cubicBezTo>
                              <a:cubicBezTo>
                                <a:pt x="7679" y="4377"/>
                                <a:pt x="7679" y="4198"/>
                                <a:pt x="7699" y="4078"/>
                              </a:cubicBezTo>
                              <a:close/>
                              <a:moveTo>
                                <a:pt x="1214" y="4655"/>
                              </a:moveTo>
                              <a:cubicBezTo>
                                <a:pt x="1254" y="4755"/>
                                <a:pt x="1293" y="4934"/>
                                <a:pt x="1254" y="5133"/>
                              </a:cubicBezTo>
                              <a:cubicBezTo>
                                <a:pt x="1234" y="5153"/>
                                <a:pt x="1254" y="5192"/>
                                <a:pt x="1273" y="5192"/>
                              </a:cubicBezTo>
                              <a:cubicBezTo>
                                <a:pt x="1283" y="5202"/>
                                <a:pt x="1298" y="5207"/>
                                <a:pt x="1313" y="5207"/>
                              </a:cubicBezTo>
                              <a:cubicBezTo>
                                <a:pt x="1328" y="5207"/>
                                <a:pt x="1343" y="5202"/>
                                <a:pt x="1353" y="5192"/>
                              </a:cubicBezTo>
                              <a:cubicBezTo>
                                <a:pt x="1353" y="5192"/>
                                <a:pt x="1472" y="5073"/>
                                <a:pt x="1631" y="5053"/>
                              </a:cubicBezTo>
                              <a:lnTo>
                                <a:pt x="1631" y="5053"/>
                              </a:lnTo>
                              <a:cubicBezTo>
                                <a:pt x="1612" y="5093"/>
                                <a:pt x="1572" y="5172"/>
                                <a:pt x="1512" y="5252"/>
                              </a:cubicBezTo>
                              <a:cubicBezTo>
                                <a:pt x="1393" y="5411"/>
                                <a:pt x="1234" y="5531"/>
                                <a:pt x="1074" y="5590"/>
                              </a:cubicBezTo>
                              <a:cubicBezTo>
                                <a:pt x="1055" y="5550"/>
                                <a:pt x="1015" y="5451"/>
                                <a:pt x="1015" y="5332"/>
                              </a:cubicBezTo>
                              <a:cubicBezTo>
                                <a:pt x="995" y="5232"/>
                                <a:pt x="1015" y="5113"/>
                                <a:pt x="1055" y="4993"/>
                              </a:cubicBezTo>
                              <a:cubicBezTo>
                                <a:pt x="1094" y="4894"/>
                                <a:pt x="1134" y="4775"/>
                                <a:pt x="1214" y="4655"/>
                              </a:cubicBezTo>
                              <a:close/>
                              <a:moveTo>
                                <a:pt x="8156" y="4655"/>
                              </a:moveTo>
                              <a:cubicBezTo>
                                <a:pt x="8236" y="4775"/>
                                <a:pt x="8276" y="4894"/>
                                <a:pt x="8315" y="4993"/>
                              </a:cubicBezTo>
                              <a:cubicBezTo>
                                <a:pt x="8335" y="5113"/>
                                <a:pt x="8355" y="5232"/>
                                <a:pt x="8335" y="5332"/>
                              </a:cubicBezTo>
                              <a:cubicBezTo>
                                <a:pt x="8335" y="5451"/>
                                <a:pt x="8296" y="5550"/>
                                <a:pt x="8276" y="5590"/>
                              </a:cubicBezTo>
                              <a:cubicBezTo>
                                <a:pt x="8097" y="5511"/>
                                <a:pt x="7937" y="5391"/>
                                <a:pt x="7818" y="5212"/>
                              </a:cubicBezTo>
                              <a:cubicBezTo>
                                <a:pt x="7778" y="5172"/>
                                <a:pt x="7758" y="5093"/>
                                <a:pt x="7739" y="5033"/>
                              </a:cubicBezTo>
                              <a:lnTo>
                                <a:pt x="7739" y="5033"/>
                              </a:lnTo>
                              <a:cubicBezTo>
                                <a:pt x="7898" y="5073"/>
                                <a:pt x="8017" y="5172"/>
                                <a:pt x="8017" y="5172"/>
                              </a:cubicBezTo>
                              <a:cubicBezTo>
                                <a:pt x="8037" y="5192"/>
                                <a:pt x="8057" y="5192"/>
                                <a:pt x="8077" y="5192"/>
                              </a:cubicBezTo>
                              <a:cubicBezTo>
                                <a:pt x="8097" y="5172"/>
                                <a:pt x="8116" y="5153"/>
                                <a:pt x="8116" y="5133"/>
                              </a:cubicBezTo>
                              <a:cubicBezTo>
                                <a:pt x="8077" y="4914"/>
                                <a:pt x="8116" y="4755"/>
                                <a:pt x="8156" y="4655"/>
                              </a:cubicBezTo>
                              <a:close/>
                              <a:moveTo>
                                <a:pt x="836" y="5272"/>
                              </a:moveTo>
                              <a:cubicBezTo>
                                <a:pt x="876" y="5371"/>
                                <a:pt x="935" y="5531"/>
                                <a:pt x="935" y="5749"/>
                              </a:cubicBezTo>
                              <a:cubicBezTo>
                                <a:pt x="935" y="5769"/>
                                <a:pt x="935" y="5789"/>
                                <a:pt x="955" y="5809"/>
                              </a:cubicBezTo>
                              <a:cubicBezTo>
                                <a:pt x="975" y="5809"/>
                                <a:pt x="1015" y="5809"/>
                                <a:pt x="1015" y="5789"/>
                              </a:cubicBezTo>
                              <a:cubicBezTo>
                                <a:pt x="1035" y="5789"/>
                                <a:pt x="1154" y="5690"/>
                                <a:pt x="1293" y="5610"/>
                              </a:cubicBezTo>
                              <a:lnTo>
                                <a:pt x="1313" y="5610"/>
                              </a:lnTo>
                              <a:cubicBezTo>
                                <a:pt x="1313" y="5610"/>
                                <a:pt x="1313" y="5610"/>
                                <a:pt x="1313" y="5630"/>
                              </a:cubicBezTo>
                              <a:cubicBezTo>
                                <a:pt x="1293" y="5690"/>
                                <a:pt x="1273" y="5729"/>
                                <a:pt x="1254" y="5789"/>
                              </a:cubicBezTo>
                              <a:cubicBezTo>
                                <a:pt x="1154" y="5988"/>
                                <a:pt x="1015" y="6127"/>
                                <a:pt x="816" y="6207"/>
                              </a:cubicBezTo>
                              <a:cubicBezTo>
                                <a:pt x="796" y="6167"/>
                                <a:pt x="736" y="6088"/>
                                <a:pt x="716" y="5968"/>
                              </a:cubicBezTo>
                              <a:cubicBezTo>
                                <a:pt x="697" y="5869"/>
                                <a:pt x="697" y="5749"/>
                                <a:pt x="716" y="5650"/>
                              </a:cubicBezTo>
                              <a:cubicBezTo>
                                <a:pt x="736" y="5531"/>
                                <a:pt x="776" y="5411"/>
                                <a:pt x="836" y="5272"/>
                              </a:cubicBezTo>
                              <a:close/>
                              <a:moveTo>
                                <a:pt x="8514" y="5272"/>
                              </a:moveTo>
                              <a:cubicBezTo>
                                <a:pt x="8574" y="5411"/>
                                <a:pt x="8614" y="5531"/>
                                <a:pt x="8634" y="5650"/>
                              </a:cubicBezTo>
                              <a:cubicBezTo>
                                <a:pt x="8654" y="5749"/>
                                <a:pt x="8634" y="5869"/>
                                <a:pt x="8614" y="5968"/>
                              </a:cubicBezTo>
                              <a:cubicBezTo>
                                <a:pt x="8594" y="6088"/>
                                <a:pt x="8534" y="6187"/>
                                <a:pt x="8514" y="6207"/>
                              </a:cubicBezTo>
                              <a:cubicBezTo>
                                <a:pt x="8355" y="6127"/>
                                <a:pt x="8236" y="5988"/>
                                <a:pt x="8116" y="5809"/>
                              </a:cubicBezTo>
                              <a:cubicBezTo>
                                <a:pt x="8097" y="5749"/>
                                <a:pt x="8077" y="5690"/>
                                <a:pt x="8057" y="5630"/>
                              </a:cubicBezTo>
                              <a:lnTo>
                                <a:pt x="8057" y="5610"/>
                              </a:lnTo>
                              <a:cubicBezTo>
                                <a:pt x="8196" y="5670"/>
                                <a:pt x="8315" y="5789"/>
                                <a:pt x="8315" y="5789"/>
                              </a:cubicBezTo>
                              <a:cubicBezTo>
                                <a:pt x="8325" y="5799"/>
                                <a:pt x="8335" y="5804"/>
                                <a:pt x="8345" y="5804"/>
                              </a:cubicBezTo>
                              <a:cubicBezTo>
                                <a:pt x="8355" y="5804"/>
                                <a:pt x="8365" y="5799"/>
                                <a:pt x="8375" y="5789"/>
                              </a:cubicBezTo>
                              <a:cubicBezTo>
                                <a:pt x="8395" y="5789"/>
                                <a:pt x="8415" y="5769"/>
                                <a:pt x="8415" y="5749"/>
                              </a:cubicBezTo>
                              <a:cubicBezTo>
                                <a:pt x="8415" y="5531"/>
                                <a:pt x="8475" y="5371"/>
                                <a:pt x="8514" y="5272"/>
                              </a:cubicBezTo>
                              <a:close/>
                              <a:moveTo>
                                <a:pt x="537" y="5948"/>
                              </a:moveTo>
                              <a:cubicBezTo>
                                <a:pt x="597" y="6028"/>
                                <a:pt x="677" y="6187"/>
                                <a:pt x="697" y="6386"/>
                              </a:cubicBezTo>
                              <a:cubicBezTo>
                                <a:pt x="697" y="6406"/>
                                <a:pt x="716" y="6446"/>
                                <a:pt x="736" y="6446"/>
                              </a:cubicBezTo>
                              <a:cubicBezTo>
                                <a:pt x="756" y="6446"/>
                                <a:pt x="776" y="6446"/>
                                <a:pt x="796" y="6426"/>
                              </a:cubicBezTo>
                              <a:cubicBezTo>
                                <a:pt x="796" y="6426"/>
                                <a:pt x="915" y="6306"/>
                                <a:pt x="1055" y="6227"/>
                              </a:cubicBezTo>
                              <a:lnTo>
                                <a:pt x="1055" y="6227"/>
                              </a:lnTo>
                              <a:cubicBezTo>
                                <a:pt x="1055" y="6286"/>
                                <a:pt x="1035" y="6346"/>
                                <a:pt x="1015" y="6406"/>
                              </a:cubicBezTo>
                              <a:cubicBezTo>
                                <a:pt x="955" y="6605"/>
                                <a:pt x="836" y="6764"/>
                                <a:pt x="657" y="6883"/>
                              </a:cubicBezTo>
                              <a:cubicBezTo>
                                <a:pt x="617" y="6843"/>
                                <a:pt x="557" y="6764"/>
                                <a:pt x="517" y="6645"/>
                              </a:cubicBezTo>
                              <a:cubicBezTo>
                                <a:pt x="478" y="6545"/>
                                <a:pt x="478" y="6446"/>
                                <a:pt x="478" y="6326"/>
                              </a:cubicBezTo>
                              <a:cubicBezTo>
                                <a:pt x="478" y="6187"/>
                                <a:pt x="498" y="6068"/>
                                <a:pt x="537" y="5948"/>
                              </a:cubicBezTo>
                              <a:close/>
                              <a:moveTo>
                                <a:pt x="8813" y="5948"/>
                              </a:moveTo>
                              <a:cubicBezTo>
                                <a:pt x="8853" y="6068"/>
                                <a:pt x="8872" y="6207"/>
                                <a:pt x="8872" y="6306"/>
                              </a:cubicBezTo>
                              <a:cubicBezTo>
                                <a:pt x="8872" y="6426"/>
                                <a:pt x="8872" y="6545"/>
                                <a:pt x="8833" y="6645"/>
                              </a:cubicBezTo>
                              <a:cubicBezTo>
                                <a:pt x="8793" y="6764"/>
                                <a:pt x="8733" y="6843"/>
                                <a:pt x="8713" y="6863"/>
                              </a:cubicBezTo>
                              <a:lnTo>
                                <a:pt x="8713" y="6883"/>
                              </a:lnTo>
                              <a:cubicBezTo>
                                <a:pt x="8554" y="6784"/>
                                <a:pt x="8435" y="6625"/>
                                <a:pt x="8355" y="6426"/>
                              </a:cubicBezTo>
                              <a:cubicBezTo>
                                <a:pt x="8335" y="6366"/>
                                <a:pt x="8315" y="6306"/>
                                <a:pt x="8296" y="6247"/>
                              </a:cubicBezTo>
                              <a:cubicBezTo>
                                <a:pt x="8296" y="6227"/>
                                <a:pt x="8296" y="6227"/>
                                <a:pt x="8296" y="6227"/>
                              </a:cubicBezTo>
                              <a:lnTo>
                                <a:pt x="8315" y="6227"/>
                              </a:lnTo>
                              <a:cubicBezTo>
                                <a:pt x="8435" y="6306"/>
                                <a:pt x="8554" y="6426"/>
                                <a:pt x="8554" y="6426"/>
                              </a:cubicBezTo>
                              <a:cubicBezTo>
                                <a:pt x="8568" y="6440"/>
                                <a:pt x="8582" y="6454"/>
                                <a:pt x="8596" y="6454"/>
                              </a:cubicBezTo>
                              <a:cubicBezTo>
                                <a:pt x="8602" y="6454"/>
                                <a:pt x="8608" y="6451"/>
                                <a:pt x="8614" y="6446"/>
                              </a:cubicBezTo>
                              <a:cubicBezTo>
                                <a:pt x="8634" y="6446"/>
                                <a:pt x="8654" y="6426"/>
                                <a:pt x="8654" y="6406"/>
                              </a:cubicBezTo>
                              <a:cubicBezTo>
                                <a:pt x="8673" y="6187"/>
                                <a:pt x="8733" y="6028"/>
                                <a:pt x="8793" y="5948"/>
                              </a:cubicBezTo>
                              <a:close/>
                              <a:moveTo>
                                <a:pt x="3956" y="6806"/>
                              </a:moveTo>
                              <a:cubicBezTo>
                                <a:pt x="4101" y="6806"/>
                                <a:pt x="4262" y="6860"/>
                                <a:pt x="4496" y="7003"/>
                              </a:cubicBezTo>
                              <a:lnTo>
                                <a:pt x="3720" y="7003"/>
                              </a:lnTo>
                              <a:cubicBezTo>
                                <a:pt x="3641" y="7003"/>
                                <a:pt x="3601" y="6983"/>
                                <a:pt x="3561" y="6943"/>
                              </a:cubicBezTo>
                              <a:cubicBezTo>
                                <a:pt x="3541" y="6943"/>
                                <a:pt x="3541" y="6943"/>
                                <a:pt x="3541" y="6923"/>
                              </a:cubicBezTo>
                              <a:cubicBezTo>
                                <a:pt x="3696" y="6855"/>
                                <a:pt x="3819" y="6806"/>
                                <a:pt x="3956" y="6806"/>
                              </a:cubicBezTo>
                              <a:close/>
                              <a:moveTo>
                                <a:pt x="4635" y="4576"/>
                              </a:moveTo>
                              <a:cubicBezTo>
                                <a:pt x="4635" y="4576"/>
                                <a:pt x="4735" y="4576"/>
                                <a:pt x="4894" y="4615"/>
                              </a:cubicBezTo>
                              <a:cubicBezTo>
                                <a:pt x="5093" y="4675"/>
                                <a:pt x="5232" y="4814"/>
                                <a:pt x="5351" y="5013"/>
                              </a:cubicBezTo>
                              <a:cubicBezTo>
                                <a:pt x="5491" y="5292"/>
                                <a:pt x="5590" y="5590"/>
                                <a:pt x="5690" y="5889"/>
                              </a:cubicBezTo>
                              <a:cubicBezTo>
                                <a:pt x="5471" y="5809"/>
                                <a:pt x="5312" y="5690"/>
                                <a:pt x="5312" y="5690"/>
                              </a:cubicBezTo>
                              <a:cubicBezTo>
                                <a:pt x="5282" y="5670"/>
                                <a:pt x="5252" y="5660"/>
                                <a:pt x="5225" y="5660"/>
                              </a:cubicBezTo>
                              <a:cubicBezTo>
                                <a:pt x="5197" y="5660"/>
                                <a:pt x="5172" y="5670"/>
                                <a:pt x="5152" y="5690"/>
                              </a:cubicBezTo>
                              <a:cubicBezTo>
                                <a:pt x="5133" y="5729"/>
                                <a:pt x="5113" y="5749"/>
                                <a:pt x="5133" y="5789"/>
                              </a:cubicBezTo>
                              <a:cubicBezTo>
                                <a:pt x="5133" y="5809"/>
                                <a:pt x="5133" y="5849"/>
                                <a:pt x="5172" y="5869"/>
                              </a:cubicBezTo>
                              <a:cubicBezTo>
                                <a:pt x="5172" y="5869"/>
                                <a:pt x="5431" y="6088"/>
                                <a:pt x="5749" y="6147"/>
                              </a:cubicBezTo>
                              <a:cubicBezTo>
                                <a:pt x="5769" y="6247"/>
                                <a:pt x="5789" y="6366"/>
                                <a:pt x="5809" y="6485"/>
                              </a:cubicBezTo>
                              <a:cubicBezTo>
                                <a:pt x="5709" y="6426"/>
                                <a:pt x="5590" y="6406"/>
                                <a:pt x="5491" y="6386"/>
                              </a:cubicBezTo>
                              <a:cubicBezTo>
                                <a:pt x="5431" y="6366"/>
                                <a:pt x="5371" y="6346"/>
                                <a:pt x="5312" y="6326"/>
                              </a:cubicBezTo>
                              <a:cubicBezTo>
                                <a:pt x="5113" y="6247"/>
                                <a:pt x="4934" y="6107"/>
                                <a:pt x="4914" y="6107"/>
                              </a:cubicBezTo>
                              <a:cubicBezTo>
                                <a:pt x="4894" y="6088"/>
                                <a:pt x="4864" y="6078"/>
                                <a:pt x="4834" y="6078"/>
                              </a:cubicBezTo>
                              <a:cubicBezTo>
                                <a:pt x="4804" y="6078"/>
                                <a:pt x="4775" y="6088"/>
                                <a:pt x="4755" y="6107"/>
                              </a:cubicBezTo>
                              <a:cubicBezTo>
                                <a:pt x="4715" y="6167"/>
                                <a:pt x="4735" y="6227"/>
                                <a:pt x="4775" y="6267"/>
                              </a:cubicBezTo>
                              <a:cubicBezTo>
                                <a:pt x="4794" y="6286"/>
                                <a:pt x="4993" y="6446"/>
                                <a:pt x="5232" y="6525"/>
                              </a:cubicBezTo>
                              <a:cubicBezTo>
                                <a:pt x="5292" y="6565"/>
                                <a:pt x="5351" y="6565"/>
                                <a:pt x="5431" y="6585"/>
                              </a:cubicBezTo>
                              <a:cubicBezTo>
                                <a:pt x="5709" y="6664"/>
                                <a:pt x="5829" y="6724"/>
                                <a:pt x="5829" y="6843"/>
                              </a:cubicBezTo>
                              <a:cubicBezTo>
                                <a:pt x="5829" y="6863"/>
                                <a:pt x="5809" y="6883"/>
                                <a:pt x="5789" y="6903"/>
                              </a:cubicBezTo>
                              <a:cubicBezTo>
                                <a:pt x="5709" y="7003"/>
                                <a:pt x="5530" y="7003"/>
                                <a:pt x="5451" y="7003"/>
                              </a:cubicBezTo>
                              <a:lnTo>
                                <a:pt x="5192" y="7003"/>
                              </a:lnTo>
                              <a:cubicBezTo>
                                <a:pt x="5152" y="7003"/>
                                <a:pt x="4894" y="7003"/>
                                <a:pt x="4675" y="6843"/>
                              </a:cubicBezTo>
                              <a:cubicBezTo>
                                <a:pt x="4357" y="6646"/>
                                <a:pt x="4135" y="6576"/>
                                <a:pt x="3947" y="6576"/>
                              </a:cubicBezTo>
                              <a:cubicBezTo>
                                <a:pt x="3795" y="6576"/>
                                <a:pt x="3664" y="6622"/>
                                <a:pt x="3521" y="6684"/>
                              </a:cubicBezTo>
                              <a:cubicBezTo>
                                <a:pt x="3521" y="6684"/>
                                <a:pt x="3521" y="6664"/>
                                <a:pt x="3521" y="6664"/>
                              </a:cubicBezTo>
                              <a:cubicBezTo>
                                <a:pt x="3621" y="6187"/>
                                <a:pt x="3800" y="5869"/>
                                <a:pt x="3939" y="5670"/>
                              </a:cubicBezTo>
                              <a:cubicBezTo>
                                <a:pt x="4058" y="5531"/>
                                <a:pt x="4138" y="5451"/>
                                <a:pt x="4198" y="5411"/>
                              </a:cubicBezTo>
                              <a:cubicBezTo>
                                <a:pt x="4198" y="5391"/>
                                <a:pt x="4218" y="5391"/>
                                <a:pt x="4237" y="5371"/>
                              </a:cubicBezTo>
                              <a:cubicBezTo>
                                <a:pt x="4277" y="5332"/>
                                <a:pt x="4297" y="5272"/>
                                <a:pt x="4257" y="5212"/>
                              </a:cubicBezTo>
                              <a:cubicBezTo>
                                <a:pt x="4233" y="5188"/>
                                <a:pt x="4193" y="5171"/>
                                <a:pt x="4157" y="5171"/>
                              </a:cubicBezTo>
                              <a:cubicBezTo>
                                <a:pt x="4134" y="5171"/>
                                <a:pt x="4113" y="5177"/>
                                <a:pt x="4098" y="5192"/>
                              </a:cubicBezTo>
                              <a:cubicBezTo>
                                <a:pt x="4098" y="5192"/>
                                <a:pt x="4078" y="5212"/>
                                <a:pt x="4058" y="5232"/>
                              </a:cubicBezTo>
                              <a:cubicBezTo>
                                <a:pt x="3999" y="5272"/>
                                <a:pt x="3954" y="5282"/>
                                <a:pt x="3922" y="5282"/>
                              </a:cubicBezTo>
                              <a:cubicBezTo>
                                <a:pt x="3889" y="5282"/>
                                <a:pt x="3869" y="5272"/>
                                <a:pt x="3859" y="5272"/>
                              </a:cubicBezTo>
                              <a:cubicBezTo>
                                <a:pt x="3840" y="5252"/>
                                <a:pt x="3820" y="5212"/>
                                <a:pt x="3820" y="5153"/>
                              </a:cubicBezTo>
                              <a:cubicBezTo>
                                <a:pt x="3840" y="5053"/>
                                <a:pt x="3959" y="4914"/>
                                <a:pt x="3999" y="4854"/>
                              </a:cubicBezTo>
                              <a:lnTo>
                                <a:pt x="4019" y="4854"/>
                              </a:lnTo>
                              <a:cubicBezTo>
                                <a:pt x="4237" y="4576"/>
                                <a:pt x="4615" y="4576"/>
                                <a:pt x="4615" y="4576"/>
                              </a:cubicBezTo>
                              <a:close/>
                              <a:moveTo>
                                <a:pt x="338" y="6645"/>
                              </a:moveTo>
                              <a:cubicBezTo>
                                <a:pt x="418" y="6724"/>
                                <a:pt x="498" y="6863"/>
                                <a:pt x="537" y="7062"/>
                              </a:cubicBezTo>
                              <a:cubicBezTo>
                                <a:pt x="557" y="7082"/>
                                <a:pt x="577" y="7102"/>
                                <a:pt x="597" y="7122"/>
                              </a:cubicBezTo>
                              <a:cubicBezTo>
                                <a:pt x="617" y="7122"/>
                                <a:pt x="637" y="7102"/>
                                <a:pt x="657" y="7082"/>
                              </a:cubicBezTo>
                              <a:cubicBezTo>
                                <a:pt x="657" y="7082"/>
                                <a:pt x="756" y="6943"/>
                                <a:pt x="876" y="6863"/>
                              </a:cubicBezTo>
                              <a:lnTo>
                                <a:pt x="876" y="6863"/>
                              </a:lnTo>
                              <a:cubicBezTo>
                                <a:pt x="876" y="6923"/>
                                <a:pt x="876" y="6983"/>
                                <a:pt x="856" y="7042"/>
                              </a:cubicBezTo>
                              <a:cubicBezTo>
                                <a:pt x="816" y="7241"/>
                                <a:pt x="716" y="7420"/>
                                <a:pt x="557" y="7540"/>
                              </a:cubicBezTo>
                              <a:cubicBezTo>
                                <a:pt x="517" y="7520"/>
                                <a:pt x="458" y="7440"/>
                                <a:pt x="398" y="7341"/>
                              </a:cubicBezTo>
                              <a:cubicBezTo>
                                <a:pt x="358" y="7241"/>
                                <a:pt x="319" y="7142"/>
                                <a:pt x="319" y="7023"/>
                              </a:cubicBezTo>
                              <a:cubicBezTo>
                                <a:pt x="299" y="6903"/>
                                <a:pt x="299" y="6764"/>
                                <a:pt x="338" y="6645"/>
                              </a:cubicBezTo>
                              <a:close/>
                              <a:moveTo>
                                <a:pt x="9032" y="6645"/>
                              </a:moveTo>
                              <a:cubicBezTo>
                                <a:pt x="9051" y="6784"/>
                                <a:pt x="9051" y="6903"/>
                                <a:pt x="9051" y="7023"/>
                              </a:cubicBezTo>
                              <a:cubicBezTo>
                                <a:pt x="9032" y="7142"/>
                                <a:pt x="8992" y="7241"/>
                                <a:pt x="8952" y="7341"/>
                              </a:cubicBezTo>
                              <a:cubicBezTo>
                                <a:pt x="8892" y="7460"/>
                                <a:pt x="8833" y="7520"/>
                                <a:pt x="8793" y="7560"/>
                              </a:cubicBezTo>
                              <a:cubicBezTo>
                                <a:pt x="8634" y="7420"/>
                                <a:pt x="8554" y="7221"/>
                                <a:pt x="8514" y="7062"/>
                              </a:cubicBezTo>
                              <a:cubicBezTo>
                                <a:pt x="8514" y="7003"/>
                                <a:pt x="8494" y="6943"/>
                                <a:pt x="8494" y="6863"/>
                              </a:cubicBezTo>
                              <a:lnTo>
                                <a:pt x="8494" y="6863"/>
                              </a:lnTo>
                              <a:cubicBezTo>
                                <a:pt x="8614" y="6963"/>
                                <a:pt x="8713" y="7082"/>
                                <a:pt x="8713" y="7082"/>
                              </a:cubicBezTo>
                              <a:cubicBezTo>
                                <a:pt x="8713" y="7102"/>
                                <a:pt x="8733" y="7122"/>
                                <a:pt x="8773" y="7122"/>
                              </a:cubicBezTo>
                              <a:cubicBezTo>
                                <a:pt x="8793" y="7102"/>
                                <a:pt x="8813" y="7102"/>
                                <a:pt x="8813" y="7062"/>
                              </a:cubicBezTo>
                              <a:cubicBezTo>
                                <a:pt x="8853" y="6863"/>
                                <a:pt x="8952" y="6724"/>
                                <a:pt x="9012" y="6645"/>
                              </a:cubicBezTo>
                              <a:close/>
                              <a:moveTo>
                                <a:pt x="239" y="7341"/>
                              </a:moveTo>
                              <a:cubicBezTo>
                                <a:pt x="299" y="7420"/>
                                <a:pt x="418" y="7540"/>
                                <a:pt x="458" y="7759"/>
                              </a:cubicBezTo>
                              <a:cubicBezTo>
                                <a:pt x="458" y="7778"/>
                                <a:pt x="498" y="7798"/>
                                <a:pt x="517" y="7798"/>
                              </a:cubicBezTo>
                              <a:cubicBezTo>
                                <a:pt x="537" y="7798"/>
                                <a:pt x="557" y="7778"/>
                                <a:pt x="577" y="7759"/>
                              </a:cubicBezTo>
                              <a:cubicBezTo>
                                <a:pt x="577" y="7759"/>
                                <a:pt x="637" y="7619"/>
                                <a:pt x="756" y="7520"/>
                              </a:cubicBezTo>
                              <a:cubicBezTo>
                                <a:pt x="756" y="7599"/>
                                <a:pt x="756" y="7659"/>
                                <a:pt x="756" y="7739"/>
                              </a:cubicBezTo>
                              <a:cubicBezTo>
                                <a:pt x="716" y="7938"/>
                                <a:pt x="637" y="8117"/>
                                <a:pt x="498" y="8236"/>
                              </a:cubicBezTo>
                              <a:cubicBezTo>
                                <a:pt x="478" y="8216"/>
                                <a:pt x="398" y="8137"/>
                                <a:pt x="338" y="8037"/>
                              </a:cubicBezTo>
                              <a:cubicBezTo>
                                <a:pt x="279" y="7938"/>
                                <a:pt x="239" y="7838"/>
                                <a:pt x="239" y="7719"/>
                              </a:cubicBezTo>
                              <a:cubicBezTo>
                                <a:pt x="199" y="7599"/>
                                <a:pt x="199" y="7460"/>
                                <a:pt x="219" y="7341"/>
                              </a:cubicBezTo>
                              <a:close/>
                              <a:moveTo>
                                <a:pt x="9131" y="7341"/>
                              </a:moveTo>
                              <a:cubicBezTo>
                                <a:pt x="9151" y="7480"/>
                                <a:pt x="9151" y="7599"/>
                                <a:pt x="9131" y="7719"/>
                              </a:cubicBezTo>
                              <a:cubicBezTo>
                                <a:pt x="9131" y="7838"/>
                                <a:pt x="9091" y="7938"/>
                                <a:pt x="9032" y="8037"/>
                              </a:cubicBezTo>
                              <a:cubicBezTo>
                                <a:pt x="8972" y="8137"/>
                                <a:pt x="8892" y="8216"/>
                                <a:pt x="8872" y="8236"/>
                              </a:cubicBezTo>
                              <a:cubicBezTo>
                                <a:pt x="8673" y="8077"/>
                                <a:pt x="8614" y="7739"/>
                                <a:pt x="8594" y="7540"/>
                              </a:cubicBezTo>
                              <a:lnTo>
                                <a:pt x="8614" y="7540"/>
                              </a:lnTo>
                              <a:cubicBezTo>
                                <a:pt x="8713" y="7639"/>
                                <a:pt x="8793" y="7759"/>
                                <a:pt x="8793" y="7759"/>
                              </a:cubicBezTo>
                              <a:cubicBezTo>
                                <a:pt x="8813" y="7778"/>
                                <a:pt x="8833" y="7798"/>
                                <a:pt x="8853" y="7798"/>
                              </a:cubicBezTo>
                              <a:cubicBezTo>
                                <a:pt x="8892" y="7798"/>
                                <a:pt x="8912" y="7778"/>
                                <a:pt x="8912" y="7759"/>
                              </a:cubicBezTo>
                              <a:cubicBezTo>
                                <a:pt x="8952" y="7540"/>
                                <a:pt x="9051" y="7400"/>
                                <a:pt x="9131" y="7341"/>
                              </a:cubicBezTo>
                              <a:close/>
                              <a:moveTo>
                                <a:pt x="9211" y="8057"/>
                              </a:moveTo>
                              <a:cubicBezTo>
                                <a:pt x="9211" y="8196"/>
                                <a:pt x="9211" y="8316"/>
                                <a:pt x="9171" y="8435"/>
                              </a:cubicBezTo>
                              <a:cubicBezTo>
                                <a:pt x="9151" y="8554"/>
                                <a:pt x="9111" y="8654"/>
                                <a:pt x="9051" y="8733"/>
                              </a:cubicBezTo>
                              <a:cubicBezTo>
                                <a:pt x="8972" y="8833"/>
                                <a:pt x="8892" y="8892"/>
                                <a:pt x="8853" y="8912"/>
                              </a:cubicBezTo>
                              <a:cubicBezTo>
                                <a:pt x="8654" y="8694"/>
                                <a:pt x="8634" y="8375"/>
                                <a:pt x="8654" y="8196"/>
                              </a:cubicBezTo>
                              <a:lnTo>
                                <a:pt x="8654" y="8196"/>
                              </a:lnTo>
                              <a:cubicBezTo>
                                <a:pt x="8753" y="8316"/>
                                <a:pt x="8833" y="8455"/>
                                <a:pt x="8833" y="8455"/>
                              </a:cubicBezTo>
                              <a:cubicBezTo>
                                <a:pt x="8833" y="8475"/>
                                <a:pt x="8853" y="8475"/>
                                <a:pt x="8892" y="8475"/>
                              </a:cubicBezTo>
                              <a:cubicBezTo>
                                <a:pt x="8912" y="8475"/>
                                <a:pt x="8932" y="8475"/>
                                <a:pt x="8932" y="8435"/>
                              </a:cubicBezTo>
                              <a:cubicBezTo>
                                <a:pt x="9012" y="8256"/>
                                <a:pt x="9131" y="8117"/>
                                <a:pt x="9211" y="8057"/>
                              </a:cubicBezTo>
                              <a:close/>
                              <a:moveTo>
                                <a:pt x="179" y="8057"/>
                              </a:moveTo>
                              <a:lnTo>
                                <a:pt x="219" y="8117"/>
                              </a:lnTo>
                              <a:cubicBezTo>
                                <a:pt x="279" y="8176"/>
                                <a:pt x="378" y="8296"/>
                                <a:pt x="438" y="8475"/>
                              </a:cubicBezTo>
                              <a:cubicBezTo>
                                <a:pt x="438" y="8495"/>
                                <a:pt x="458" y="8514"/>
                                <a:pt x="498" y="8514"/>
                              </a:cubicBezTo>
                              <a:cubicBezTo>
                                <a:pt x="517" y="8514"/>
                                <a:pt x="537" y="8495"/>
                                <a:pt x="537" y="8455"/>
                              </a:cubicBezTo>
                              <a:cubicBezTo>
                                <a:pt x="537" y="8455"/>
                                <a:pt x="577" y="8316"/>
                                <a:pt x="697" y="8196"/>
                              </a:cubicBezTo>
                              <a:cubicBezTo>
                                <a:pt x="716" y="8276"/>
                                <a:pt x="736" y="8415"/>
                                <a:pt x="697" y="8534"/>
                              </a:cubicBezTo>
                              <a:cubicBezTo>
                                <a:pt x="677" y="8713"/>
                                <a:pt x="597" y="8833"/>
                                <a:pt x="498" y="8952"/>
                              </a:cubicBezTo>
                              <a:cubicBezTo>
                                <a:pt x="378" y="8873"/>
                                <a:pt x="140" y="8634"/>
                                <a:pt x="159" y="8057"/>
                              </a:cubicBezTo>
                              <a:close/>
                              <a:moveTo>
                                <a:pt x="140" y="8773"/>
                              </a:moveTo>
                              <a:lnTo>
                                <a:pt x="140" y="8773"/>
                              </a:lnTo>
                              <a:cubicBezTo>
                                <a:pt x="159" y="8793"/>
                                <a:pt x="179" y="8793"/>
                                <a:pt x="199" y="8813"/>
                              </a:cubicBezTo>
                              <a:cubicBezTo>
                                <a:pt x="259" y="8873"/>
                                <a:pt x="358" y="8992"/>
                                <a:pt x="438" y="9151"/>
                              </a:cubicBezTo>
                              <a:cubicBezTo>
                                <a:pt x="458" y="9171"/>
                                <a:pt x="478" y="9191"/>
                                <a:pt x="498" y="9191"/>
                              </a:cubicBezTo>
                              <a:cubicBezTo>
                                <a:pt x="517" y="9191"/>
                                <a:pt x="537" y="9171"/>
                                <a:pt x="557" y="9151"/>
                              </a:cubicBezTo>
                              <a:cubicBezTo>
                                <a:pt x="557" y="9151"/>
                                <a:pt x="617" y="8992"/>
                                <a:pt x="716" y="8873"/>
                              </a:cubicBezTo>
                              <a:lnTo>
                                <a:pt x="716" y="8873"/>
                              </a:lnTo>
                              <a:cubicBezTo>
                                <a:pt x="756" y="9012"/>
                                <a:pt x="776" y="9310"/>
                                <a:pt x="557" y="9609"/>
                              </a:cubicBezTo>
                              <a:cubicBezTo>
                                <a:pt x="438" y="9549"/>
                                <a:pt x="159" y="9330"/>
                                <a:pt x="140" y="8773"/>
                              </a:cubicBezTo>
                              <a:close/>
                              <a:moveTo>
                                <a:pt x="9230" y="8773"/>
                              </a:moveTo>
                              <a:lnTo>
                                <a:pt x="9230" y="8773"/>
                              </a:lnTo>
                              <a:cubicBezTo>
                                <a:pt x="9211" y="8912"/>
                                <a:pt x="9191" y="9032"/>
                                <a:pt x="9151" y="9151"/>
                              </a:cubicBezTo>
                              <a:cubicBezTo>
                                <a:pt x="9111" y="9250"/>
                                <a:pt x="9051" y="9350"/>
                                <a:pt x="8992" y="9430"/>
                              </a:cubicBezTo>
                              <a:cubicBezTo>
                                <a:pt x="8912" y="9529"/>
                                <a:pt x="8813" y="9589"/>
                                <a:pt x="8793" y="9609"/>
                              </a:cubicBezTo>
                              <a:cubicBezTo>
                                <a:pt x="8773" y="9609"/>
                                <a:pt x="8773" y="9609"/>
                                <a:pt x="8773" y="9589"/>
                              </a:cubicBezTo>
                              <a:cubicBezTo>
                                <a:pt x="8673" y="9449"/>
                                <a:pt x="8614" y="9270"/>
                                <a:pt x="8614" y="9052"/>
                              </a:cubicBezTo>
                              <a:cubicBezTo>
                                <a:pt x="8614" y="8992"/>
                                <a:pt x="8634" y="8912"/>
                                <a:pt x="8654" y="8853"/>
                              </a:cubicBezTo>
                              <a:cubicBezTo>
                                <a:pt x="8753" y="8972"/>
                                <a:pt x="8813" y="9131"/>
                                <a:pt x="8813" y="9131"/>
                              </a:cubicBezTo>
                              <a:cubicBezTo>
                                <a:pt x="8813" y="9151"/>
                                <a:pt x="8833" y="9171"/>
                                <a:pt x="8853" y="9171"/>
                              </a:cubicBezTo>
                              <a:cubicBezTo>
                                <a:pt x="8892" y="9171"/>
                                <a:pt x="8912" y="9151"/>
                                <a:pt x="8912" y="9131"/>
                              </a:cubicBezTo>
                              <a:cubicBezTo>
                                <a:pt x="9012" y="8952"/>
                                <a:pt x="9131" y="8833"/>
                                <a:pt x="9230" y="8773"/>
                              </a:cubicBezTo>
                              <a:close/>
                              <a:moveTo>
                                <a:pt x="4675" y="3322"/>
                              </a:moveTo>
                              <a:cubicBezTo>
                                <a:pt x="5192" y="3322"/>
                                <a:pt x="5690" y="3462"/>
                                <a:pt x="6167" y="3720"/>
                              </a:cubicBezTo>
                              <a:cubicBezTo>
                                <a:pt x="6625" y="3979"/>
                                <a:pt x="7042" y="4337"/>
                                <a:pt x="7380" y="4795"/>
                              </a:cubicBezTo>
                              <a:cubicBezTo>
                                <a:pt x="7739" y="5272"/>
                                <a:pt x="8017" y="5809"/>
                                <a:pt x="8216" y="6426"/>
                              </a:cubicBezTo>
                              <a:cubicBezTo>
                                <a:pt x="8415" y="7042"/>
                                <a:pt x="8514" y="7719"/>
                                <a:pt x="8514" y="8395"/>
                              </a:cubicBezTo>
                              <a:cubicBezTo>
                                <a:pt x="8514" y="8932"/>
                                <a:pt x="8455" y="9449"/>
                                <a:pt x="8335" y="9947"/>
                              </a:cubicBezTo>
                              <a:cubicBezTo>
                                <a:pt x="7321" y="9887"/>
                                <a:pt x="6127" y="9509"/>
                                <a:pt x="6087" y="9489"/>
                              </a:cubicBezTo>
                              <a:cubicBezTo>
                                <a:pt x="6008" y="9469"/>
                                <a:pt x="5928" y="9449"/>
                                <a:pt x="5869" y="9410"/>
                              </a:cubicBezTo>
                              <a:cubicBezTo>
                                <a:pt x="5610" y="9330"/>
                                <a:pt x="5431" y="9270"/>
                                <a:pt x="5212" y="9270"/>
                              </a:cubicBezTo>
                              <a:lnTo>
                                <a:pt x="5172" y="9270"/>
                              </a:lnTo>
                              <a:cubicBezTo>
                                <a:pt x="5053" y="9211"/>
                                <a:pt x="4954" y="9171"/>
                                <a:pt x="4794" y="9151"/>
                              </a:cubicBezTo>
                              <a:lnTo>
                                <a:pt x="4794" y="8395"/>
                              </a:lnTo>
                              <a:lnTo>
                                <a:pt x="4814" y="8395"/>
                              </a:lnTo>
                              <a:lnTo>
                                <a:pt x="4814" y="7221"/>
                              </a:lnTo>
                              <a:lnTo>
                                <a:pt x="5630" y="7221"/>
                              </a:lnTo>
                              <a:cubicBezTo>
                                <a:pt x="5769" y="7202"/>
                                <a:pt x="5888" y="7142"/>
                                <a:pt x="5948" y="7062"/>
                              </a:cubicBezTo>
                              <a:cubicBezTo>
                                <a:pt x="5988" y="7023"/>
                                <a:pt x="6028" y="6983"/>
                                <a:pt x="6048" y="6903"/>
                              </a:cubicBezTo>
                              <a:cubicBezTo>
                                <a:pt x="6068" y="6843"/>
                                <a:pt x="6068" y="6764"/>
                                <a:pt x="6048" y="6684"/>
                              </a:cubicBezTo>
                              <a:lnTo>
                                <a:pt x="6048" y="6664"/>
                              </a:lnTo>
                              <a:cubicBezTo>
                                <a:pt x="5988" y="6207"/>
                                <a:pt x="5888" y="5630"/>
                                <a:pt x="5530" y="4914"/>
                              </a:cubicBezTo>
                              <a:cubicBezTo>
                                <a:pt x="5251" y="4374"/>
                                <a:pt x="4746" y="4357"/>
                                <a:pt x="4633" y="4357"/>
                              </a:cubicBezTo>
                              <a:cubicBezTo>
                                <a:pt x="4625" y="4357"/>
                                <a:pt x="4619" y="4357"/>
                                <a:pt x="4615" y="4357"/>
                              </a:cubicBezTo>
                              <a:cubicBezTo>
                                <a:pt x="4556" y="4357"/>
                                <a:pt x="4138" y="4377"/>
                                <a:pt x="3859" y="4715"/>
                              </a:cubicBezTo>
                              <a:cubicBezTo>
                                <a:pt x="3820" y="4755"/>
                                <a:pt x="3641" y="4934"/>
                                <a:pt x="3621" y="5113"/>
                              </a:cubicBezTo>
                              <a:cubicBezTo>
                                <a:pt x="3601" y="5252"/>
                                <a:pt x="3641" y="5391"/>
                                <a:pt x="3760" y="5451"/>
                              </a:cubicBezTo>
                              <a:cubicBezTo>
                                <a:pt x="3780" y="5471"/>
                                <a:pt x="3800" y="5471"/>
                                <a:pt x="3820" y="5471"/>
                              </a:cubicBezTo>
                              <a:cubicBezTo>
                                <a:pt x="3641" y="5710"/>
                                <a:pt x="3422" y="6068"/>
                                <a:pt x="3322" y="6605"/>
                              </a:cubicBezTo>
                              <a:cubicBezTo>
                                <a:pt x="3302" y="6704"/>
                                <a:pt x="3283" y="6784"/>
                                <a:pt x="3302" y="6863"/>
                              </a:cubicBezTo>
                              <a:cubicBezTo>
                                <a:pt x="3302" y="6863"/>
                                <a:pt x="3302" y="6883"/>
                                <a:pt x="3302" y="6883"/>
                              </a:cubicBezTo>
                              <a:cubicBezTo>
                                <a:pt x="3322" y="6963"/>
                                <a:pt x="3342" y="7023"/>
                                <a:pt x="3382" y="7082"/>
                              </a:cubicBezTo>
                              <a:cubicBezTo>
                                <a:pt x="3442" y="7142"/>
                                <a:pt x="3541" y="7221"/>
                                <a:pt x="3720" y="7221"/>
                              </a:cubicBezTo>
                              <a:lnTo>
                                <a:pt x="4556" y="7221"/>
                              </a:lnTo>
                              <a:lnTo>
                                <a:pt x="4556" y="8395"/>
                              </a:lnTo>
                              <a:lnTo>
                                <a:pt x="4556" y="9111"/>
                              </a:lnTo>
                              <a:cubicBezTo>
                                <a:pt x="4337" y="9111"/>
                                <a:pt x="4178" y="9191"/>
                                <a:pt x="3959" y="9350"/>
                              </a:cubicBezTo>
                              <a:cubicBezTo>
                                <a:pt x="3680" y="9529"/>
                                <a:pt x="2686" y="9728"/>
                                <a:pt x="1035" y="9927"/>
                              </a:cubicBezTo>
                              <a:cubicBezTo>
                                <a:pt x="915" y="9430"/>
                                <a:pt x="856" y="8912"/>
                                <a:pt x="856" y="8395"/>
                              </a:cubicBezTo>
                              <a:cubicBezTo>
                                <a:pt x="856" y="7719"/>
                                <a:pt x="955" y="7042"/>
                                <a:pt x="1154" y="6426"/>
                              </a:cubicBezTo>
                              <a:cubicBezTo>
                                <a:pt x="1353" y="5809"/>
                                <a:pt x="1631" y="5272"/>
                                <a:pt x="1990" y="4795"/>
                              </a:cubicBezTo>
                              <a:cubicBezTo>
                                <a:pt x="2328" y="4337"/>
                                <a:pt x="2745" y="3979"/>
                                <a:pt x="3203" y="3720"/>
                              </a:cubicBezTo>
                              <a:cubicBezTo>
                                <a:pt x="3661" y="3462"/>
                                <a:pt x="4178" y="3322"/>
                                <a:pt x="4675" y="3322"/>
                              </a:cubicBezTo>
                              <a:close/>
                              <a:moveTo>
                                <a:pt x="776" y="9489"/>
                              </a:moveTo>
                              <a:cubicBezTo>
                                <a:pt x="776" y="9489"/>
                                <a:pt x="776" y="9489"/>
                                <a:pt x="776" y="9509"/>
                              </a:cubicBezTo>
                              <a:cubicBezTo>
                                <a:pt x="796" y="9569"/>
                                <a:pt x="816" y="9628"/>
                                <a:pt x="836" y="9688"/>
                              </a:cubicBezTo>
                              <a:cubicBezTo>
                                <a:pt x="876" y="9887"/>
                                <a:pt x="856" y="10086"/>
                                <a:pt x="736" y="10265"/>
                              </a:cubicBezTo>
                              <a:cubicBezTo>
                                <a:pt x="697" y="10265"/>
                                <a:pt x="597" y="10225"/>
                                <a:pt x="517" y="10146"/>
                              </a:cubicBezTo>
                              <a:cubicBezTo>
                                <a:pt x="438" y="10066"/>
                                <a:pt x="358" y="9987"/>
                                <a:pt x="299" y="9867"/>
                              </a:cubicBezTo>
                              <a:cubicBezTo>
                                <a:pt x="239" y="9768"/>
                                <a:pt x="199" y="9648"/>
                                <a:pt x="179" y="9509"/>
                              </a:cubicBezTo>
                              <a:lnTo>
                                <a:pt x="179" y="9509"/>
                              </a:lnTo>
                              <a:cubicBezTo>
                                <a:pt x="279" y="9569"/>
                                <a:pt x="418" y="9648"/>
                                <a:pt x="537" y="9827"/>
                              </a:cubicBezTo>
                              <a:cubicBezTo>
                                <a:pt x="551" y="9841"/>
                                <a:pt x="565" y="9856"/>
                                <a:pt x="580" y="9856"/>
                              </a:cubicBezTo>
                              <a:cubicBezTo>
                                <a:pt x="585" y="9856"/>
                                <a:pt x="591" y="9853"/>
                                <a:pt x="597" y="9847"/>
                              </a:cubicBezTo>
                              <a:cubicBezTo>
                                <a:pt x="617" y="9847"/>
                                <a:pt x="637" y="9827"/>
                                <a:pt x="637" y="9807"/>
                              </a:cubicBezTo>
                              <a:cubicBezTo>
                                <a:pt x="657" y="9807"/>
                                <a:pt x="677" y="9648"/>
                                <a:pt x="756" y="9509"/>
                              </a:cubicBezTo>
                              <a:cubicBezTo>
                                <a:pt x="756" y="9489"/>
                                <a:pt x="776" y="9489"/>
                                <a:pt x="776" y="9489"/>
                              </a:cubicBezTo>
                              <a:close/>
                              <a:moveTo>
                                <a:pt x="9151" y="9469"/>
                              </a:moveTo>
                              <a:cubicBezTo>
                                <a:pt x="9171" y="9469"/>
                                <a:pt x="9171" y="9489"/>
                                <a:pt x="9171" y="9489"/>
                              </a:cubicBezTo>
                              <a:cubicBezTo>
                                <a:pt x="9131" y="9628"/>
                                <a:pt x="9091" y="9748"/>
                                <a:pt x="9051" y="9847"/>
                              </a:cubicBezTo>
                              <a:cubicBezTo>
                                <a:pt x="8992" y="9947"/>
                                <a:pt x="8932" y="10046"/>
                                <a:pt x="8853" y="10126"/>
                              </a:cubicBezTo>
                              <a:cubicBezTo>
                                <a:pt x="8753" y="10205"/>
                                <a:pt x="8673" y="10245"/>
                                <a:pt x="8634" y="10265"/>
                              </a:cubicBezTo>
                              <a:cubicBezTo>
                                <a:pt x="8534" y="10106"/>
                                <a:pt x="8494" y="9907"/>
                                <a:pt x="8534" y="9688"/>
                              </a:cubicBezTo>
                              <a:cubicBezTo>
                                <a:pt x="8534" y="9609"/>
                                <a:pt x="8554" y="9549"/>
                                <a:pt x="8574" y="9489"/>
                              </a:cubicBezTo>
                              <a:cubicBezTo>
                                <a:pt x="8654" y="9628"/>
                                <a:pt x="8693" y="9788"/>
                                <a:pt x="8693" y="9788"/>
                              </a:cubicBezTo>
                              <a:cubicBezTo>
                                <a:pt x="8713" y="9827"/>
                                <a:pt x="8733" y="9827"/>
                                <a:pt x="8753" y="9847"/>
                              </a:cubicBezTo>
                              <a:cubicBezTo>
                                <a:pt x="8773" y="9847"/>
                                <a:pt x="8793" y="9827"/>
                                <a:pt x="8813" y="9807"/>
                              </a:cubicBezTo>
                              <a:cubicBezTo>
                                <a:pt x="8912" y="9628"/>
                                <a:pt x="9051" y="9529"/>
                                <a:pt x="9151" y="9469"/>
                              </a:cubicBezTo>
                              <a:close/>
                              <a:moveTo>
                                <a:pt x="3561" y="10603"/>
                              </a:moveTo>
                              <a:cubicBezTo>
                                <a:pt x="3561" y="10623"/>
                                <a:pt x="3541" y="10643"/>
                                <a:pt x="3521" y="10643"/>
                              </a:cubicBezTo>
                              <a:cubicBezTo>
                                <a:pt x="3462" y="10703"/>
                                <a:pt x="3402" y="10782"/>
                                <a:pt x="3382" y="10862"/>
                              </a:cubicBezTo>
                              <a:lnTo>
                                <a:pt x="3342" y="10862"/>
                              </a:lnTo>
                              <a:cubicBezTo>
                                <a:pt x="3263" y="10842"/>
                                <a:pt x="3223" y="10822"/>
                                <a:pt x="3223" y="10822"/>
                              </a:cubicBezTo>
                              <a:cubicBezTo>
                                <a:pt x="3223" y="10802"/>
                                <a:pt x="3203" y="10782"/>
                                <a:pt x="3243" y="10723"/>
                              </a:cubicBezTo>
                              <a:cubicBezTo>
                                <a:pt x="3302" y="10663"/>
                                <a:pt x="3422" y="10603"/>
                                <a:pt x="3501" y="10603"/>
                              </a:cubicBezTo>
                              <a:close/>
                              <a:moveTo>
                                <a:pt x="8435" y="10146"/>
                              </a:moveTo>
                              <a:cubicBezTo>
                                <a:pt x="8514" y="10285"/>
                                <a:pt x="8534" y="10444"/>
                                <a:pt x="8534" y="10444"/>
                              </a:cubicBezTo>
                              <a:cubicBezTo>
                                <a:pt x="8534" y="10484"/>
                                <a:pt x="8554" y="10504"/>
                                <a:pt x="8574" y="10504"/>
                              </a:cubicBezTo>
                              <a:cubicBezTo>
                                <a:pt x="8594" y="10504"/>
                                <a:pt x="8614" y="10504"/>
                                <a:pt x="8634" y="10484"/>
                              </a:cubicBezTo>
                              <a:cubicBezTo>
                                <a:pt x="8773" y="10325"/>
                                <a:pt x="8912" y="10245"/>
                                <a:pt x="9012" y="10185"/>
                              </a:cubicBezTo>
                              <a:lnTo>
                                <a:pt x="9032" y="10185"/>
                              </a:lnTo>
                              <a:cubicBezTo>
                                <a:pt x="9032" y="10185"/>
                                <a:pt x="9032" y="10205"/>
                                <a:pt x="9032" y="10205"/>
                              </a:cubicBezTo>
                              <a:cubicBezTo>
                                <a:pt x="8972" y="10325"/>
                                <a:pt x="8932" y="10444"/>
                                <a:pt x="8853" y="10544"/>
                              </a:cubicBezTo>
                              <a:cubicBezTo>
                                <a:pt x="8793" y="10643"/>
                                <a:pt x="8713" y="10723"/>
                                <a:pt x="8634" y="10782"/>
                              </a:cubicBezTo>
                              <a:cubicBezTo>
                                <a:pt x="8534" y="10862"/>
                                <a:pt x="8435" y="10902"/>
                                <a:pt x="8395" y="10902"/>
                              </a:cubicBezTo>
                              <a:cubicBezTo>
                                <a:pt x="8315" y="10703"/>
                                <a:pt x="8335" y="10484"/>
                                <a:pt x="8375" y="10345"/>
                              </a:cubicBezTo>
                              <a:cubicBezTo>
                                <a:pt x="8375" y="10265"/>
                                <a:pt x="8415" y="10205"/>
                                <a:pt x="8435" y="10146"/>
                              </a:cubicBezTo>
                              <a:close/>
                              <a:moveTo>
                                <a:pt x="935" y="10166"/>
                              </a:moveTo>
                              <a:cubicBezTo>
                                <a:pt x="995" y="10305"/>
                                <a:pt x="1094" y="10603"/>
                                <a:pt x="955" y="10921"/>
                              </a:cubicBezTo>
                              <a:cubicBezTo>
                                <a:pt x="816" y="10882"/>
                                <a:pt x="498" y="10742"/>
                                <a:pt x="338" y="10205"/>
                              </a:cubicBezTo>
                              <a:cubicBezTo>
                                <a:pt x="358" y="10205"/>
                                <a:pt x="378" y="10205"/>
                                <a:pt x="398" y="10225"/>
                              </a:cubicBezTo>
                              <a:cubicBezTo>
                                <a:pt x="498" y="10265"/>
                                <a:pt x="617" y="10345"/>
                                <a:pt x="716" y="10504"/>
                              </a:cubicBezTo>
                              <a:cubicBezTo>
                                <a:pt x="736" y="10524"/>
                                <a:pt x="756" y="10524"/>
                                <a:pt x="796" y="10524"/>
                              </a:cubicBezTo>
                              <a:cubicBezTo>
                                <a:pt x="816" y="10504"/>
                                <a:pt x="836" y="10484"/>
                                <a:pt x="836" y="10464"/>
                              </a:cubicBezTo>
                              <a:cubicBezTo>
                                <a:pt x="836" y="10464"/>
                                <a:pt x="856" y="10305"/>
                                <a:pt x="915" y="10166"/>
                              </a:cubicBezTo>
                              <a:close/>
                              <a:moveTo>
                                <a:pt x="3879" y="10663"/>
                              </a:moveTo>
                              <a:cubicBezTo>
                                <a:pt x="3899" y="10663"/>
                                <a:pt x="3919" y="10663"/>
                                <a:pt x="3939" y="10683"/>
                              </a:cubicBezTo>
                              <a:cubicBezTo>
                                <a:pt x="3979" y="10703"/>
                                <a:pt x="3999" y="10723"/>
                                <a:pt x="3999" y="10723"/>
                              </a:cubicBezTo>
                              <a:cubicBezTo>
                                <a:pt x="3999" y="10742"/>
                                <a:pt x="3999" y="10742"/>
                                <a:pt x="3999" y="10742"/>
                              </a:cubicBezTo>
                              <a:cubicBezTo>
                                <a:pt x="3979" y="10762"/>
                                <a:pt x="3959" y="10782"/>
                                <a:pt x="3939" y="10782"/>
                              </a:cubicBezTo>
                              <a:cubicBezTo>
                                <a:pt x="3820" y="10882"/>
                                <a:pt x="3740" y="10981"/>
                                <a:pt x="3720" y="11061"/>
                              </a:cubicBezTo>
                              <a:lnTo>
                                <a:pt x="3661" y="11061"/>
                              </a:lnTo>
                              <a:cubicBezTo>
                                <a:pt x="3561" y="11021"/>
                                <a:pt x="3561" y="10981"/>
                                <a:pt x="3561" y="10961"/>
                              </a:cubicBezTo>
                              <a:cubicBezTo>
                                <a:pt x="3561" y="10902"/>
                                <a:pt x="3581" y="10862"/>
                                <a:pt x="3661" y="10782"/>
                              </a:cubicBezTo>
                              <a:cubicBezTo>
                                <a:pt x="3740" y="10703"/>
                                <a:pt x="3820" y="10663"/>
                                <a:pt x="3879" y="10663"/>
                              </a:cubicBezTo>
                              <a:close/>
                              <a:moveTo>
                                <a:pt x="4277" y="10842"/>
                              </a:moveTo>
                              <a:cubicBezTo>
                                <a:pt x="4317" y="10842"/>
                                <a:pt x="4337" y="10842"/>
                                <a:pt x="4357" y="10882"/>
                              </a:cubicBezTo>
                              <a:cubicBezTo>
                                <a:pt x="4377" y="10882"/>
                                <a:pt x="4397" y="10902"/>
                                <a:pt x="4397" y="10921"/>
                              </a:cubicBezTo>
                              <a:cubicBezTo>
                                <a:pt x="4397" y="10941"/>
                                <a:pt x="4357" y="10981"/>
                                <a:pt x="4337" y="11001"/>
                              </a:cubicBezTo>
                              <a:cubicBezTo>
                                <a:pt x="4237" y="11081"/>
                                <a:pt x="4158" y="11160"/>
                                <a:pt x="4118" y="11240"/>
                              </a:cubicBezTo>
                              <a:cubicBezTo>
                                <a:pt x="4098" y="11240"/>
                                <a:pt x="4063" y="11245"/>
                                <a:pt x="4026" y="11245"/>
                              </a:cubicBezTo>
                              <a:cubicBezTo>
                                <a:pt x="3989" y="11245"/>
                                <a:pt x="3949" y="11240"/>
                                <a:pt x="3919" y="11220"/>
                              </a:cubicBezTo>
                              <a:cubicBezTo>
                                <a:pt x="3919" y="11220"/>
                                <a:pt x="3899" y="11200"/>
                                <a:pt x="3899" y="11160"/>
                              </a:cubicBezTo>
                              <a:cubicBezTo>
                                <a:pt x="3879" y="11081"/>
                                <a:pt x="3999" y="11001"/>
                                <a:pt x="4058" y="10941"/>
                              </a:cubicBezTo>
                              <a:cubicBezTo>
                                <a:pt x="4158" y="10882"/>
                                <a:pt x="4237" y="10842"/>
                                <a:pt x="4277" y="10842"/>
                              </a:cubicBezTo>
                              <a:close/>
                              <a:moveTo>
                                <a:pt x="4521" y="9307"/>
                              </a:moveTo>
                              <a:cubicBezTo>
                                <a:pt x="4539" y="9307"/>
                                <a:pt x="4557" y="9308"/>
                                <a:pt x="4576" y="9310"/>
                              </a:cubicBezTo>
                              <a:cubicBezTo>
                                <a:pt x="4635" y="9310"/>
                                <a:pt x="4675" y="9310"/>
                                <a:pt x="4695" y="9330"/>
                              </a:cubicBezTo>
                              <a:cubicBezTo>
                                <a:pt x="4675" y="9330"/>
                                <a:pt x="4635" y="9350"/>
                                <a:pt x="4595" y="9370"/>
                              </a:cubicBezTo>
                              <a:cubicBezTo>
                                <a:pt x="4516" y="9430"/>
                                <a:pt x="4476" y="9469"/>
                                <a:pt x="4436" y="9509"/>
                              </a:cubicBezTo>
                              <a:cubicBezTo>
                                <a:pt x="4397" y="9549"/>
                                <a:pt x="4357" y="9569"/>
                                <a:pt x="4297" y="9609"/>
                              </a:cubicBezTo>
                              <a:cubicBezTo>
                                <a:pt x="4257" y="9628"/>
                                <a:pt x="4218" y="9648"/>
                                <a:pt x="4158" y="9668"/>
                              </a:cubicBezTo>
                              <a:cubicBezTo>
                                <a:pt x="4058" y="9728"/>
                                <a:pt x="3959" y="9788"/>
                                <a:pt x="3939" y="9847"/>
                              </a:cubicBezTo>
                              <a:cubicBezTo>
                                <a:pt x="3899" y="9947"/>
                                <a:pt x="3919" y="10006"/>
                                <a:pt x="3979" y="10106"/>
                              </a:cubicBezTo>
                              <a:cubicBezTo>
                                <a:pt x="4038" y="10195"/>
                                <a:pt x="4132" y="10207"/>
                                <a:pt x="4225" y="10207"/>
                              </a:cubicBezTo>
                              <a:cubicBezTo>
                                <a:pt x="4256" y="10207"/>
                                <a:pt x="4287" y="10205"/>
                                <a:pt x="4317" y="10205"/>
                              </a:cubicBezTo>
                              <a:cubicBezTo>
                                <a:pt x="4456" y="10205"/>
                                <a:pt x="4595" y="10146"/>
                                <a:pt x="4715" y="10086"/>
                              </a:cubicBezTo>
                              <a:cubicBezTo>
                                <a:pt x="4755" y="10066"/>
                                <a:pt x="4794" y="10046"/>
                                <a:pt x="4834" y="10006"/>
                              </a:cubicBezTo>
                              <a:cubicBezTo>
                                <a:pt x="4874" y="9987"/>
                                <a:pt x="4914" y="9947"/>
                                <a:pt x="4954" y="9947"/>
                              </a:cubicBezTo>
                              <a:cubicBezTo>
                                <a:pt x="4990" y="9939"/>
                                <a:pt x="5029" y="9935"/>
                                <a:pt x="5071" y="9935"/>
                              </a:cubicBezTo>
                              <a:cubicBezTo>
                                <a:pt x="5143" y="9935"/>
                                <a:pt x="5223" y="9949"/>
                                <a:pt x="5312" y="9987"/>
                              </a:cubicBezTo>
                              <a:cubicBezTo>
                                <a:pt x="5431" y="10026"/>
                                <a:pt x="5530" y="10106"/>
                                <a:pt x="5650" y="10166"/>
                              </a:cubicBezTo>
                              <a:cubicBezTo>
                                <a:pt x="5908" y="10345"/>
                                <a:pt x="6107" y="10563"/>
                                <a:pt x="6147" y="10643"/>
                              </a:cubicBezTo>
                              <a:cubicBezTo>
                                <a:pt x="6147" y="10663"/>
                                <a:pt x="6147" y="10703"/>
                                <a:pt x="6107" y="10723"/>
                              </a:cubicBezTo>
                              <a:cubicBezTo>
                                <a:pt x="6087" y="10762"/>
                                <a:pt x="6048" y="10782"/>
                                <a:pt x="5988" y="10782"/>
                              </a:cubicBezTo>
                              <a:cubicBezTo>
                                <a:pt x="5908" y="10663"/>
                                <a:pt x="5690" y="10404"/>
                                <a:pt x="5411" y="10265"/>
                              </a:cubicBezTo>
                              <a:lnTo>
                                <a:pt x="5332" y="10265"/>
                              </a:lnTo>
                              <a:cubicBezTo>
                                <a:pt x="5312" y="10265"/>
                                <a:pt x="5292" y="10285"/>
                                <a:pt x="5272" y="10305"/>
                              </a:cubicBezTo>
                              <a:cubicBezTo>
                                <a:pt x="5272" y="10345"/>
                                <a:pt x="5272" y="10364"/>
                                <a:pt x="5272" y="10384"/>
                              </a:cubicBezTo>
                              <a:cubicBezTo>
                                <a:pt x="5292" y="10404"/>
                                <a:pt x="5312" y="10424"/>
                                <a:pt x="5332" y="10444"/>
                              </a:cubicBezTo>
                              <a:cubicBezTo>
                                <a:pt x="5550" y="10563"/>
                                <a:pt x="5749" y="10782"/>
                                <a:pt x="5829" y="10882"/>
                              </a:cubicBezTo>
                              <a:cubicBezTo>
                                <a:pt x="5809" y="10902"/>
                                <a:pt x="5809" y="10921"/>
                                <a:pt x="5789" y="10941"/>
                              </a:cubicBezTo>
                              <a:cubicBezTo>
                                <a:pt x="5749" y="10981"/>
                                <a:pt x="5709" y="11001"/>
                                <a:pt x="5630" y="11001"/>
                              </a:cubicBezTo>
                              <a:cubicBezTo>
                                <a:pt x="5610" y="10941"/>
                                <a:pt x="5570" y="10882"/>
                                <a:pt x="5491" y="10802"/>
                              </a:cubicBezTo>
                              <a:cubicBezTo>
                                <a:pt x="5411" y="10703"/>
                                <a:pt x="5252" y="10583"/>
                                <a:pt x="5232" y="10583"/>
                              </a:cubicBezTo>
                              <a:cubicBezTo>
                                <a:pt x="5212" y="10563"/>
                                <a:pt x="5192" y="10563"/>
                                <a:pt x="5172" y="10563"/>
                              </a:cubicBezTo>
                              <a:cubicBezTo>
                                <a:pt x="5133" y="10563"/>
                                <a:pt x="5113" y="10583"/>
                                <a:pt x="5093" y="10603"/>
                              </a:cubicBezTo>
                              <a:cubicBezTo>
                                <a:pt x="5093" y="10623"/>
                                <a:pt x="5073" y="10663"/>
                                <a:pt x="5073" y="10683"/>
                              </a:cubicBezTo>
                              <a:cubicBezTo>
                                <a:pt x="5093" y="10703"/>
                                <a:pt x="5093" y="10723"/>
                                <a:pt x="5113" y="10742"/>
                              </a:cubicBezTo>
                              <a:cubicBezTo>
                                <a:pt x="5172" y="10782"/>
                                <a:pt x="5292" y="10862"/>
                                <a:pt x="5351" y="10941"/>
                              </a:cubicBezTo>
                              <a:cubicBezTo>
                                <a:pt x="5411" y="11021"/>
                                <a:pt x="5431" y="11061"/>
                                <a:pt x="5451" y="11081"/>
                              </a:cubicBezTo>
                              <a:cubicBezTo>
                                <a:pt x="5431" y="11101"/>
                                <a:pt x="5431" y="11120"/>
                                <a:pt x="5411" y="11140"/>
                              </a:cubicBezTo>
                              <a:cubicBezTo>
                                <a:pt x="5382" y="11169"/>
                                <a:pt x="5353" y="11188"/>
                                <a:pt x="5316" y="11188"/>
                              </a:cubicBezTo>
                              <a:cubicBezTo>
                                <a:pt x="5302" y="11188"/>
                                <a:pt x="5288" y="11185"/>
                                <a:pt x="5272" y="11180"/>
                              </a:cubicBezTo>
                              <a:cubicBezTo>
                                <a:pt x="5252" y="11140"/>
                                <a:pt x="5192" y="11021"/>
                                <a:pt x="5093" y="10921"/>
                              </a:cubicBezTo>
                              <a:cubicBezTo>
                                <a:pt x="5068" y="10897"/>
                                <a:pt x="5036" y="10880"/>
                                <a:pt x="5006" y="10880"/>
                              </a:cubicBezTo>
                              <a:cubicBezTo>
                                <a:pt x="4987" y="10880"/>
                                <a:pt x="4969" y="10886"/>
                                <a:pt x="4954" y="10902"/>
                              </a:cubicBezTo>
                              <a:cubicBezTo>
                                <a:pt x="4934" y="10921"/>
                                <a:pt x="4914" y="10941"/>
                                <a:pt x="4914" y="10981"/>
                              </a:cubicBezTo>
                              <a:cubicBezTo>
                                <a:pt x="4914" y="11001"/>
                                <a:pt x="4934" y="11021"/>
                                <a:pt x="4954" y="11041"/>
                              </a:cubicBezTo>
                              <a:cubicBezTo>
                                <a:pt x="5013" y="11120"/>
                                <a:pt x="5053" y="11200"/>
                                <a:pt x="5073" y="11240"/>
                              </a:cubicBezTo>
                              <a:cubicBezTo>
                                <a:pt x="5073" y="11260"/>
                                <a:pt x="5053" y="11260"/>
                                <a:pt x="5033" y="11260"/>
                              </a:cubicBezTo>
                              <a:cubicBezTo>
                                <a:pt x="4991" y="11274"/>
                                <a:pt x="4959" y="11288"/>
                                <a:pt x="4922" y="11288"/>
                              </a:cubicBezTo>
                              <a:cubicBezTo>
                                <a:pt x="4907" y="11288"/>
                                <a:pt x="4891" y="11285"/>
                                <a:pt x="4874" y="11280"/>
                              </a:cubicBezTo>
                              <a:cubicBezTo>
                                <a:pt x="4894" y="11240"/>
                                <a:pt x="4914" y="11200"/>
                                <a:pt x="4914" y="11160"/>
                              </a:cubicBezTo>
                              <a:cubicBezTo>
                                <a:pt x="4914" y="11120"/>
                                <a:pt x="4914" y="11041"/>
                                <a:pt x="4834" y="10941"/>
                              </a:cubicBezTo>
                              <a:cubicBezTo>
                                <a:pt x="4802" y="10909"/>
                                <a:pt x="4729" y="10876"/>
                                <a:pt x="4650" y="10876"/>
                              </a:cubicBezTo>
                              <a:cubicBezTo>
                                <a:pt x="4632" y="10876"/>
                                <a:pt x="4614" y="10878"/>
                                <a:pt x="4595" y="10882"/>
                              </a:cubicBezTo>
                              <a:cubicBezTo>
                                <a:pt x="4576" y="10822"/>
                                <a:pt x="4556" y="10762"/>
                                <a:pt x="4496" y="10723"/>
                              </a:cubicBezTo>
                              <a:cubicBezTo>
                                <a:pt x="4430" y="10670"/>
                                <a:pt x="4363" y="10643"/>
                                <a:pt x="4291" y="10643"/>
                              </a:cubicBezTo>
                              <a:cubicBezTo>
                                <a:pt x="4255" y="10643"/>
                                <a:pt x="4218" y="10650"/>
                                <a:pt x="4178" y="10663"/>
                              </a:cubicBezTo>
                              <a:cubicBezTo>
                                <a:pt x="4158" y="10603"/>
                                <a:pt x="4118" y="10544"/>
                                <a:pt x="4038" y="10504"/>
                              </a:cubicBezTo>
                              <a:cubicBezTo>
                                <a:pt x="3992" y="10480"/>
                                <a:pt x="3938" y="10471"/>
                                <a:pt x="3882" y="10471"/>
                              </a:cubicBezTo>
                              <a:cubicBezTo>
                                <a:pt x="3842" y="10471"/>
                                <a:pt x="3801" y="10476"/>
                                <a:pt x="3760" y="10484"/>
                              </a:cubicBezTo>
                              <a:cubicBezTo>
                                <a:pt x="3680" y="10424"/>
                                <a:pt x="3581" y="10404"/>
                                <a:pt x="3561" y="10404"/>
                              </a:cubicBezTo>
                              <a:cubicBezTo>
                                <a:pt x="3543" y="10402"/>
                                <a:pt x="3525" y="10401"/>
                                <a:pt x="3506" y="10401"/>
                              </a:cubicBezTo>
                              <a:cubicBezTo>
                                <a:pt x="3378" y="10401"/>
                                <a:pt x="3230" y="10459"/>
                                <a:pt x="3143" y="10563"/>
                              </a:cubicBezTo>
                              <a:cubicBezTo>
                                <a:pt x="2566" y="10862"/>
                                <a:pt x="1850" y="11180"/>
                                <a:pt x="1552" y="11319"/>
                              </a:cubicBezTo>
                              <a:cubicBezTo>
                                <a:pt x="1393" y="11021"/>
                                <a:pt x="1273" y="10703"/>
                                <a:pt x="1154" y="10384"/>
                              </a:cubicBezTo>
                              <a:cubicBezTo>
                                <a:pt x="1134" y="10285"/>
                                <a:pt x="1114" y="10205"/>
                                <a:pt x="1074" y="10106"/>
                              </a:cubicBezTo>
                              <a:cubicBezTo>
                                <a:pt x="1910" y="10006"/>
                                <a:pt x="2586" y="9907"/>
                                <a:pt x="3064" y="9807"/>
                              </a:cubicBezTo>
                              <a:cubicBezTo>
                                <a:pt x="3581" y="9708"/>
                                <a:pt x="3899" y="9609"/>
                                <a:pt x="4078" y="9489"/>
                              </a:cubicBezTo>
                              <a:cubicBezTo>
                                <a:pt x="4239" y="9382"/>
                                <a:pt x="4367" y="9307"/>
                                <a:pt x="4521" y="9307"/>
                              </a:cubicBezTo>
                              <a:close/>
                              <a:moveTo>
                                <a:pt x="5295" y="9465"/>
                              </a:moveTo>
                              <a:cubicBezTo>
                                <a:pt x="5434" y="9465"/>
                                <a:pt x="5582" y="9520"/>
                                <a:pt x="5789" y="9589"/>
                              </a:cubicBezTo>
                              <a:cubicBezTo>
                                <a:pt x="5869" y="9628"/>
                                <a:pt x="5948" y="9648"/>
                                <a:pt x="6028" y="9688"/>
                              </a:cubicBezTo>
                              <a:cubicBezTo>
                                <a:pt x="6048" y="9688"/>
                                <a:pt x="6366" y="9788"/>
                                <a:pt x="6804" y="9887"/>
                              </a:cubicBezTo>
                              <a:cubicBezTo>
                                <a:pt x="7182" y="9987"/>
                                <a:pt x="7739" y="10086"/>
                                <a:pt x="8276" y="10126"/>
                              </a:cubicBezTo>
                              <a:cubicBezTo>
                                <a:pt x="8236" y="10205"/>
                                <a:pt x="8216" y="10305"/>
                                <a:pt x="8196" y="10384"/>
                              </a:cubicBezTo>
                              <a:cubicBezTo>
                                <a:pt x="8077" y="10723"/>
                                <a:pt x="7957" y="11041"/>
                                <a:pt x="7778" y="11339"/>
                              </a:cubicBezTo>
                              <a:cubicBezTo>
                                <a:pt x="7520" y="11240"/>
                                <a:pt x="6883" y="10961"/>
                                <a:pt x="6465" y="10663"/>
                              </a:cubicBezTo>
                              <a:cubicBezTo>
                                <a:pt x="6386" y="10603"/>
                                <a:pt x="6326" y="10524"/>
                                <a:pt x="6306" y="10504"/>
                              </a:cubicBezTo>
                              <a:lnTo>
                                <a:pt x="6306" y="10484"/>
                              </a:lnTo>
                              <a:lnTo>
                                <a:pt x="6286" y="10484"/>
                              </a:lnTo>
                              <a:cubicBezTo>
                                <a:pt x="6187" y="10364"/>
                                <a:pt x="6008" y="10166"/>
                                <a:pt x="5769" y="10006"/>
                              </a:cubicBezTo>
                              <a:cubicBezTo>
                                <a:pt x="5600" y="9905"/>
                                <a:pt x="5329" y="9731"/>
                                <a:pt x="5056" y="9731"/>
                              </a:cubicBezTo>
                              <a:cubicBezTo>
                                <a:pt x="5008" y="9731"/>
                                <a:pt x="4961" y="9736"/>
                                <a:pt x="4914" y="9748"/>
                              </a:cubicBezTo>
                              <a:cubicBezTo>
                                <a:pt x="4854" y="9768"/>
                                <a:pt x="4794" y="9807"/>
                                <a:pt x="4715" y="9847"/>
                              </a:cubicBezTo>
                              <a:cubicBezTo>
                                <a:pt x="4695" y="9867"/>
                                <a:pt x="4655" y="9887"/>
                                <a:pt x="4615" y="9907"/>
                              </a:cubicBezTo>
                              <a:cubicBezTo>
                                <a:pt x="4516" y="9967"/>
                                <a:pt x="4397" y="10006"/>
                                <a:pt x="4297" y="10006"/>
                              </a:cubicBezTo>
                              <a:cubicBezTo>
                                <a:pt x="4218" y="10006"/>
                                <a:pt x="4158" y="10006"/>
                                <a:pt x="4138" y="9987"/>
                              </a:cubicBezTo>
                              <a:cubicBezTo>
                                <a:pt x="4098" y="9947"/>
                                <a:pt x="4118" y="9947"/>
                                <a:pt x="4118" y="9927"/>
                              </a:cubicBezTo>
                              <a:cubicBezTo>
                                <a:pt x="4138" y="9907"/>
                                <a:pt x="4218" y="9867"/>
                                <a:pt x="4257" y="9847"/>
                              </a:cubicBezTo>
                              <a:cubicBezTo>
                                <a:pt x="4317" y="9827"/>
                                <a:pt x="4357" y="9807"/>
                                <a:pt x="4416" y="9768"/>
                              </a:cubicBezTo>
                              <a:cubicBezTo>
                                <a:pt x="4476" y="9728"/>
                                <a:pt x="4516" y="9688"/>
                                <a:pt x="4556" y="9668"/>
                              </a:cubicBezTo>
                              <a:cubicBezTo>
                                <a:pt x="4595" y="9628"/>
                                <a:pt x="4635" y="9589"/>
                                <a:pt x="4715" y="9549"/>
                              </a:cubicBezTo>
                              <a:cubicBezTo>
                                <a:pt x="4814" y="9469"/>
                                <a:pt x="4914" y="9469"/>
                                <a:pt x="5073" y="9469"/>
                              </a:cubicBezTo>
                              <a:lnTo>
                                <a:pt x="5232" y="9469"/>
                              </a:lnTo>
                              <a:cubicBezTo>
                                <a:pt x="5253" y="9467"/>
                                <a:pt x="5274" y="9465"/>
                                <a:pt x="5295" y="9465"/>
                              </a:cubicBezTo>
                              <a:close/>
                              <a:moveTo>
                                <a:pt x="4653" y="11081"/>
                              </a:moveTo>
                              <a:cubicBezTo>
                                <a:pt x="4680" y="11081"/>
                                <a:pt x="4695" y="11091"/>
                                <a:pt x="4695" y="11101"/>
                              </a:cubicBezTo>
                              <a:cubicBezTo>
                                <a:pt x="4715" y="11120"/>
                                <a:pt x="4715" y="11140"/>
                                <a:pt x="4715" y="11140"/>
                              </a:cubicBezTo>
                              <a:cubicBezTo>
                                <a:pt x="4715" y="11180"/>
                                <a:pt x="4655" y="11240"/>
                                <a:pt x="4635" y="11260"/>
                              </a:cubicBezTo>
                              <a:cubicBezTo>
                                <a:pt x="4595" y="11280"/>
                                <a:pt x="4456" y="11359"/>
                                <a:pt x="4357" y="11359"/>
                              </a:cubicBezTo>
                              <a:cubicBezTo>
                                <a:pt x="4357" y="11339"/>
                                <a:pt x="4337" y="11339"/>
                                <a:pt x="4297" y="11319"/>
                              </a:cubicBezTo>
                              <a:cubicBezTo>
                                <a:pt x="4357" y="11220"/>
                                <a:pt x="4436" y="11160"/>
                                <a:pt x="4536" y="11120"/>
                              </a:cubicBezTo>
                              <a:cubicBezTo>
                                <a:pt x="4586" y="11091"/>
                                <a:pt x="4625" y="11081"/>
                                <a:pt x="4653" y="11081"/>
                              </a:cubicBezTo>
                              <a:close/>
                              <a:moveTo>
                                <a:pt x="8236" y="10782"/>
                              </a:moveTo>
                              <a:cubicBezTo>
                                <a:pt x="8276" y="10921"/>
                                <a:pt x="8296" y="11081"/>
                                <a:pt x="8296" y="11081"/>
                              </a:cubicBezTo>
                              <a:cubicBezTo>
                                <a:pt x="8296" y="11120"/>
                                <a:pt x="8296" y="11140"/>
                                <a:pt x="8335" y="11140"/>
                              </a:cubicBezTo>
                              <a:cubicBezTo>
                                <a:pt x="8355" y="11140"/>
                                <a:pt x="8375" y="11140"/>
                                <a:pt x="8395" y="11120"/>
                              </a:cubicBezTo>
                              <a:cubicBezTo>
                                <a:pt x="8514" y="10981"/>
                                <a:pt x="8654" y="10921"/>
                                <a:pt x="8733" y="10882"/>
                              </a:cubicBezTo>
                              <a:cubicBezTo>
                                <a:pt x="8753" y="10882"/>
                                <a:pt x="8793" y="10882"/>
                                <a:pt x="8813" y="10862"/>
                              </a:cubicBezTo>
                              <a:cubicBezTo>
                                <a:pt x="8813" y="10862"/>
                                <a:pt x="8813" y="10862"/>
                                <a:pt x="8813" y="10882"/>
                              </a:cubicBezTo>
                              <a:cubicBezTo>
                                <a:pt x="8753" y="11001"/>
                                <a:pt x="8693" y="11120"/>
                                <a:pt x="8614" y="11220"/>
                              </a:cubicBezTo>
                              <a:cubicBezTo>
                                <a:pt x="8534" y="11299"/>
                                <a:pt x="8455" y="11379"/>
                                <a:pt x="8355" y="11439"/>
                              </a:cubicBezTo>
                              <a:cubicBezTo>
                                <a:pt x="8256" y="11498"/>
                                <a:pt x="8156" y="11518"/>
                                <a:pt x="8116" y="11518"/>
                              </a:cubicBezTo>
                              <a:cubicBezTo>
                                <a:pt x="8057" y="11339"/>
                                <a:pt x="8077" y="11160"/>
                                <a:pt x="8136" y="10961"/>
                              </a:cubicBezTo>
                              <a:cubicBezTo>
                                <a:pt x="8156" y="10902"/>
                                <a:pt x="8196" y="10842"/>
                                <a:pt x="8216" y="10782"/>
                              </a:cubicBezTo>
                              <a:close/>
                              <a:moveTo>
                                <a:pt x="1154" y="10782"/>
                              </a:moveTo>
                              <a:cubicBezTo>
                                <a:pt x="1174" y="10842"/>
                                <a:pt x="1214" y="10902"/>
                                <a:pt x="1234" y="10961"/>
                              </a:cubicBezTo>
                              <a:cubicBezTo>
                                <a:pt x="1313" y="11160"/>
                                <a:pt x="1313" y="11359"/>
                                <a:pt x="1254" y="11538"/>
                              </a:cubicBezTo>
                              <a:cubicBezTo>
                                <a:pt x="1214" y="11518"/>
                                <a:pt x="1114" y="11498"/>
                                <a:pt x="1015" y="11439"/>
                              </a:cubicBezTo>
                              <a:cubicBezTo>
                                <a:pt x="915" y="11379"/>
                                <a:pt x="836" y="11319"/>
                                <a:pt x="756" y="11220"/>
                              </a:cubicBezTo>
                              <a:cubicBezTo>
                                <a:pt x="677" y="11120"/>
                                <a:pt x="617" y="11021"/>
                                <a:pt x="557" y="10902"/>
                              </a:cubicBezTo>
                              <a:lnTo>
                                <a:pt x="557" y="10882"/>
                              </a:lnTo>
                              <a:lnTo>
                                <a:pt x="577" y="10882"/>
                              </a:lnTo>
                              <a:cubicBezTo>
                                <a:pt x="597" y="10902"/>
                                <a:pt x="617" y="10902"/>
                                <a:pt x="637" y="10902"/>
                              </a:cubicBezTo>
                              <a:cubicBezTo>
                                <a:pt x="716" y="10941"/>
                                <a:pt x="856" y="11001"/>
                                <a:pt x="975" y="11140"/>
                              </a:cubicBezTo>
                              <a:cubicBezTo>
                                <a:pt x="985" y="11150"/>
                                <a:pt x="995" y="11155"/>
                                <a:pt x="1007" y="11155"/>
                              </a:cubicBezTo>
                              <a:cubicBezTo>
                                <a:pt x="1020" y="11155"/>
                                <a:pt x="1035" y="11150"/>
                                <a:pt x="1055" y="11140"/>
                              </a:cubicBezTo>
                              <a:cubicBezTo>
                                <a:pt x="1074" y="11140"/>
                                <a:pt x="1074" y="11120"/>
                                <a:pt x="1074" y="11101"/>
                              </a:cubicBezTo>
                              <a:cubicBezTo>
                                <a:pt x="1074" y="11101"/>
                                <a:pt x="1094" y="10941"/>
                                <a:pt x="1134" y="10782"/>
                              </a:cubicBezTo>
                              <a:close/>
                              <a:moveTo>
                                <a:pt x="1413" y="11379"/>
                              </a:moveTo>
                              <a:cubicBezTo>
                                <a:pt x="1452" y="11439"/>
                                <a:pt x="1492" y="11498"/>
                                <a:pt x="1512" y="11558"/>
                              </a:cubicBezTo>
                              <a:cubicBezTo>
                                <a:pt x="1592" y="11677"/>
                                <a:pt x="1651" y="11896"/>
                                <a:pt x="1612" y="12095"/>
                              </a:cubicBezTo>
                              <a:cubicBezTo>
                                <a:pt x="1572" y="12095"/>
                                <a:pt x="1472" y="12075"/>
                                <a:pt x="1373" y="12035"/>
                              </a:cubicBezTo>
                              <a:cubicBezTo>
                                <a:pt x="1273" y="11996"/>
                                <a:pt x="1174" y="11936"/>
                                <a:pt x="1094" y="11837"/>
                              </a:cubicBezTo>
                              <a:cubicBezTo>
                                <a:pt x="1015" y="11757"/>
                                <a:pt x="935" y="11658"/>
                                <a:pt x="856" y="11538"/>
                              </a:cubicBezTo>
                              <a:lnTo>
                                <a:pt x="856" y="11538"/>
                              </a:lnTo>
                              <a:cubicBezTo>
                                <a:pt x="975" y="11558"/>
                                <a:pt x="1134" y="11598"/>
                                <a:pt x="1293" y="11737"/>
                              </a:cubicBezTo>
                              <a:cubicBezTo>
                                <a:pt x="1303" y="11747"/>
                                <a:pt x="1318" y="11752"/>
                                <a:pt x="1333" y="11752"/>
                              </a:cubicBezTo>
                              <a:cubicBezTo>
                                <a:pt x="1348" y="11752"/>
                                <a:pt x="1363" y="11747"/>
                                <a:pt x="1373" y="11737"/>
                              </a:cubicBezTo>
                              <a:cubicBezTo>
                                <a:pt x="1393" y="11737"/>
                                <a:pt x="1393" y="11717"/>
                                <a:pt x="1393" y="11677"/>
                              </a:cubicBezTo>
                              <a:cubicBezTo>
                                <a:pt x="1393" y="11677"/>
                                <a:pt x="1373" y="11538"/>
                                <a:pt x="1413" y="11379"/>
                              </a:cubicBezTo>
                              <a:close/>
                              <a:moveTo>
                                <a:pt x="7957" y="11379"/>
                              </a:moveTo>
                              <a:cubicBezTo>
                                <a:pt x="7997" y="11518"/>
                                <a:pt x="7977" y="11677"/>
                                <a:pt x="7977" y="11677"/>
                              </a:cubicBezTo>
                              <a:cubicBezTo>
                                <a:pt x="7977" y="11717"/>
                                <a:pt x="7977" y="11737"/>
                                <a:pt x="7997" y="11737"/>
                              </a:cubicBezTo>
                              <a:cubicBezTo>
                                <a:pt x="8007" y="11747"/>
                                <a:pt x="8022" y="11752"/>
                                <a:pt x="8037" y="11752"/>
                              </a:cubicBezTo>
                              <a:cubicBezTo>
                                <a:pt x="8052" y="11752"/>
                                <a:pt x="8067" y="11747"/>
                                <a:pt x="8077" y="11737"/>
                              </a:cubicBezTo>
                              <a:cubicBezTo>
                                <a:pt x="8236" y="11598"/>
                                <a:pt x="8395" y="11558"/>
                                <a:pt x="8514" y="11538"/>
                              </a:cubicBezTo>
                              <a:lnTo>
                                <a:pt x="8514" y="11538"/>
                              </a:lnTo>
                              <a:cubicBezTo>
                                <a:pt x="8455" y="11658"/>
                                <a:pt x="8375" y="11757"/>
                                <a:pt x="8276" y="11856"/>
                              </a:cubicBezTo>
                              <a:cubicBezTo>
                                <a:pt x="8196" y="11936"/>
                                <a:pt x="8097" y="11996"/>
                                <a:pt x="7997" y="12035"/>
                              </a:cubicBezTo>
                              <a:cubicBezTo>
                                <a:pt x="7878" y="12095"/>
                                <a:pt x="7798" y="12095"/>
                                <a:pt x="7758" y="12095"/>
                              </a:cubicBezTo>
                              <a:lnTo>
                                <a:pt x="7739" y="12095"/>
                              </a:lnTo>
                              <a:cubicBezTo>
                                <a:pt x="7719" y="11936"/>
                                <a:pt x="7758" y="11737"/>
                                <a:pt x="7838" y="11558"/>
                              </a:cubicBezTo>
                              <a:cubicBezTo>
                                <a:pt x="7878" y="11498"/>
                                <a:pt x="7918" y="11439"/>
                                <a:pt x="7957" y="11379"/>
                              </a:cubicBezTo>
                              <a:close/>
                              <a:moveTo>
                                <a:pt x="1771" y="11936"/>
                              </a:moveTo>
                              <a:cubicBezTo>
                                <a:pt x="1870" y="12075"/>
                                <a:pt x="2069" y="12354"/>
                                <a:pt x="2049" y="12632"/>
                              </a:cubicBezTo>
                              <a:lnTo>
                                <a:pt x="2009" y="12632"/>
                              </a:lnTo>
                              <a:cubicBezTo>
                                <a:pt x="1970" y="12632"/>
                                <a:pt x="1890" y="12632"/>
                                <a:pt x="1791" y="12612"/>
                              </a:cubicBezTo>
                              <a:cubicBezTo>
                                <a:pt x="1691" y="12573"/>
                                <a:pt x="1592" y="12513"/>
                                <a:pt x="1492" y="12433"/>
                              </a:cubicBezTo>
                              <a:cubicBezTo>
                                <a:pt x="1393" y="12374"/>
                                <a:pt x="1313" y="12274"/>
                                <a:pt x="1234" y="12175"/>
                              </a:cubicBezTo>
                              <a:lnTo>
                                <a:pt x="1234" y="12155"/>
                              </a:lnTo>
                              <a:cubicBezTo>
                                <a:pt x="1333" y="12155"/>
                                <a:pt x="1512" y="12195"/>
                                <a:pt x="1691" y="12314"/>
                              </a:cubicBezTo>
                              <a:lnTo>
                                <a:pt x="1751" y="12314"/>
                              </a:lnTo>
                              <a:cubicBezTo>
                                <a:pt x="1771" y="12294"/>
                                <a:pt x="1791" y="12274"/>
                                <a:pt x="1771" y="12234"/>
                              </a:cubicBezTo>
                              <a:cubicBezTo>
                                <a:pt x="1771" y="12234"/>
                                <a:pt x="1731" y="12095"/>
                                <a:pt x="1751" y="11936"/>
                              </a:cubicBezTo>
                              <a:close/>
                              <a:moveTo>
                                <a:pt x="7619" y="11936"/>
                              </a:moveTo>
                              <a:cubicBezTo>
                                <a:pt x="7639" y="12095"/>
                                <a:pt x="7599" y="12234"/>
                                <a:pt x="7599" y="12234"/>
                              </a:cubicBezTo>
                              <a:cubicBezTo>
                                <a:pt x="7599" y="12274"/>
                                <a:pt x="7599" y="12294"/>
                                <a:pt x="7619" y="12294"/>
                              </a:cubicBezTo>
                              <a:cubicBezTo>
                                <a:pt x="7629" y="12304"/>
                                <a:pt x="7644" y="12309"/>
                                <a:pt x="7659" y="12309"/>
                              </a:cubicBezTo>
                              <a:cubicBezTo>
                                <a:pt x="7674" y="12309"/>
                                <a:pt x="7689" y="12304"/>
                                <a:pt x="7699" y="12294"/>
                              </a:cubicBezTo>
                              <a:cubicBezTo>
                                <a:pt x="7878" y="12195"/>
                                <a:pt x="8037" y="12155"/>
                                <a:pt x="8136" y="12155"/>
                              </a:cubicBezTo>
                              <a:lnTo>
                                <a:pt x="8156" y="12155"/>
                              </a:lnTo>
                              <a:cubicBezTo>
                                <a:pt x="8057" y="12274"/>
                                <a:pt x="7977" y="12374"/>
                                <a:pt x="7878" y="12433"/>
                              </a:cubicBezTo>
                              <a:cubicBezTo>
                                <a:pt x="7798" y="12513"/>
                                <a:pt x="7699" y="12573"/>
                                <a:pt x="7599" y="12592"/>
                              </a:cubicBezTo>
                              <a:cubicBezTo>
                                <a:pt x="7500" y="12632"/>
                                <a:pt x="7420" y="12632"/>
                                <a:pt x="7361" y="12632"/>
                              </a:cubicBezTo>
                              <a:lnTo>
                                <a:pt x="7321" y="12632"/>
                              </a:lnTo>
                              <a:cubicBezTo>
                                <a:pt x="7321" y="12453"/>
                                <a:pt x="7361" y="12274"/>
                                <a:pt x="7480" y="12095"/>
                              </a:cubicBezTo>
                              <a:cubicBezTo>
                                <a:pt x="7520" y="12035"/>
                                <a:pt x="7559" y="11976"/>
                                <a:pt x="7619" y="11936"/>
                              </a:cubicBezTo>
                              <a:close/>
                              <a:moveTo>
                                <a:pt x="2149" y="12433"/>
                              </a:moveTo>
                              <a:cubicBezTo>
                                <a:pt x="2288" y="12533"/>
                                <a:pt x="2527" y="12791"/>
                                <a:pt x="2507" y="13110"/>
                              </a:cubicBezTo>
                              <a:lnTo>
                                <a:pt x="2407" y="13110"/>
                              </a:lnTo>
                              <a:cubicBezTo>
                                <a:pt x="2367" y="13110"/>
                                <a:pt x="2328" y="13110"/>
                                <a:pt x="2268" y="13090"/>
                              </a:cubicBezTo>
                              <a:cubicBezTo>
                                <a:pt x="2069" y="13070"/>
                                <a:pt x="1870" y="12951"/>
                                <a:pt x="1671" y="12752"/>
                              </a:cubicBezTo>
                              <a:cubicBezTo>
                                <a:pt x="1704" y="12745"/>
                                <a:pt x="1746" y="12741"/>
                                <a:pt x="1795" y="12741"/>
                              </a:cubicBezTo>
                              <a:cubicBezTo>
                                <a:pt x="1892" y="12741"/>
                                <a:pt x="2016" y="12758"/>
                                <a:pt x="2149" y="12811"/>
                              </a:cubicBezTo>
                              <a:cubicBezTo>
                                <a:pt x="2169" y="12811"/>
                                <a:pt x="2188" y="12811"/>
                                <a:pt x="2208" y="12791"/>
                              </a:cubicBezTo>
                              <a:cubicBezTo>
                                <a:pt x="2228" y="12791"/>
                                <a:pt x="2228" y="12752"/>
                                <a:pt x="2228" y="12732"/>
                              </a:cubicBezTo>
                              <a:cubicBezTo>
                                <a:pt x="2228" y="12732"/>
                                <a:pt x="2169" y="12592"/>
                                <a:pt x="2149" y="12433"/>
                              </a:cubicBezTo>
                              <a:close/>
                              <a:moveTo>
                                <a:pt x="7221" y="12433"/>
                              </a:moveTo>
                              <a:lnTo>
                                <a:pt x="7221" y="12433"/>
                              </a:lnTo>
                              <a:cubicBezTo>
                                <a:pt x="7201" y="12592"/>
                                <a:pt x="7142" y="12732"/>
                                <a:pt x="7142" y="12732"/>
                              </a:cubicBezTo>
                              <a:cubicBezTo>
                                <a:pt x="7122" y="12752"/>
                                <a:pt x="7142" y="12772"/>
                                <a:pt x="7162" y="12791"/>
                              </a:cubicBezTo>
                              <a:cubicBezTo>
                                <a:pt x="7162" y="12811"/>
                                <a:pt x="7201" y="12811"/>
                                <a:pt x="7221" y="12811"/>
                              </a:cubicBezTo>
                              <a:cubicBezTo>
                                <a:pt x="7354" y="12758"/>
                                <a:pt x="7469" y="12741"/>
                                <a:pt x="7566" y="12741"/>
                              </a:cubicBezTo>
                              <a:cubicBezTo>
                                <a:pt x="7615" y="12741"/>
                                <a:pt x="7659" y="12745"/>
                                <a:pt x="7699" y="12752"/>
                              </a:cubicBezTo>
                              <a:cubicBezTo>
                                <a:pt x="7440" y="12990"/>
                                <a:pt x="7221" y="13070"/>
                                <a:pt x="7102" y="13110"/>
                              </a:cubicBezTo>
                              <a:lnTo>
                                <a:pt x="6863" y="13110"/>
                              </a:lnTo>
                              <a:cubicBezTo>
                                <a:pt x="6843" y="12931"/>
                                <a:pt x="6923" y="12752"/>
                                <a:pt x="7062" y="12573"/>
                              </a:cubicBezTo>
                              <a:cubicBezTo>
                                <a:pt x="7102" y="12533"/>
                                <a:pt x="7162" y="12473"/>
                                <a:pt x="7221" y="12433"/>
                              </a:cubicBezTo>
                              <a:close/>
                              <a:moveTo>
                                <a:pt x="4160" y="13918"/>
                              </a:moveTo>
                              <a:lnTo>
                                <a:pt x="4160" y="13918"/>
                              </a:lnTo>
                              <a:cubicBezTo>
                                <a:pt x="4166" y="13921"/>
                                <a:pt x="4172" y="13923"/>
                                <a:pt x="4178" y="13925"/>
                              </a:cubicBezTo>
                              <a:cubicBezTo>
                                <a:pt x="4172" y="13923"/>
                                <a:pt x="4166" y="13920"/>
                                <a:pt x="4160" y="13918"/>
                              </a:cubicBezTo>
                              <a:close/>
                              <a:moveTo>
                                <a:pt x="4675" y="0"/>
                              </a:moveTo>
                              <a:cubicBezTo>
                                <a:pt x="4635" y="0"/>
                                <a:pt x="4595" y="40"/>
                                <a:pt x="4576" y="100"/>
                              </a:cubicBezTo>
                              <a:lnTo>
                                <a:pt x="4496" y="657"/>
                              </a:lnTo>
                              <a:cubicBezTo>
                                <a:pt x="4496" y="577"/>
                                <a:pt x="4456" y="518"/>
                                <a:pt x="4436" y="438"/>
                              </a:cubicBezTo>
                              <a:cubicBezTo>
                                <a:pt x="4377" y="219"/>
                                <a:pt x="4257" y="100"/>
                                <a:pt x="4257" y="100"/>
                              </a:cubicBezTo>
                              <a:cubicBezTo>
                                <a:pt x="4245" y="75"/>
                                <a:pt x="4218" y="58"/>
                                <a:pt x="4189" y="58"/>
                              </a:cubicBezTo>
                              <a:cubicBezTo>
                                <a:pt x="4171" y="58"/>
                                <a:pt x="4153" y="65"/>
                                <a:pt x="4138" y="80"/>
                              </a:cubicBezTo>
                              <a:cubicBezTo>
                                <a:pt x="4098" y="100"/>
                                <a:pt x="4078" y="140"/>
                                <a:pt x="4098" y="199"/>
                              </a:cubicBezTo>
                              <a:cubicBezTo>
                                <a:pt x="4178" y="418"/>
                                <a:pt x="4158" y="518"/>
                                <a:pt x="4138" y="657"/>
                              </a:cubicBezTo>
                              <a:cubicBezTo>
                                <a:pt x="4138" y="677"/>
                                <a:pt x="4138" y="697"/>
                                <a:pt x="4138" y="736"/>
                              </a:cubicBezTo>
                              <a:lnTo>
                                <a:pt x="3840" y="239"/>
                              </a:lnTo>
                              <a:cubicBezTo>
                                <a:pt x="3825" y="210"/>
                                <a:pt x="3789" y="192"/>
                                <a:pt x="3755" y="192"/>
                              </a:cubicBezTo>
                              <a:cubicBezTo>
                                <a:pt x="3743" y="192"/>
                                <a:pt x="3731" y="194"/>
                                <a:pt x="3720" y="199"/>
                              </a:cubicBezTo>
                              <a:cubicBezTo>
                                <a:pt x="3680" y="219"/>
                                <a:pt x="3641" y="279"/>
                                <a:pt x="3661" y="319"/>
                              </a:cubicBezTo>
                              <a:lnTo>
                                <a:pt x="3800" y="856"/>
                              </a:lnTo>
                              <a:cubicBezTo>
                                <a:pt x="3760" y="816"/>
                                <a:pt x="3720" y="756"/>
                                <a:pt x="3661" y="697"/>
                              </a:cubicBezTo>
                              <a:cubicBezTo>
                                <a:pt x="3501" y="518"/>
                                <a:pt x="3362" y="458"/>
                                <a:pt x="3362" y="438"/>
                              </a:cubicBezTo>
                              <a:cubicBezTo>
                                <a:pt x="3351" y="433"/>
                                <a:pt x="3339" y="430"/>
                                <a:pt x="3327" y="430"/>
                              </a:cubicBezTo>
                              <a:cubicBezTo>
                                <a:pt x="3293" y="430"/>
                                <a:pt x="3257" y="449"/>
                                <a:pt x="3243" y="478"/>
                              </a:cubicBezTo>
                              <a:cubicBezTo>
                                <a:pt x="3203" y="518"/>
                                <a:pt x="3203" y="557"/>
                                <a:pt x="3243" y="597"/>
                              </a:cubicBezTo>
                              <a:cubicBezTo>
                                <a:pt x="3402" y="776"/>
                                <a:pt x="3422" y="876"/>
                                <a:pt x="3462" y="1015"/>
                              </a:cubicBezTo>
                              <a:cubicBezTo>
                                <a:pt x="3481" y="1035"/>
                                <a:pt x="3481" y="1055"/>
                                <a:pt x="3481" y="1075"/>
                              </a:cubicBezTo>
                              <a:lnTo>
                                <a:pt x="3024" y="736"/>
                              </a:lnTo>
                              <a:cubicBezTo>
                                <a:pt x="3007" y="728"/>
                                <a:pt x="2991" y="723"/>
                                <a:pt x="2975" y="723"/>
                              </a:cubicBezTo>
                              <a:cubicBezTo>
                                <a:pt x="2951" y="723"/>
                                <a:pt x="2928" y="733"/>
                                <a:pt x="2905" y="756"/>
                              </a:cubicBezTo>
                              <a:cubicBezTo>
                                <a:pt x="2865" y="796"/>
                                <a:pt x="2865" y="836"/>
                                <a:pt x="2885" y="876"/>
                              </a:cubicBezTo>
                              <a:lnTo>
                                <a:pt x="3223" y="1333"/>
                              </a:lnTo>
                              <a:cubicBezTo>
                                <a:pt x="3183" y="1313"/>
                                <a:pt x="3104" y="1274"/>
                                <a:pt x="3024" y="1234"/>
                              </a:cubicBezTo>
                              <a:cubicBezTo>
                                <a:pt x="2825" y="1134"/>
                                <a:pt x="2666" y="1114"/>
                                <a:pt x="2666" y="1114"/>
                              </a:cubicBezTo>
                              <a:cubicBezTo>
                                <a:pt x="2606" y="1114"/>
                                <a:pt x="2566" y="1154"/>
                                <a:pt x="2547" y="1194"/>
                              </a:cubicBezTo>
                              <a:cubicBezTo>
                                <a:pt x="2547" y="1234"/>
                                <a:pt x="2566" y="1293"/>
                                <a:pt x="2606" y="1313"/>
                              </a:cubicBezTo>
                              <a:cubicBezTo>
                                <a:pt x="2825" y="1413"/>
                                <a:pt x="2885" y="1492"/>
                                <a:pt x="2984" y="1592"/>
                              </a:cubicBezTo>
                              <a:cubicBezTo>
                                <a:pt x="2984" y="1612"/>
                                <a:pt x="3004" y="1632"/>
                                <a:pt x="3024" y="1651"/>
                              </a:cubicBezTo>
                              <a:lnTo>
                                <a:pt x="2467" y="1512"/>
                              </a:lnTo>
                              <a:cubicBezTo>
                                <a:pt x="2460" y="1509"/>
                                <a:pt x="2452" y="1507"/>
                                <a:pt x="2443" y="1507"/>
                              </a:cubicBezTo>
                              <a:cubicBezTo>
                                <a:pt x="2407" y="1507"/>
                                <a:pt x="2364" y="1539"/>
                                <a:pt x="2348" y="1572"/>
                              </a:cubicBezTo>
                              <a:cubicBezTo>
                                <a:pt x="2328" y="1612"/>
                                <a:pt x="2348" y="1671"/>
                                <a:pt x="2387" y="1691"/>
                              </a:cubicBezTo>
                              <a:lnTo>
                                <a:pt x="2885" y="1990"/>
                              </a:lnTo>
                              <a:cubicBezTo>
                                <a:pt x="2825" y="1970"/>
                                <a:pt x="2745" y="1970"/>
                                <a:pt x="2666" y="1970"/>
                              </a:cubicBezTo>
                              <a:cubicBezTo>
                                <a:pt x="2618" y="1966"/>
                                <a:pt x="2574" y="1964"/>
                                <a:pt x="2535" y="1964"/>
                              </a:cubicBezTo>
                              <a:cubicBezTo>
                                <a:pt x="2376" y="1964"/>
                                <a:pt x="2284" y="1990"/>
                                <a:pt x="2268" y="1990"/>
                              </a:cubicBezTo>
                              <a:cubicBezTo>
                                <a:pt x="2228" y="2010"/>
                                <a:pt x="2208" y="2049"/>
                                <a:pt x="2208" y="2109"/>
                              </a:cubicBezTo>
                              <a:cubicBezTo>
                                <a:pt x="2208" y="2149"/>
                                <a:pt x="2248" y="2189"/>
                                <a:pt x="2308" y="2189"/>
                              </a:cubicBezTo>
                              <a:cubicBezTo>
                                <a:pt x="2547" y="2208"/>
                                <a:pt x="2626" y="2248"/>
                                <a:pt x="2745" y="2308"/>
                              </a:cubicBezTo>
                              <a:cubicBezTo>
                                <a:pt x="2765" y="2328"/>
                                <a:pt x="2785" y="2348"/>
                                <a:pt x="2805" y="2348"/>
                              </a:cubicBezTo>
                              <a:lnTo>
                                <a:pt x="2248" y="2427"/>
                              </a:lnTo>
                              <a:cubicBezTo>
                                <a:pt x="2208" y="2447"/>
                                <a:pt x="2169" y="2487"/>
                                <a:pt x="2169" y="2527"/>
                              </a:cubicBezTo>
                              <a:cubicBezTo>
                                <a:pt x="2169" y="2586"/>
                                <a:pt x="2208" y="2626"/>
                                <a:pt x="2248" y="2626"/>
                              </a:cubicBezTo>
                              <a:lnTo>
                                <a:pt x="2825" y="2706"/>
                              </a:lnTo>
                              <a:cubicBezTo>
                                <a:pt x="2745" y="2726"/>
                                <a:pt x="2686" y="2746"/>
                                <a:pt x="2586" y="2785"/>
                              </a:cubicBezTo>
                              <a:cubicBezTo>
                                <a:pt x="2387" y="2845"/>
                                <a:pt x="2268" y="2964"/>
                                <a:pt x="2248" y="2964"/>
                              </a:cubicBezTo>
                              <a:cubicBezTo>
                                <a:pt x="2228" y="2984"/>
                                <a:pt x="2208" y="3044"/>
                                <a:pt x="2228" y="3084"/>
                              </a:cubicBezTo>
                              <a:cubicBezTo>
                                <a:pt x="2257" y="3113"/>
                                <a:pt x="2286" y="3131"/>
                                <a:pt x="2316" y="3131"/>
                              </a:cubicBezTo>
                              <a:cubicBezTo>
                                <a:pt x="2326" y="3131"/>
                                <a:pt x="2337" y="3129"/>
                                <a:pt x="2348" y="3124"/>
                              </a:cubicBezTo>
                              <a:cubicBezTo>
                                <a:pt x="2487" y="3084"/>
                                <a:pt x="2586" y="3064"/>
                                <a:pt x="2646" y="3064"/>
                              </a:cubicBezTo>
                              <a:cubicBezTo>
                                <a:pt x="2527" y="3163"/>
                                <a:pt x="2447" y="3263"/>
                                <a:pt x="2407" y="3303"/>
                              </a:cubicBezTo>
                              <a:cubicBezTo>
                                <a:pt x="2387" y="3342"/>
                                <a:pt x="2367" y="3362"/>
                                <a:pt x="2348" y="3402"/>
                              </a:cubicBezTo>
                              <a:cubicBezTo>
                                <a:pt x="2328" y="3382"/>
                                <a:pt x="2308" y="3362"/>
                                <a:pt x="2308" y="3362"/>
                              </a:cubicBezTo>
                              <a:cubicBezTo>
                                <a:pt x="2268" y="3362"/>
                                <a:pt x="2248" y="3362"/>
                                <a:pt x="2228" y="3382"/>
                              </a:cubicBezTo>
                              <a:cubicBezTo>
                                <a:pt x="2069" y="3501"/>
                                <a:pt x="1930" y="3641"/>
                                <a:pt x="1850" y="3780"/>
                              </a:cubicBezTo>
                              <a:cubicBezTo>
                                <a:pt x="1810" y="3820"/>
                                <a:pt x="1791" y="3860"/>
                                <a:pt x="1771" y="3899"/>
                              </a:cubicBezTo>
                              <a:cubicBezTo>
                                <a:pt x="1771" y="3879"/>
                                <a:pt x="1751" y="3879"/>
                                <a:pt x="1731" y="3860"/>
                              </a:cubicBezTo>
                              <a:cubicBezTo>
                                <a:pt x="1691" y="3860"/>
                                <a:pt x="1671" y="3879"/>
                                <a:pt x="1651" y="3899"/>
                              </a:cubicBezTo>
                              <a:cubicBezTo>
                                <a:pt x="1512" y="4039"/>
                                <a:pt x="1413" y="4198"/>
                                <a:pt x="1333" y="4337"/>
                              </a:cubicBezTo>
                              <a:cubicBezTo>
                                <a:pt x="1333" y="4377"/>
                                <a:pt x="1313" y="4417"/>
                                <a:pt x="1293" y="4476"/>
                              </a:cubicBezTo>
                              <a:cubicBezTo>
                                <a:pt x="1273" y="4456"/>
                                <a:pt x="1254" y="4456"/>
                                <a:pt x="1234" y="4436"/>
                              </a:cubicBezTo>
                              <a:cubicBezTo>
                                <a:pt x="1214" y="4436"/>
                                <a:pt x="1194" y="4456"/>
                                <a:pt x="1174" y="4476"/>
                              </a:cubicBezTo>
                              <a:cubicBezTo>
                                <a:pt x="1055" y="4635"/>
                                <a:pt x="975" y="4795"/>
                                <a:pt x="915" y="4954"/>
                              </a:cubicBezTo>
                              <a:cubicBezTo>
                                <a:pt x="915" y="5013"/>
                                <a:pt x="895" y="5053"/>
                                <a:pt x="895" y="5093"/>
                              </a:cubicBezTo>
                              <a:cubicBezTo>
                                <a:pt x="876" y="5073"/>
                                <a:pt x="856" y="5053"/>
                                <a:pt x="836" y="5053"/>
                              </a:cubicBezTo>
                              <a:cubicBezTo>
                                <a:pt x="796" y="5073"/>
                                <a:pt x="776" y="5073"/>
                                <a:pt x="756" y="5113"/>
                              </a:cubicBezTo>
                              <a:cubicBezTo>
                                <a:pt x="677" y="5272"/>
                                <a:pt x="617" y="5451"/>
                                <a:pt x="597" y="5630"/>
                              </a:cubicBezTo>
                              <a:cubicBezTo>
                                <a:pt x="577" y="5670"/>
                                <a:pt x="577" y="5710"/>
                                <a:pt x="577" y="5749"/>
                              </a:cubicBezTo>
                              <a:cubicBezTo>
                                <a:pt x="557" y="5729"/>
                                <a:pt x="537" y="5729"/>
                                <a:pt x="517" y="5729"/>
                              </a:cubicBezTo>
                              <a:cubicBezTo>
                                <a:pt x="478" y="5729"/>
                                <a:pt x="458" y="5749"/>
                                <a:pt x="458" y="5789"/>
                              </a:cubicBezTo>
                              <a:cubicBezTo>
                                <a:pt x="378" y="5968"/>
                                <a:pt x="338" y="6147"/>
                                <a:pt x="338" y="6306"/>
                              </a:cubicBezTo>
                              <a:cubicBezTo>
                                <a:pt x="338" y="6346"/>
                                <a:pt x="338" y="6406"/>
                                <a:pt x="338" y="6446"/>
                              </a:cubicBezTo>
                              <a:cubicBezTo>
                                <a:pt x="319" y="6426"/>
                                <a:pt x="299" y="6426"/>
                                <a:pt x="279" y="6426"/>
                              </a:cubicBezTo>
                              <a:cubicBezTo>
                                <a:pt x="259" y="6446"/>
                                <a:pt x="239" y="6466"/>
                                <a:pt x="239" y="6485"/>
                              </a:cubicBezTo>
                              <a:cubicBezTo>
                                <a:pt x="179" y="6684"/>
                                <a:pt x="179" y="6863"/>
                                <a:pt x="179" y="7042"/>
                              </a:cubicBezTo>
                              <a:cubicBezTo>
                                <a:pt x="199" y="7062"/>
                                <a:pt x="199" y="7102"/>
                                <a:pt x="199" y="7122"/>
                              </a:cubicBezTo>
                              <a:lnTo>
                                <a:pt x="159" y="7122"/>
                              </a:lnTo>
                              <a:cubicBezTo>
                                <a:pt x="140" y="7142"/>
                                <a:pt x="120" y="7162"/>
                                <a:pt x="120" y="7182"/>
                              </a:cubicBezTo>
                              <a:cubicBezTo>
                                <a:pt x="80" y="7381"/>
                                <a:pt x="80" y="7580"/>
                                <a:pt x="100" y="7739"/>
                              </a:cubicBezTo>
                              <a:cubicBezTo>
                                <a:pt x="120" y="7778"/>
                                <a:pt x="120" y="7818"/>
                                <a:pt x="140" y="7858"/>
                              </a:cubicBezTo>
                              <a:cubicBezTo>
                                <a:pt x="120" y="7858"/>
                                <a:pt x="100" y="7858"/>
                                <a:pt x="100" y="7878"/>
                              </a:cubicBezTo>
                              <a:cubicBezTo>
                                <a:pt x="80" y="7878"/>
                                <a:pt x="60" y="7898"/>
                                <a:pt x="60" y="7938"/>
                              </a:cubicBezTo>
                              <a:cubicBezTo>
                                <a:pt x="20" y="8137"/>
                                <a:pt x="40" y="8316"/>
                                <a:pt x="80" y="8475"/>
                              </a:cubicBezTo>
                              <a:cubicBezTo>
                                <a:pt x="80" y="8514"/>
                                <a:pt x="80" y="8554"/>
                                <a:pt x="100" y="8574"/>
                              </a:cubicBezTo>
                              <a:cubicBezTo>
                                <a:pt x="80" y="8574"/>
                                <a:pt x="60" y="8594"/>
                                <a:pt x="40" y="8594"/>
                              </a:cubicBezTo>
                              <a:cubicBezTo>
                                <a:pt x="20" y="8614"/>
                                <a:pt x="0" y="8634"/>
                                <a:pt x="0" y="8654"/>
                              </a:cubicBezTo>
                              <a:cubicBezTo>
                                <a:pt x="0" y="8853"/>
                                <a:pt x="40" y="9052"/>
                                <a:pt x="80" y="9211"/>
                              </a:cubicBezTo>
                              <a:cubicBezTo>
                                <a:pt x="100" y="9250"/>
                                <a:pt x="120" y="9290"/>
                                <a:pt x="140" y="9330"/>
                              </a:cubicBezTo>
                              <a:lnTo>
                                <a:pt x="120" y="9330"/>
                              </a:lnTo>
                              <a:cubicBezTo>
                                <a:pt x="100" y="9330"/>
                                <a:pt x="80" y="9330"/>
                                <a:pt x="60" y="9350"/>
                              </a:cubicBezTo>
                              <a:cubicBezTo>
                                <a:pt x="40" y="9370"/>
                                <a:pt x="20" y="9390"/>
                                <a:pt x="20" y="9430"/>
                              </a:cubicBezTo>
                              <a:cubicBezTo>
                                <a:pt x="60" y="9628"/>
                                <a:pt x="120" y="9788"/>
                                <a:pt x="199" y="9947"/>
                              </a:cubicBezTo>
                              <a:cubicBezTo>
                                <a:pt x="219" y="9967"/>
                                <a:pt x="239" y="10006"/>
                                <a:pt x="239" y="10026"/>
                              </a:cubicBezTo>
                              <a:cubicBezTo>
                                <a:pt x="239" y="10026"/>
                                <a:pt x="219" y="10026"/>
                                <a:pt x="219" y="10046"/>
                              </a:cubicBezTo>
                              <a:cubicBezTo>
                                <a:pt x="199" y="10066"/>
                                <a:pt x="179" y="10086"/>
                                <a:pt x="199" y="10126"/>
                              </a:cubicBezTo>
                              <a:cubicBezTo>
                                <a:pt x="239" y="10305"/>
                                <a:pt x="299" y="10484"/>
                                <a:pt x="398" y="10623"/>
                              </a:cubicBezTo>
                              <a:cubicBezTo>
                                <a:pt x="418" y="10663"/>
                                <a:pt x="438" y="10683"/>
                                <a:pt x="458" y="10723"/>
                              </a:cubicBezTo>
                              <a:cubicBezTo>
                                <a:pt x="438" y="10723"/>
                                <a:pt x="418" y="10742"/>
                                <a:pt x="418" y="10762"/>
                              </a:cubicBezTo>
                              <a:cubicBezTo>
                                <a:pt x="398" y="10782"/>
                                <a:pt x="398" y="10802"/>
                                <a:pt x="398" y="10822"/>
                              </a:cubicBezTo>
                              <a:cubicBezTo>
                                <a:pt x="478" y="11021"/>
                                <a:pt x="557" y="11180"/>
                                <a:pt x="657" y="11319"/>
                              </a:cubicBezTo>
                              <a:cubicBezTo>
                                <a:pt x="697" y="11339"/>
                                <a:pt x="716" y="11359"/>
                                <a:pt x="736" y="11399"/>
                              </a:cubicBezTo>
                              <a:cubicBezTo>
                                <a:pt x="716" y="11399"/>
                                <a:pt x="697" y="11419"/>
                                <a:pt x="697" y="11439"/>
                              </a:cubicBezTo>
                              <a:cubicBezTo>
                                <a:pt x="677" y="11459"/>
                                <a:pt x="677" y="11478"/>
                                <a:pt x="697" y="11498"/>
                              </a:cubicBezTo>
                              <a:cubicBezTo>
                                <a:pt x="776" y="11677"/>
                                <a:pt x="895" y="11837"/>
                                <a:pt x="1015" y="11956"/>
                              </a:cubicBezTo>
                              <a:cubicBezTo>
                                <a:pt x="1035" y="11976"/>
                                <a:pt x="1055" y="11996"/>
                                <a:pt x="1094" y="12016"/>
                              </a:cubicBezTo>
                              <a:cubicBezTo>
                                <a:pt x="1074" y="12035"/>
                                <a:pt x="1055" y="12035"/>
                                <a:pt x="1055" y="12055"/>
                              </a:cubicBezTo>
                              <a:cubicBezTo>
                                <a:pt x="1035" y="12095"/>
                                <a:pt x="1035" y="12115"/>
                                <a:pt x="1055" y="12135"/>
                              </a:cubicBezTo>
                              <a:cubicBezTo>
                                <a:pt x="1154" y="12314"/>
                                <a:pt x="1293" y="12453"/>
                                <a:pt x="1413" y="12553"/>
                              </a:cubicBezTo>
                              <a:cubicBezTo>
                                <a:pt x="1452" y="12573"/>
                                <a:pt x="1492" y="12612"/>
                                <a:pt x="1552" y="12632"/>
                              </a:cubicBezTo>
                              <a:lnTo>
                                <a:pt x="1532" y="12632"/>
                              </a:lnTo>
                              <a:cubicBezTo>
                                <a:pt x="1492" y="12652"/>
                                <a:pt x="1472" y="12672"/>
                                <a:pt x="1472" y="12692"/>
                              </a:cubicBezTo>
                              <a:cubicBezTo>
                                <a:pt x="1472" y="12712"/>
                                <a:pt x="1472" y="12752"/>
                                <a:pt x="1492" y="12772"/>
                              </a:cubicBezTo>
                              <a:cubicBezTo>
                                <a:pt x="1631" y="12911"/>
                                <a:pt x="1771" y="13030"/>
                                <a:pt x="1910" y="13110"/>
                              </a:cubicBezTo>
                              <a:cubicBezTo>
                                <a:pt x="2029" y="13169"/>
                                <a:pt x="2149" y="13209"/>
                                <a:pt x="2268" y="13229"/>
                              </a:cubicBezTo>
                              <a:cubicBezTo>
                                <a:pt x="2318" y="13239"/>
                                <a:pt x="2367" y="13244"/>
                                <a:pt x="2415" y="13244"/>
                              </a:cubicBezTo>
                              <a:cubicBezTo>
                                <a:pt x="2462" y="13244"/>
                                <a:pt x="2507" y="13239"/>
                                <a:pt x="2547" y="13229"/>
                              </a:cubicBezTo>
                              <a:lnTo>
                                <a:pt x="2566" y="13229"/>
                              </a:lnTo>
                              <a:cubicBezTo>
                                <a:pt x="2805" y="13408"/>
                                <a:pt x="3084" y="13547"/>
                                <a:pt x="3342" y="13667"/>
                              </a:cubicBezTo>
                              <a:cubicBezTo>
                                <a:pt x="3561" y="13766"/>
                                <a:pt x="3800" y="13846"/>
                                <a:pt x="4038" y="13886"/>
                              </a:cubicBezTo>
                              <a:cubicBezTo>
                                <a:pt x="4073" y="13903"/>
                                <a:pt x="4122" y="13905"/>
                                <a:pt x="4160" y="13918"/>
                              </a:cubicBezTo>
                              <a:lnTo>
                                <a:pt x="4160" y="13918"/>
                              </a:lnTo>
                              <a:cubicBezTo>
                                <a:pt x="4067" y="13878"/>
                                <a:pt x="3974" y="13821"/>
                                <a:pt x="3899" y="13746"/>
                              </a:cubicBezTo>
                              <a:cubicBezTo>
                                <a:pt x="3899" y="13726"/>
                                <a:pt x="3879" y="13706"/>
                                <a:pt x="3879" y="13706"/>
                              </a:cubicBezTo>
                              <a:cubicBezTo>
                                <a:pt x="3720" y="13647"/>
                                <a:pt x="3561" y="13607"/>
                                <a:pt x="3402" y="13527"/>
                              </a:cubicBezTo>
                              <a:cubicBezTo>
                                <a:pt x="3143" y="13428"/>
                                <a:pt x="2885" y="13289"/>
                                <a:pt x="2666" y="13110"/>
                              </a:cubicBezTo>
                              <a:cubicBezTo>
                                <a:pt x="2666" y="13030"/>
                                <a:pt x="2646" y="12951"/>
                                <a:pt x="2626" y="12871"/>
                              </a:cubicBezTo>
                              <a:lnTo>
                                <a:pt x="2626" y="12871"/>
                              </a:lnTo>
                              <a:cubicBezTo>
                                <a:pt x="2805" y="13010"/>
                                <a:pt x="2964" y="13110"/>
                                <a:pt x="3123" y="13209"/>
                              </a:cubicBezTo>
                              <a:cubicBezTo>
                                <a:pt x="3342" y="13329"/>
                                <a:pt x="3581" y="13428"/>
                                <a:pt x="3820" y="13508"/>
                              </a:cubicBezTo>
                              <a:cubicBezTo>
                                <a:pt x="3820" y="13488"/>
                                <a:pt x="3820" y="13468"/>
                                <a:pt x="3820" y="13468"/>
                              </a:cubicBezTo>
                              <a:cubicBezTo>
                                <a:pt x="3840" y="13428"/>
                                <a:pt x="3840" y="13388"/>
                                <a:pt x="3859" y="13348"/>
                              </a:cubicBezTo>
                              <a:cubicBezTo>
                                <a:pt x="3641" y="13289"/>
                                <a:pt x="3422" y="13189"/>
                                <a:pt x="3203" y="13070"/>
                              </a:cubicBezTo>
                              <a:cubicBezTo>
                                <a:pt x="2745" y="12811"/>
                                <a:pt x="2348" y="12453"/>
                                <a:pt x="1990" y="11996"/>
                              </a:cubicBezTo>
                              <a:cubicBezTo>
                                <a:pt x="1870" y="11837"/>
                                <a:pt x="1751" y="11658"/>
                                <a:pt x="1651" y="11478"/>
                              </a:cubicBezTo>
                              <a:cubicBezTo>
                                <a:pt x="1930" y="11359"/>
                                <a:pt x="2527" y="11081"/>
                                <a:pt x="3044" y="10822"/>
                              </a:cubicBezTo>
                              <a:cubicBezTo>
                                <a:pt x="3064" y="10842"/>
                                <a:pt x="3064" y="10862"/>
                                <a:pt x="3064" y="10882"/>
                              </a:cubicBezTo>
                              <a:cubicBezTo>
                                <a:pt x="3123" y="10981"/>
                                <a:pt x="3243" y="11021"/>
                                <a:pt x="3322" y="11041"/>
                              </a:cubicBezTo>
                              <a:lnTo>
                                <a:pt x="3402" y="11041"/>
                              </a:lnTo>
                              <a:cubicBezTo>
                                <a:pt x="3442" y="11140"/>
                                <a:pt x="3521" y="11200"/>
                                <a:pt x="3621" y="11240"/>
                              </a:cubicBezTo>
                              <a:cubicBezTo>
                                <a:pt x="3661" y="11240"/>
                                <a:pt x="3700" y="11260"/>
                                <a:pt x="3740" y="11260"/>
                              </a:cubicBezTo>
                              <a:cubicBezTo>
                                <a:pt x="3760" y="11299"/>
                                <a:pt x="3800" y="11339"/>
                                <a:pt x="3840" y="11379"/>
                              </a:cubicBezTo>
                              <a:cubicBezTo>
                                <a:pt x="3903" y="11417"/>
                                <a:pt x="3982" y="11431"/>
                                <a:pt x="4051" y="11431"/>
                              </a:cubicBezTo>
                              <a:cubicBezTo>
                                <a:pt x="4092" y="11431"/>
                                <a:pt x="4129" y="11426"/>
                                <a:pt x="4158" y="11419"/>
                              </a:cubicBezTo>
                              <a:cubicBezTo>
                                <a:pt x="4218" y="11478"/>
                                <a:pt x="4277" y="11518"/>
                                <a:pt x="4337" y="11538"/>
                              </a:cubicBezTo>
                              <a:lnTo>
                                <a:pt x="4397" y="11538"/>
                              </a:lnTo>
                              <a:cubicBezTo>
                                <a:pt x="4456" y="11538"/>
                                <a:pt x="4516" y="11518"/>
                                <a:pt x="4556" y="11498"/>
                              </a:cubicBezTo>
                              <a:lnTo>
                                <a:pt x="4556" y="12453"/>
                              </a:lnTo>
                              <a:cubicBezTo>
                                <a:pt x="4556" y="12513"/>
                                <a:pt x="4615" y="12573"/>
                                <a:pt x="4695" y="12573"/>
                              </a:cubicBezTo>
                              <a:cubicBezTo>
                                <a:pt x="4755" y="12573"/>
                                <a:pt x="4814" y="12513"/>
                                <a:pt x="4814" y="12453"/>
                              </a:cubicBezTo>
                              <a:lnTo>
                                <a:pt x="4814" y="11459"/>
                              </a:lnTo>
                              <a:cubicBezTo>
                                <a:pt x="4849" y="11464"/>
                                <a:pt x="4883" y="11467"/>
                                <a:pt x="4914" y="11467"/>
                              </a:cubicBezTo>
                              <a:cubicBezTo>
                                <a:pt x="4990" y="11467"/>
                                <a:pt x="5056" y="11453"/>
                                <a:pt x="5113" y="11439"/>
                              </a:cubicBezTo>
                              <a:cubicBezTo>
                                <a:pt x="5172" y="11419"/>
                                <a:pt x="5212" y="11379"/>
                                <a:pt x="5232" y="11359"/>
                              </a:cubicBezTo>
                              <a:cubicBezTo>
                                <a:pt x="5259" y="11364"/>
                                <a:pt x="5286" y="11366"/>
                                <a:pt x="5312" y="11366"/>
                              </a:cubicBezTo>
                              <a:cubicBezTo>
                                <a:pt x="5403" y="11366"/>
                                <a:pt x="5489" y="11337"/>
                                <a:pt x="5550" y="11260"/>
                              </a:cubicBezTo>
                              <a:cubicBezTo>
                                <a:pt x="5590" y="11240"/>
                                <a:pt x="5610" y="11200"/>
                                <a:pt x="5610" y="11180"/>
                              </a:cubicBezTo>
                              <a:cubicBezTo>
                                <a:pt x="5789" y="11180"/>
                                <a:pt x="5888" y="11120"/>
                                <a:pt x="5948" y="11061"/>
                              </a:cubicBezTo>
                              <a:cubicBezTo>
                                <a:pt x="5968" y="11021"/>
                                <a:pt x="5988" y="10981"/>
                                <a:pt x="6008" y="10961"/>
                              </a:cubicBezTo>
                              <a:cubicBezTo>
                                <a:pt x="6107" y="10941"/>
                                <a:pt x="6187" y="10921"/>
                                <a:pt x="6247" y="10862"/>
                              </a:cubicBezTo>
                              <a:cubicBezTo>
                                <a:pt x="6286" y="10822"/>
                                <a:pt x="6306" y="10802"/>
                                <a:pt x="6326" y="10762"/>
                              </a:cubicBezTo>
                              <a:cubicBezTo>
                                <a:pt x="6744" y="11101"/>
                                <a:pt x="7400" y="11379"/>
                                <a:pt x="7719" y="11498"/>
                              </a:cubicBezTo>
                              <a:cubicBezTo>
                                <a:pt x="7619" y="11677"/>
                                <a:pt x="7500" y="11837"/>
                                <a:pt x="7380" y="11996"/>
                              </a:cubicBezTo>
                              <a:cubicBezTo>
                                <a:pt x="7042" y="12453"/>
                                <a:pt x="6625" y="12811"/>
                                <a:pt x="6167" y="13070"/>
                              </a:cubicBezTo>
                              <a:cubicBezTo>
                                <a:pt x="5948" y="13189"/>
                                <a:pt x="5729" y="13289"/>
                                <a:pt x="5511" y="13348"/>
                              </a:cubicBezTo>
                              <a:cubicBezTo>
                                <a:pt x="5530" y="13388"/>
                                <a:pt x="5550" y="13408"/>
                                <a:pt x="5550" y="13468"/>
                              </a:cubicBezTo>
                              <a:cubicBezTo>
                                <a:pt x="5550" y="13468"/>
                                <a:pt x="5550" y="13488"/>
                                <a:pt x="5550" y="13508"/>
                              </a:cubicBezTo>
                              <a:cubicBezTo>
                                <a:pt x="5789" y="13428"/>
                                <a:pt x="6028" y="13329"/>
                                <a:pt x="6247" y="13209"/>
                              </a:cubicBezTo>
                              <a:cubicBezTo>
                                <a:pt x="6426" y="13110"/>
                                <a:pt x="6605" y="12990"/>
                                <a:pt x="6744" y="12851"/>
                              </a:cubicBezTo>
                              <a:lnTo>
                                <a:pt x="6744" y="12851"/>
                              </a:lnTo>
                              <a:cubicBezTo>
                                <a:pt x="6724" y="12951"/>
                                <a:pt x="6724" y="13030"/>
                                <a:pt x="6724" y="13110"/>
                              </a:cubicBezTo>
                              <a:cubicBezTo>
                                <a:pt x="6644" y="13169"/>
                                <a:pt x="6445" y="13309"/>
                                <a:pt x="6167" y="13448"/>
                              </a:cubicBezTo>
                              <a:cubicBezTo>
                                <a:pt x="5968" y="13547"/>
                                <a:pt x="5749" y="13627"/>
                                <a:pt x="5511" y="13687"/>
                              </a:cubicBezTo>
                              <a:cubicBezTo>
                                <a:pt x="5511" y="13706"/>
                                <a:pt x="5511" y="13706"/>
                                <a:pt x="5491" y="13706"/>
                              </a:cubicBezTo>
                              <a:cubicBezTo>
                                <a:pt x="5491" y="13706"/>
                                <a:pt x="5471" y="13726"/>
                                <a:pt x="5471" y="13746"/>
                              </a:cubicBezTo>
                              <a:cubicBezTo>
                                <a:pt x="5391" y="13826"/>
                                <a:pt x="5292" y="13886"/>
                                <a:pt x="5192" y="13925"/>
                              </a:cubicBezTo>
                              <a:cubicBezTo>
                                <a:pt x="5312" y="13905"/>
                                <a:pt x="5431" y="13866"/>
                                <a:pt x="5570" y="13846"/>
                              </a:cubicBezTo>
                              <a:cubicBezTo>
                                <a:pt x="5789" y="13786"/>
                                <a:pt x="6028" y="13687"/>
                                <a:pt x="6247" y="13587"/>
                              </a:cubicBezTo>
                              <a:cubicBezTo>
                                <a:pt x="6545" y="13428"/>
                                <a:pt x="6744" y="13289"/>
                                <a:pt x="6823" y="13229"/>
                              </a:cubicBezTo>
                              <a:cubicBezTo>
                                <a:pt x="6823" y="13229"/>
                                <a:pt x="6823" y="13229"/>
                                <a:pt x="6823" y="13249"/>
                              </a:cubicBezTo>
                              <a:cubicBezTo>
                                <a:pt x="6903" y="13249"/>
                                <a:pt x="7002" y="13249"/>
                                <a:pt x="7102" y="13229"/>
                              </a:cubicBezTo>
                              <a:cubicBezTo>
                                <a:pt x="7221" y="13209"/>
                                <a:pt x="7341" y="13169"/>
                                <a:pt x="7460" y="13110"/>
                              </a:cubicBezTo>
                              <a:cubicBezTo>
                                <a:pt x="7599" y="13030"/>
                                <a:pt x="7739" y="12911"/>
                                <a:pt x="7878" y="12772"/>
                              </a:cubicBezTo>
                              <a:cubicBezTo>
                                <a:pt x="7898" y="12752"/>
                                <a:pt x="7918" y="12712"/>
                                <a:pt x="7898" y="12692"/>
                              </a:cubicBezTo>
                              <a:cubicBezTo>
                                <a:pt x="7898" y="12672"/>
                                <a:pt x="7878" y="12652"/>
                                <a:pt x="7858" y="12632"/>
                              </a:cubicBezTo>
                              <a:lnTo>
                                <a:pt x="7838" y="12632"/>
                              </a:lnTo>
                              <a:cubicBezTo>
                                <a:pt x="7878" y="12612"/>
                                <a:pt x="7918" y="12573"/>
                                <a:pt x="7977" y="12553"/>
                              </a:cubicBezTo>
                              <a:cubicBezTo>
                                <a:pt x="8097" y="12433"/>
                                <a:pt x="8216" y="12314"/>
                                <a:pt x="8335" y="12135"/>
                              </a:cubicBezTo>
                              <a:cubicBezTo>
                                <a:pt x="8355" y="12115"/>
                                <a:pt x="8355" y="12075"/>
                                <a:pt x="8335" y="12055"/>
                              </a:cubicBezTo>
                              <a:cubicBezTo>
                                <a:pt x="8335" y="12035"/>
                                <a:pt x="8315" y="12035"/>
                                <a:pt x="8296" y="12016"/>
                              </a:cubicBezTo>
                              <a:cubicBezTo>
                                <a:pt x="8335" y="11996"/>
                                <a:pt x="8355" y="11976"/>
                                <a:pt x="8375" y="11956"/>
                              </a:cubicBezTo>
                              <a:cubicBezTo>
                                <a:pt x="8494" y="11837"/>
                                <a:pt x="8614" y="11677"/>
                                <a:pt x="8693" y="11498"/>
                              </a:cubicBezTo>
                              <a:cubicBezTo>
                                <a:pt x="8713" y="11478"/>
                                <a:pt x="8713" y="11459"/>
                                <a:pt x="8693" y="11439"/>
                              </a:cubicBezTo>
                              <a:cubicBezTo>
                                <a:pt x="8673" y="11399"/>
                                <a:pt x="8654" y="11399"/>
                                <a:pt x="8634" y="11399"/>
                              </a:cubicBezTo>
                              <a:cubicBezTo>
                                <a:pt x="8673" y="11359"/>
                                <a:pt x="8693" y="11339"/>
                                <a:pt x="8713" y="11299"/>
                              </a:cubicBezTo>
                              <a:cubicBezTo>
                                <a:pt x="8833" y="11180"/>
                                <a:pt x="8912" y="11021"/>
                                <a:pt x="8972" y="10822"/>
                              </a:cubicBezTo>
                              <a:cubicBezTo>
                                <a:pt x="8992" y="10802"/>
                                <a:pt x="8992" y="10782"/>
                                <a:pt x="8972" y="10742"/>
                              </a:cubicBezTo>
                              <a:cubicBezTo>
                                <a:pt x="8952" y="10723"/>
                                <a:pt x="8932" y="10723"/>
                                <a:pt x="8912" y="10723"/>
                              </a:cubicBezTo>
                              <a:cubicBezTo>
                                <a:pt x="8932" y="10683"/>
                                <a:pt x="8952" y="10663"/>
                                <a:pt x="8972" y="10623"/>
                              </a:cubicBezTo>
                              <a:cubicBezTo>
                                <a:pt x="9071" y="10484"/>
                                <a:pt x="9131" y="10325"/>
                                <a:pt x="9191" y="10126"/>
                              </a:cubicBezTo>
                              <a:cubicBezTo>
                                <a:pt x="9191" y="10086"/>
                                <a:pt x="9191" y="10066"/>
                                <a:pt x="9171" y="10046"/>
                              </a:cubicBezTo>
                              <a:cubicBezTo>
                                <a:pt x="9151" y="10026"/>
                                <a:pt x="9131" y="10026"/>
                                <a:pt x="9111" y="10026"/>
                              </a:cubicBezTo>
                              <a:cubicBezTo>
                                <a:pt x="9131" y="9987"/>
                                <a:pt x="9151" y="9947"/>
                                <a:pt x="9171" y="9907"/>
                              </a:cubicBezTo>
                              <a:cubicBezTo>
                                <a:pt x="9250" y="9768"/>
                                <a:pt x="9290" y="9589"/>
                                <a:pt x="9310" y="9390"/>
                              </a:cubicBezTo>
                              <a:cubicBezTo>
                                <a:pt x="9330" y="9370"/>
                                <a:pt x="9310" y="9330"/>
                                <a:pt x="9290" y="9330"/>
                              </a:cubicBezTo>
                              <a:cubicBezTo>
                                <a:pt x="9270" y="9310"/>
                                <a:pt x="9250" y="9290"/>
                                <a:pt x="9230" y="9290"/>
                              </a:cubicBezTo>
                              <a:cubicBezTo>
                                <a:pt x="9250" y="9270"/>
                                <a:pt x="9270" y="9231"/>
                                <a:pt x="9290" y="9191"/>
                              </a:cubicBezTo>
                              <a:cubicBezTo>
                                <a:pt x="9330" y="9032"/>
                                <a:pt x="9370" y="8853"/>
                                <a:pt x="9370" y="8654"/>
                              </a:cubicBezTo>
                              <a:cubicBezTo>
                                <a:pt x="9370" y="8634"/>
                                <a:pt x="9350" y="8614"/>
                                <a:pt x="9330" y="8594"/>
                              </a:cubicBezTo>
                              <a:cubicBezTo>
                                <a:pt x="9310" y="8574"/>
                                <a:pt x="9310" y="8574"/>
                                <a:pt x="9290" y="8574"/>
                              </a:cubicBezTo>
                              <a:cubicBezTo>
                                <a:pt x="9290" y="8534"/>
                                <a:pt x="9310" y="8514"/>
                                <a:pt x="9310" y="8475"/>
                              </a:cubicBezTo>
                              <a:cubicBezTo>
                                <a:pt x="9350" y="8316"/>
                                <a:pt x="9370" y="8137"/>
                                <a:pt x="9350" y="7938"/>
                              </a:cubicBezTo>
                              <a:cubicBezTo>
                                <a:pt x="9350" y="7898"/>
                                <a:pt x="9330" y="7878"/>
                                <a:pt x="9310" y="7858"/>
                              </a:cubicBezTo>
                              <a:lnTo>
                                <a:pt x="9250" y="7858"/>
                              </a:lnTo>
                              <a:cubicBezTo>
                                <a:pt x="9270" y="7818"/>
                                <a:pt x="9270" y="7778"/>
                                <a:pt x="9270" y="7739"/>
                              </a:cubicBezTo>
                              <a:cubicBezTo>
                                <a:pt x="9310" y="7580"/>
                                <a:pt x="9290" y="7400"/>
                                <a:pt x="9250" y="7202"/>
                              </a:cubicBezTo>
                              <a:cubicBezTo>
                                <a:pt x="9250" y="7162"/>
                                <a:pt x="9230" y="7142"/>
                                <a:pt x="9211" y="7142"/>
                              </a:cubicBezTo>
                              <a:cubicBezTo>
                                <a:pt x="9191" y="7122"/>
                                <a:pt x="9191" y="7122"/>
                                <a:pt x="9171" y="7122"/>
                              </a:cubicBezTo>
                              <a:cubicBezTo>
                                <a:pt x="9171" y="7102"/>
                                <a:pt x="9171" y="7082"/>
                                <a:pt x="9191" y="7042"/>
                              </a:cubicBezTo>
                              <a:cubicBezTo>
                                <a:pt x="9191" y="6883"/>
                                <a:pt x="9191" y="6684"/>
                                <a:pt x="9131" y="6505"/>
                              </a:cubicBezTo>
                              <a:cubicBezTo>
                                <a:pt x="9131" y="6466"/>
                                <a:pt x="9111" y="6446"/>
                                <a:pt x="9091" y="6446"/>
                              </a:cubicBezTo>
                              <a:cubicBezTo>
                                <a:pt x="9085" y="6439"/>
                                <a:pt x="9076" y="6437"/>
                                <a:pt x="9066" y="6437"/>
                              </a:cubicBezTo>
                              <a:cubicBezTo>
                                <a:pt x="9047" y="6437"/>
                                <a:pt x="9025" y="6446"/>
                                <a:pt x="9012" y="6446"/>
                              </a:cubicBezTo>
                              <a:cubicBezTo>
                                <a:pt x="9012" y="6406"/>
                                <a:pt x="9012" y="6366"/>
                                <a:pt x="9012" y="6326"/>
                              </a:cubicBezTo>
                              <a:cubicBezTo>
                                <a:pt x="9012" y="6147"/>
                                <a:pt x="8972" y="5968"/>
                                <a:pt x="8892" y="5789"/>
                              </a:cubicBezTo>
                              <a:cubicBezTo>
                                <a:pt x="8892" y="5769"/>
                                <a:pt x="8872" y="5749"/>
                                <a:pt x="8853" y="5729"/>
                              </a:cubicBezTo>
                              <a:cubicBezTo>
                                <a:pt x="8813" y="5729"/>
                                <a:pt x="8793" y="5729"/>
                                <a:pt x="8773" y="5749"/>
                              </a:cubicBezTo>
                              <a:cubicBezTo>
                                <a:pt x="8773" y="5710"/>
                                <a:pt x="8773" y="5670"/>
                                <a:pt x="8773" y="5630"/>
                              </a:cubicBezTo>
                              <a:cubicBezTo>
                                <a:pt x="8753" y="5471"/>
                                <a:pt x="8693" y="5292"/>
                                <a:pt x="8594" y="5113"/>
                              </a:cubicBezTo>
                              <a:cubicBezTo>
                                <a:pt x="8594" y="5093"/>
                                <a:pt x="8574" y="5073"/>
                                <a:pt x="8534" y="5073"/>
                              </a:cubicBezTo>
                              <a:cubicBezTo>
                                <a:pt x="8514" y="5073"/>
                                <a:pt x="8494" y="5073"/>
                                <a:pt x="8475" y="5093"/>
                              </a:cubicBezTo>
                              <a:cubicBezTo>
                                <a:pt x="8475" y="5053"/>
                                <a:pt x="8475" y="5013"/>
                                <a:pt x="8455" y="4974"/>
                              </a:cubicBezTo>
                              <a:cubicBezTo>
                                <a:pt x="8415" y="4814"/>
                                <a:pt x="8335" y="4635"/>
                                <a:pt x="8216" y="4476"/>
                              </a:cubicBezTo>
                              <a:cubicBezTo>
                                <a:pt x="8216" y="4456"/>
                                <a:pt x="8176" y="4436"/>
                                <a:pt x="8156" y="4436"/>
                              </a:cubicBezTo>
                              <a:cubicBezTo>
                                <a:pt x="8136" y="4436"/>
                                <a:pt x="8116" y="4456"/>
                                <a:pt x="8097" y="4476"/>
                              </a:cubicBezTo>
                              <a:cubicBezTo>
                                <a:pt x="8077" y="4436"/>
                                <a:pt x="8057" y="4397"/>
                                <a:pt x="8037" y="4337"/>
                              </a:cubicBezTo>
                              <a:cubicBezTo>
                                <a:pt x="7977" y="4198"/>
                                <a:pt x="7878" y="4039"/>
                                <a:pt x="7739" y="3899"/>
                              </a:cubicBezTo>
                              <a:cubicBezTo>
                                <a:pt x="7719" y="3879"/>
                                <a:pt x="7679" y="3860"/>
                                <a:pt x="7659" y="3860"/>
                              </a:cubicBezTo>
                              <a:cubicBezTo>
                                <a:pt x="7639" y="3879"/>
                                <a:pt x="7619" y="3879"/>
                                <a:pt x="7619" y="3899"/>
                              </a:cubicBezTo>
                              <a:cubicBezTo>
                                <a:pt x="7599" y="3860"/>
                                <a:pt x="7559" y="3820"/>
                                <a:pt x="7540" y="3780"/>
                              </a:cubicBezTo>
                              <a:cubicBezTo>
                                <a:pt x="7460" y="3641"/>
                                <a:pt x="7321" y="3501"/>
                                <a:pt x="7162" y="3382"/>
                              </a:cubicBezTo>
                              <a:cubicBezTo>
                                <a:pt x="7142" y="3362"/>
                                <a:pt x="7122" y="3362"/>
                                <a:pt x="7102" y="3362"/>
                              </a:cubicBezTo>
                              <a:cubicBezTo>
                                <a:pt x="7082" y="3382"/>
                                <a:pt x="7062" y="3382"/>
                                <a:pt x="7042" y="3402"/>
                              </a:cubicBezTo>
                              <a:cubicBezTo>
                                <a:pt x="6943" y="3263"/>
                                <a:pt x="6804" y="3163"/>
                                <a:pt x="6625" y="3104"/>
                              </a:cubicBezTo>
                              <a:lnTo>
                                <a:pt x="6724" y="3104"/>
                              </a:lnTo>
                              <a:cubicBezTo>
                                <a:pt x="6755" y="3106"/>
                                <a:pt x="6785" y="3108"/>
                                <a:pt x="6813" y="3108"/>
                              </a:cubicBezTo>
                              <a:cubicBezTo>
                                <a:pt x="6980" y="3108"/>
                                <a:pt x="7085" y="3064"/>
                                <a:pt x="7102" y="3064"/>
                              </a:cubicBezTo>
                              <a:cubicBezTo>
                                <a:pt x="7142" y="3064"/>
                                <a:pt x="7182" y="3004"/>
                                <a:pt x="7162" y="2964"/>
                              </a:cubicBezTo>
                              <a:cubicBezTo>
                                <a:pt x="7162" y="2905"/>
                                <a:pt x="7122" y="2885"/>
                                <a:pt x="7082" y="2865"/>
                              </a:cubicBezTo>
                              <a:cubicBezTo>
                                <a:pt x="6823" y="2865"/>
                                <a:pt x="6744" y="2805"/>
                                <a:pt x="6625" y="2746"/>
                              </a:cubicBezTo>
                              <a:lnTo>
                                <a:pt x="6565" y="2706"/>
                              </a:lnTo>
                              <a:lnTo>
                                <a:pt x="7122" y="2626"/>
                              </a:lnTo>
                              <a:cubicBezTo>
                                <a:pt x="7182" y="2626"/>
                                <a:pt x="7221" y="2586"/>
                                <a:pt x="7201" y="2527"/>
                              </a:cubicBezTo>
                              <a:cubicBezTo>
                                <a:pt x="7201" y="2487"/>
                                <a:pt x="7182" y="2427"/>
                                <a:pt x="7122" y="2427"/>
                              </a:cubicBezTo>
                              <a:lnTo>
                                <a:pt x="6565" y="2348"/>
                              </a:lnTo>
                              <a:cubicBezTo>
                                <a:pt x="6625" y="2328"/>
                                <a:pt x="6704" y="2308"/>
                                <a:pt x="6784" y="2288"/>
                              </a:cubicBezTo>
                              <a:cubicBezTo>
                                <a:pt x="6983" y="2208"/>
                                <a:pt x="7122" y="2109"/>
                                <a:pt x="7122" y="2109"/>
                              </a:cubicBezTo>
                              <a:cubicBezTo>
                                <a:pt x="7162" y="2069"/>
                                <a:pt x="7162" y="2010"/>
                                <a:pt x="7142" y="1970"/>
                              </a:cubicBezTo>
                              <a:cubicBezTo>
                                <a:pt x="7127" y="1941"/>
                                <a:pt x="7091" y="1922"/>
                                <a:pt x="7057" y="1922"/>
                              </a:cubicBezTo>
                              <a:cubicBezTo>
                                <a:pt x="7045" y="1922"/>
                                <a:pt x="7033" y="1925"/>
                                <a:pt x="7022" y="1930"/>
                              </a:cubicBezTo>
                              <a:cubicBezTo>
                                <a:pt x="6877" y="1983"/>
                                <a:pt x="6775" y="2001"/>
                                <a:pt x="6688" y="2001"/>
                              </a:cubicBezTo>
                              <a:cubicBezTo>
                                <a:pt x="6644" y="2001"/>
                                <a:pt x="6605" y="1996"/>
                                <a:pt x="6565" y="1990"/>
                              </a:cubicBezTo>
                              <a:cubicBezTo>
                                <a:pt x="6545" y="1990"/>
                                <a:pt x="6505" y="1990"/>
                                <a:pt x="6485" y="1970"/>
                              </a:cubicBezTo>
                              <a:lnTo>
                                <a:pt x="6983" y="1691"/>
                              </a:lnTo>
                              <a:cubicBezTo>
                                <a:pt x="7022" y="1651"/>
                                <a:pt x="7042" y="1612"/>
                                <a:pt x="7022" y="1552"/>
                              </a:cubicBezTo>
                              <a:cubicBezTo>
                                <a:pt x="7002" y="1512"/>
                                <a:pt x="6943" y="1492"/>
                                <a:pt x="6903" y="1492"/>
                              </a:cubicBezTo>
                              <a:lnTo>
                                <a:pt x="6346" y="1632"/>
                              </a:lnTo>
                              <a:cubicBezTo>
                                <a:pt x="6406" y="1592"/>
                                <a:pt x="6465" y="1552"/>
                                <a:pt x="6525" y="1492"/>
                              </a:cubicBezTo>
                              <a:cubicBezTo>
                                <a:pt x="6684" y="1353"/>
                                <a:pt x="6764" y="1214"/>
                                <a:pt x="6764" y="1194"/>
                              </a:cubicBezTo>
                              <a:cubicBezTo>
                                <a:pt x="6784" y="1154"/>
                                <a:pt x="6784" y="1094"/>
                                <a:pt x="6744" y="1075"/>
                              </a:cubicBezTo>
                              <a:cubicBezTo>
                                <a:pt x="6724" y="1055"/>
                                <a:pt x="6699" y="1045"/>
                                <a:pt x="6674" y="1045"/>
                              </a:cubicBezTo>
                              <a:cubicBezTo>
                                <a:pt x="6649" y="1045"/>
                                <a:pt x="6625" y="1055"/>
                                <a:pt x="6605" y="1075"/>
                              </a:cubicBezTo>
                              <a:cubicBezTo>
                                <a:pt x="6426" y="1234"/>
                                <a:pt x="6346" y="1274"/>
                                <a:pt x="6207" y="1313"/>
                              </a:cubicBezTo>
                              <a:cubicBezTo>
                                <a:pt x="6187" y="1313"/>
                                <a:pt x="6167" y="1313"/>
                                <a:pt x="6147" y="1333"/>
                              </a:cubicBezTo>
                              <a:lnTo>
                                <a:pt x="6485" y="876"/>
                              </a:lnTo>
                              <a:cubicBezTo>
                                <a:pt x="6505" y="836"/>
                                <a:pt x="6505" y="776"/>
                                <a:pt x="6465" y="736"/>
                              </a:cubicBezTo>
                              <a:cubicBezTo>
                                <a:pt x="6445" y="717"/>
                                <a:pt x="6426" y="707"/>
                                <a:pt x="6406" y="707"/>
                              </a:cubicBezTo>
                              <a:cubicBezTo>
                                <a:pt x="6386" y="707"/>
                                <a:pt x="6366" y="717"/>
                                <a:pt x="6346" y="736"/>
                              </a:cubicBezTo>
                              <a:lnTo>
                                <a:pt x="5888" y="1075"/>
                              </a:lnTo>
                              <a:cubicBezTo>
                                <a:pt x="5908" y="1015"/>
                                <a:pt x="5948" y="935"/>
                                <a:pt x="5988" y="876"/>
                              </a:cubicBezTo>
                              <a:cubicBezTo>
                                <a:pt x="6087" y="677"/>
                                <a:pt x="6107" y="498"/>
                                <a:pt x="6107" y="498"/>
                              </a:cubicBezTo>
                              <a:cubicBezTo>
                                <a:pt x="6107" y="458"/>
                                <a:pt x="6068" y="398"/>
                                <a:pt x="6028" y="398"/>
                              </a:cubicBezTo>
                              <a:cubicBezTo>
                                <a:pt x="6018" y="393"/>
                                <a:pt x="6007" y="391"/>
                                <a:pt x="5995" y="391"/>
                              </a:cubicBezTo>
                              <a:cubicBezTo>
                                <a:pt x="5961" y="391"/>
                                <a:pt x="5923" y="413"/>
                                <a:pt x="5908" y="458"/>
                              </a:cubicBezTo>
                              <a:cubicBezTo>
                                <a:pt x="5809" y="677"/>
                                <a:pt x="5729" y="736"/>
                                <a:pt x="5630" y="816"/>
                              </a:cubicBezTo>
                              <a:cubicBezTo>
                                <a:pt x="5610" y="836"/>
                                <a:pt x="5590" y="836"/>
                                <a:pt x="5570" y="856"/>
                              </a:cubicBezTo>
                              <a:lnTo>
                                <a:pt x="5709" y="319"/>
                              </a:lnTo>
                              <a:cubicBezTo>
                                <a:pt x="5729" y="259"/>
                                <a:pt x="5690" y="219"/>
                                <a:pt x="5650" y="199"/>
                              </a:cubicBezTo>
                              <a:cubicBezTo>
                                <a:pt x="5639" y="194"/>
                                <a:pt x="5627" y="192"/>
                                <a:pt x="5615" y="192"/>
                              </a:cubicBezTo>
                              <a:cubicBezTo>
                                <a:pt x="5581" y="192"/>
                                <a:pt x="5545" y="210"/>
                                <a:pt x="5530" y="239"/>
                              </a:cubicBezTo>
                              <a:lnTo>
                                <a:pt x="5232" y="736"/>
                              </a:lnTo>
                              <a:cubicBezTo>
                                <a:pt x="5252" y="657"/>
                                <a:pt x="5252" y="577"/>
                                <a:pt x="5252" y="498"/>
                              </a:cubicBezTo>
                              <a:cubicBezTo>
                                <a:pt x="5272" y="279"/>
                                <a:pt x="5212" y="120"/>
                                <a:pt x="5212" y="120"/>
                              </a:cubicBezTo>
                              <a:cubicBezTo>
                                <a:pt x="5212" y="60"/>
                                <a:pt x="5152" y="40"/>
                                <a:pt x="5113" y="40"/>
                              </a:cubicBezTo>
                              <a:cubicBezTo>
                                <a:pt x="5053" y="60"/>
                                <a:pt x="5033" y="100"/>
                                <a:pt x="5013" y="140"/>
                              </a:cubicBezTo>
                              <a:cubicBezTo>
                                <a:pt x="5013" y="378"/>
                                <a:pt x="4954" y="478"/>
                                <a:pt x="4894" y="577"/>
                              </a:cubicBezTo>
                              <a:cubicBezTo>
                                <a:pt x="4894" y="597"/>
                                <a:pt x="4874" y="637"/>
                                <a:pt x="4874" y="657"/>
                              </a:cubicBezTo>
                              <a:lnTo>
                                <a:pt x="4775" y="100"/>
                              </a:lnTo>
                              <a:cubicBezTo>
                                <a:pt x="4775" y="40"/>
                                <a:pt x="4735" y="0"/>
                                <a:pt x="4675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231F20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33" name="Shape 33"/>
                        <xdr:cNvSpPr/>
                      </xdr:nvSpPr>
                      <xdr:spPr>
                        <a:xfrm>
                          <a:off x="2401075" y="1002000"/>
                          <a:ext cx="106950" cy="64175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4278" h="2567" extrusionOk="0">
                              <a:moveTo>
                                <a:pt x="975" y="358"/>
                              </a:moveTo>
                              <a:cubicBezTo>
                                <a:pt x="975" y="368"/>
                                <a:pt x="980" y="373"/>
                                <a:pt x="985" y="378"/>
                              </a:cubicBezTo>
                              <a:lnTo>
                                <a:pt x="985" y="378"/>
                              </a:lnTo>
                              <a:cubicBezTo>
                                <a:pt x="982" y="371"/>
                                <a:pt x="979" y="365"/>
                                <a:pt x="975" y="358"/>
                              </a:cubicBezTo>
                              <a:close/>
                              <a:moveTo>
                                <a:pt x="2129" y="0"/>
                              </a:moveTo>
                              <a:lnTo>
                                <a:pt x="2030" y="696"/>
                              </a:lnTo>
                              <a:cubicBezTo>
                                <a:pt x="2030" y="716"/>
                                <a:pt x="2010" y="716"/>
                                <a:pt x="2010" y="736"/>
                              </a:cubicBezTo>
                              <a:cubicBezTo>
                                <a:pt x="1990" y="736"/>
                                <a:pt x="1970" y="736"/>
                                <a:pt x="1950" y="716"/>
                              </a:cubicBezTo>
                              <a:cubicBezTo>
                                <a:pt x="1950" y="696"/>
                                <a:pt x="1890" y="597"/>
                                <a:pt x="1851" y="438"/>
                              </a:cubicBezTo>
                              <a:cubicBezTo>
                                <a:pt x="1831" y="378"/>
                                <a:pt x="1811" y="239"/>
                                <a:pt x="1751" y="100"/>
                              </a:cubicBezTo>
                              <a:cubicBezTo>
                                <a:pt x="1751" y="80"/>
                                <a:pt x="1751" y="60"/>
                                <a:pt x="1751" y="60"/>
                              </a:cubicBezTo>
                              <a:cubicBezTo>
                                <a:pt x="1751" y="139"/>
                                <a:pt x="1751" y="199"/>
                                <a:pt x="1731" y="279"/>
                              </a:cubicBezTo>
                              <a:cubicBezTo>
                                <a:pt x="1731" y="319"/>
                                <a:pt x="1731" y="358"/>
                                <a:pt x="1731" y="418"/>
                              </a:cubicBezTo>
                              <a:cubicBezTo>
                                <a:pt x="1711" y="577"/>
                                <a:pt x="1751" y="736"/>
                                <a:pt x="1751" y="736"/>
                              </a:cubicBezTo>
                              <a:cubicBezTo>
                                <a:pt x="1751" y="756"/>
                                <a:pt x="1751" y="776"/>
                                <a:pt x="1731" y="776"/>
                              </a:cubicBezTo>
                              <a:cubicBezTo>
                                <a:pt x="1725" y="783"/>
                                <a:pt x="1718" y="785"/>
                                <a:pt x="1711" y="785"/>
                              </a:cubicBezTo>
                              <a:cubicBezTo>
                                <a:pt x="1698" y="785"/>
                                <a:pt x="1685" y="776"/>
                                <a:pt x="1672" y="776"/>
                              </a:cubicBezTo>
                              <a:lnTo>
                                <a:pt x="1313" y="159"/>
                              </a:lnTo>
                              <a:lnTo>
                                <a:pt x="1492" y="836"/>
                              </a:lnTo>
                              <a:cubicBezTo>
                                <a:pt x="1492" y="856"/>
                                <a:pt x="1492" y="876"/>
                                <a:pt x="1473" y="895"/>
                              </a:cubicBezTo>
                              <a:lnTo>
                                <a:pt x="1433" y="895"/>
                              </a:lnTo>
                              <a:cubicBezTo>
                                <a:pt x="1413" y="876"/>
                                <a:pt x="1313" y="796"/>
                                <a:pt x="1214" y="677"/>
                              </a:cubicBezTo>
                              <a:cubicBezTo>
                                <a:pt x="1174" y="617"/>
                                <a:pt x="1095" y="498"/>
                                <a:pt x="995" y="398"/>
                              </a:cubicBezTo>
                              <a:cubicBezTo>
                                <a:pt x="995" y="388"/>
                                <a:pt x="990" y="383"/>
                                <a:pt x="985" y="378"/>
                              </a:cubicBezTo>
                              <a:lnTo>
                                <a:pt x="985" y="378"/>
                              </a:lnTo>
                              <a:cubicBezTo>
                                <a:pt x="1018" y="448"/>
                                <a:pt x="1037" y="504"/>
                                <a:pt x="1055" y="577"/>
                              </a:cubicBezTo>
                              <a:cubicBezTo>
                                <a:pt x="1055" y="617"/>
                                <a:pt x="1075" y="657"/>
                                <a:pt x="1095" y="696"/>
                              </a:cubicBezTo>
                              <a:cubicBezTo>
                                <a:pt x="1154" y="856"/>
                                <a:pt x="1234" y="975"/>
                                <a:pt x="1254" y="995"/>
                              </a:cubicBezTo>
                              <a:cubicBezTo>
                                <a:pt x="1254" y="995"/>
                                <a:pt x="1254" y="1035"/>
                                <a:pt x="1234" y="1035"/>
                              </a:cubicBezTo>
                              <a:cubicBezTo>
                                <a:pt x="1234" y="1045"/>
                                <a:pt x="1224" y="1050"/>
                                <a:pt x="1214" y="1050"/>
                              </a:cubicBezTo>
                              <a:cubicBezTo>
                                <a:pt x="1204" y="1050"/>
                                <a:pt x="1194" y="1045"/>
                                <a:pt x="1194" y="1035"/>
                              </a:cubicBezTo>
                              <a:lnTo>
                                <a:pt x="617" y="617"/>
                              </a:lnTo>
                              <a:lnTo>
                                <a:pt x="617" y="617"/>
                              </a:lnTo>
                              <a:lnTo>
                                <a:pt x="1035" y="1194"/>
                              </a:lnTo>
                              <a:cubicBezTo>
                                <a:pt x="1055" y="1194"/>
                                <a:pt x="1055" y="1214"/>
                                <a:pt x="1035" y="1234"/>
                              </a:cubicBezTo>
                              <a:cubicBezTo>
                                <a:pt x="1035" y="1253"/>
                                <a:pt x="1015" y="1253"/>
                                <a:pt x="995" y="1253"/>
                              </a:cubicBezTo>
                              <a:cubicBezTo>
                                <a:pt x="995" y="1253"/>
                                <a:pt x="876" y="1214"/>
                                <a:pt x="737" y="1134"/>
                              </a:cubicBezTo>
                              <a:cubicBezTo>
                                <a:pt x="677" y="1094"/>
                                <a:pt x="558" y="1035"/>
                                <a:pt x="418" y="955"/>
                              </a:cubicBezTo>
                              <a:cubicBezTo>
                                <a:pt x="398" y="955"/>
                                <a:pt x="398" y="955"/>
                                <a:pt x="379" y="935"/>
                              </a:cubicBezTo>
                              <a:lnTo>
                                <a:pt x="379" y="935"/>
                              </a:lnTo>
                              <a:cubicBezTo>
                                <a:pt x="438" y="995"/>
                                <a:pt x="478" y="1055"/>
                                <a:pt x="538" y="1114"/>
                              </a:cubicBezTo>
                              <a:cubicBezTo>
                                <a:pt x="558" y="1134"/>
                                <a:pt x="577" y="1174"/>
                                <a:pt x="617" y="1214"/>
                              </a:cubicBezTo>
                              <a:cubicBezTo>
                                <a:pt x="737" y="1333"/>
                                <a:pt x="876" y="1413"/>
                                <a:pt x="876" y="1413"/>
                              </a:cubicBezTo>
                              <a:cubicBezTo>
                                <a:pt x="896" y="1433"/>
                                <a:pt x="896" y="1452"/>
                                <a:pt x="896" y="1472"/>
                              </a:cubicBezTo>
                              <a:cubicBezTo>
                                <a:pt x="876" y="1492"/>
                                <a:pt x="856" y="1492"/>
                                <a:pt x="836" y="1492"/>
                              </a:cubicBezTo>
                              <a:lnTo>
                                <a:pt x="160" y="1313"/>
                              </a:lnTo>
                              <a:lnTo>
                                <a:pt x="160" y="1313"/>
                              </a:lnTo>
                              <a:lnTo>
                                <a:pt x="756" y="1691"/>
                              </a:lnTo>
                              <a:cubicBezTo>
                                <a:pt x="776" y="1691"/>
                                <a:pt x="776" y="1711"/>
                                <a:pt x="776" y="1731"/>
                              </a:cubicBezTo>
                              <a:cubicBezTo>
                                <a:pt x="776" y="1751"/>
                                <a:pt x="756" y="1751"/>
                                <a:pt x="756" y="1751"/>
                              </a:cubicBezTo>
                              <a:cubicBezTo>
                                <a:pt x="743" y="1751"/>
                                <a:pt x="686" y="1760"/>
                                <a:pt x="602" y="1760"/>
                              </a:cubicBezTo>
                              <a:cubicBezTo>
                                <a:pt x="560" y="1760"/>
                                <a:pt x="511" y="1757"/>
                                <a:pt x="458" y="1751"/>
                              </a:cubicBezTo>
                              <a:cubicBezTo>
                                <a:pt x="378" y="1731"/>
                                <a:pt x="239" y="1711"/>
                                <a:pt x="100" y="1711"/>
                              </a:cubicBezTo>
                              <a:lnTo>
                                <a:pt x="60" y="1711"/>
                              </a:lnTo>
                              <a:cubicBezTo>
                                <a:pt x="140" y="1731"/>
                                <a:pt x="199" y="1771"/>
                                <a:pt x="259" y="1791"/>
                              </a:cubicBezTo>
                              <a:cubicBezTo>
                                <a:pt x="299" y="1810"/>
                                <a:pt x="339" y="1850"/>
                                <a:pt x="378" y="1870"/>
                              </a:cubicBezTo>
                              <a:cubicBezTo>
                                <a:pt x="538" y="1930"/>
                                <a:pt x="697" y="1950"/>
                                <a:pt x="697" y="1950"/>
                              </a:cubicBezTo>
                              <a:cubicBezTo>
                                <a:pt x="717" y="1950"/>
                                <a:pt x="737" y="1970"/>
                                <a:pt x="737" y="1990"/>
                              </a:cubicBezTo>
                              <a:cubicBezTo>
                                <a:pt x="737" y="2009"/>
                                <a:pt x="717" y="2029"/>
                                <a:pt x="697" y="2029"/>
                              </a:cubicBezTo>
                              <a:lnTo>
                                <a:pt x="1" y="2129"/>
                              </a:lnTo>
                              <a:lnTo>
                                <a:pt x="697" y="2248"/>
                              </a:lnTo>
                              <a:cubicBezTo>
                                <a:pt x="717" y="2248"/>
                                <a:pt x="717" y="2248"/>
                                <a:pt x="737" y="2268"/>
                              </a:cubicBezTo>
                              <a:cubicBezTo>
                                <a:pt x="737" y="2288"/>
                                <a:pt x="717" y="2308"/>
                                <a:pt x="717" y="2308"/>
                              </a:cubicBezTo>
                              <a:cubicBezTo>
                                <a:pt x="717" y="2308"/>
                                <a:pt x="597" y="2387"/>
                                <a:pt x="438" y="2427"/>
                              </a:cubicBezTo>
                              <a:cubicBezTo>
                                <a:pt x="378" y="2427"/>
                                <a:pt x="239" y="2467"/>
                                <a:pt x="100" y="2527"/>
                              </a:cubicBezTo>
                              <a:lnTo>
                                <a:pt x="60" y="2527"/>
                              </a:lnTo>
                              <a:cubicBezTo>
                                <a:pt x="140" y="2527"/>
                                <a:pt x="199" y="2527"/>
                                <a:pt x="279" y="2547"/>
                              </a:cubicBezTo>
                              <a:lnTo>
                                <a:pt x="538" y="2547"/>
                              </a:lnTo>
                              <a:cubicBezTo>
                                <a:pt x="677" y="2447"/>
                                <a:pt x="836" y="2367"/>
                                <a:pt x="1035" y="2328"/>
                              </a:cubicBezTo>
                              <a:cubicBezTo>
                                <a:pt x="1042" y="2321"/>
                                <a:pt x="1050" y="2319"/>
                                <a:pt x="1060" y="2319"/>
                              </a:cubicBezTo>
                              <a:cubicBezTo>
                                <a:pt x="1079" y="2319"/>
                                <a:pt x="1101" y="2328"/>
                                <a:pt x="1115" y="2328"/>
                              </a:cubicBezTo>
                              <a:cubicBezTo>
                                <a:pt x="1115" y="2348"/>
                                <a:pt x="1134" y="2367"/>
                                <a:pt x="1134" y="2387"/>
                              </a:cubicBezTo>
                              <a:cubicBezTo>
                                <a:pt x="1174" y="2367"/>
                                <a:pt x="1214" y="2348"/>
                                <a:pt x="1254" y="2328"/>
                              </a:cubicBezTo>
                              <a:cubicBezTo>
                                <a:pt x="1393" y="2268"/>
                                <a:pt x="1572" y="2228"/>
                                <a:pt x="1771" y="2208"/>
                              </a:cubicBezTo>
                              <a:cubicBezTo>
                                <a:pt x="1811" y="2208"/>
                                <a:pt x="1831" y="2208"/>
                                <a:pt x="1851" y="2228"/>
                              </a:cubicBezTo>
                              <a:cubicBezTo>
                                <a:pt x="1851" y="2248"/>
                                <a:pt x="1870" y="2268"/>
                                <a:pt x="1870" y="2288"/>
                              </a:cubicBezTo>
                              <a:cubicBezTo>
                                <a:pt x="1910" y="2268"/>
                                <a:pt x="1970" y="2248"/>
                                <a:pt x="2049" y="2228"/>
                              </a:cubicBezTo>
                              <a:cubicBezTo>
                                <a:pt x="2129" y="2208"/>
                                <a:pt x="2214" y="2198"/>
                                <a:pt x="2303" y="2198"/>
                              </a:cubicBezTo>
                              <a:cubicBezTo>
                                <a:pt x="2393" y="2198"/>
                                <a:pt x="2487" y="2208"/>
                                <a:pt x="2587" y="2228"/>
                              </a:cubicBezTo>
                              <a:cubicBezTo>
                                <a:pt x="2606" y="2228"/>
                                <a:pt x="2626" y="2248"/>
                                <a:pt x="2646" y="2268"/>
                              </a:cubicBezTo>
                              <a:lnTo>
                                <a:pt x="2646" y="2288"/>
                              </a:lnTo>
                              <a:cubicBezTo>
                                <a:pt x="2706" y="2288"/>
                                <a:pt x="2766" y="2268"/>
                                <a:pt x="2825" y="2268"/>
                              </a:cubicBezTo>
                              <a:cubicBezTo>
                                <a:pt x="2984" y="2268"/>
                                <a:pt x="3163" y="2308"/>
                                <a:pt x="3362" y="2387"/>
                              </a:cubicBezTo>
                              <a:cubicBezTo>
                                <a:pt x="3382" y="2387"/>
                                <a:pt x="3402" y="2407"/>
                                <a:pt x="3402" y="2427"/>
                              </a:cubicBezTo>
                              <a:cubicBezTo>
                                <a:pt x="3541" y="2427"/>
                                <a:pt x="3661" y="2467"/>
                                <a:pt x="3800" y="2527"/>
                              </a:cubicBezTo>
                              <a:lnTo>
                                <a:pt x="3820" y="2527"/>
                              </a:lnTo>
                              <a:cubicBezTo>
                                <a:pt x="3880" y="2527"/>
                                <a:pt x="4019" y="2547"/>
                                <a:pt x="4178" y="2566"/>
                              </a:cubicBezTo>
                              <a:lnTo>
                                <a:pt x="4218" y="2566"/>
                              </a:lnTo>
                              <a:cubicBezTo>
                                <a:pt x="4138" y="2547"/>
                                <a:pt x="4079" y="2507"/>
                                <a:pt x="3999" y="2467"/>
                              </a:cubicBezTo>
                              <a:cubicBezTo>
                                <a:pt x="3959" y="2447"/>
                                <a:pt x="3939" y="2427"/>
                                <a:pt x="3880" y="2407"/>
                              </a:cubicBezTo>
                              <a:cubicBezTo>
                                <a:pt x="3740" y="2348"/>
                                <a:pt x="3581" y="2328"/>
                                <a:pt x="3581" y="2308"/>
                              </a:cubicBezTo>
                              <a:cubicBezTo>
                                <a:pt x="3561" y="2308"/>
                                <a:pt x="3541" y="2288"/>
                                <a:pt x="3541" y="2268"/>
                              </a:cubicBezTo>
                              <a:cubicBezTo>
                                <a:pt x="3541" y="2248"/>
                                <a:pt x="3561" y="2248"/>
                                <a:pt x="3581" y="2228"/>
                              </a:cubicBezTo>
                              <a:lnTo>
                                <a:pt x="4277" y="2129"/>
                              </a:lnTo>
                              <a:lnTo>
                                <a:pt x="3581" y="2029"/>
                              </a:lnTo>
                              <a:cubicBezTo>
                                <a:pt x="3561" y="2029"/>
                                <a:pt x="3541" y="2009"/>
                                <a:pt x="3541" y="2009"/>
                              </a:cubicBezTo>
                              <a:cubicBezTo>
                                <a:pt x="3541" y="1990"/>
                                <a:pt x="3541" y="1970"/>
                                <a:pt x="3561" y="1970"/>
                              </a:cubicBezTo>
                              <a:cubicBezTo>
                                <a:pt x="3561" y="1950"/>
                                <a:pt x="3661" y="1890"/>
                                <a:pt x="3820" y="1850"/>
                              </a:cubicBezTo>
                              <a:cubicBezTo>
                                <a:pt x="3899" y="1830"/>
                                <a:pt x="4039" y="1810"/>
                                <a:pt x="4178" y="1751"/>
                              </a:cubicBezTo>
                              <a:lnTo>
                                <a:pt x="4218" y="1751"/>
                              </a:lnTo>
                              <a:cubicBezTo>
                                <a:pt x="4138" y="1751"/>
                                <a:pt x="4059" y="1751"/>
                                <a:pt x="3999" y="1731"/>
                              </a:cubicBezTo>
                              <a:lnTo>
                                <a:pt x="3860" y="1731"/>
                              </a:lnTo>
                              <a:cubicBezTo>
                                <a:pt x="3824" y="1727"/>
                                <a:pt x="3790" y="1725"/>
                                <a:pt x="3758" y="1725"/>
                              </a:cubicBezTo>
                              <a:cubicBezTo>
                                <a:pt x="3630" y="1725"/>
                                <a:pt x="3537" y="1751"/>
                                <a:pt x="3522" y="1751"/>
                              </a:cubicBezTo>
                              <a:cubicBezTo>
                                <a:pt x="3516" y="1757"/>
                                <a:pt x="3510" y="1759"/>
                                <a:pt x="3505" y="1759"/>
                              </a:cubicBezTo>
                              <a:cubicBezTo>
                                <a:pt x="3492" y="1759"/>
                                <a:pt x="3482" y="1745"/>
                                <a:pt x="3482" y="1731"/>
                              </a:cubicBezTo>
                              <a:cubicBezTo>
                                <a:pt x="3482" y="1711"/>
                                <a:pt x="3482" y="1691"/>
                                <a:pt x="3502" y="1691"/>
                              </a:cubicBezTo>
                              <a:lnTo>
                                <a:pt x="4118" y="1313"/>
                              </a:lnTo>
                              <a:lnTo>
                                <a:pt x="3422" y="1492"/>
                              </a:lnTo>
                              <a:cubicBezTo>
                                <a:pt x="3402" y="1492"/>
                                <a:pt x="3382" y="1492"/>
                                <a:pt x="3382" y="1472"/>
                              </a:cubicBezTo>
                              <a:cubicBezTo>
                                <a:pt x="3362" y="1452"/>
                                <a:pt x="3362" y="1433"/>
                                <a:pt x="3382" y="1433"/>
                              </a:cubicBezTo>
                              <a:cubicBezTo>
                                <a:pt x="3382" y="1413"/>
                                <a:pt x="3462" y="1313"/>
                                <a:pt x="3581" y="1214"/>
                              </a:cubicBezTo>
                              <a:cubicBezTo>
                                <a:pt x="3641" y="1174"/>
                                <a:pt x="3760" y="1094"/>
                                <a:pt x="3880" y="995"/>
                              </a:cubicBezTo>
                              <a:cubicBezTo>
                                <a:pt x="3880" y="995"/>
                                <a:pt x="3899" y="975"/>
                                <a:pt x="3899" y="975"/>
                              </a:cubicBezTo>
                              <a:lnTo>
                                <a:pt x="3899" y="975"/>
                              </a:lnTo>
                              <a:cubicBezTo>
                                <a:pt x="3820" y="1015"/>
                                <a:pt x="3760" y="1035"/>
                                <a:pt x="3701" y="1055"/>
                              </a:cubicBezTo>
                              <a:cubicBezTo>
                                <a:pt x="3661" y="1055"/>
                                <a:pt x="3601" y="1074"/>
                                <a:pt x="3561" y="1094"/>
                              </a:cubicBezTo>
                              <a:cubicBezTo>
                                <a:pt x="3402" y="1154"/>
                                <a:pt x="3283" y="1253"/>
                                <a:pt x="3283" y="1253"/>
                              </a:cubicBezTo>
                              <a:cubicBezTo>
                                <a:pt x="3263" y="1253"/>
                                <a:pt x="3243" y="1253"/>
                                <a:pt x="3223" y="1234"/>
                              </a:cubicBezTo>
                              <a:cubicBezTo>
                                <a:pt x="3203" y="1234"/>
                                <a:pt x="3203" y="1194"/>
                                <a:pt x="3223" y="1194"/>
                              </a:cubicBezTo>
                              <a:lnTo>
                                <a:pt x="3641" y="617"/>
                              </a:lnTo>
                              <a:lnTo>
                                <a:pt x="3084" y="1035"/>
                              </a:lnTo>
                              <a:cubicBezTo>
                                <a:pt x="3074" y="1045"/>
                                <a:pt x="3064" y="1050"/>
                                <a:pt x="3054" y="1050"/>
                              </a:cubicBezTo>
                              <a:cubicBezTo>
                                <a:pt x="3044" y="1050"/>
                                <a:pt x="3034" y="1045"/>
                                <a:pt x="3024" y="1035"/>
                              </a:cubicBezTo>
                              <a:cubicBezTo>
                                <a:pt x="3024" y="1035"/>
                                <a:pt x="3004" y="1015"/>
                                <a:pt x="3004" y="995"/>
                              </a:cubicBezTo>
                              <a:cubicBezTo>
                                <a:pt x="3004" y="995"/>
                                <a:pt x="3044" y="876"/>
                                <a:pt x="3124" y="736"/>
                              </a:cubicBezTo>
                              <a:cubicBezTo>
                                <a:pt x="3163" y="677"/>
                                <a:pt x="3243" y="557"/>
                                <a:pt x="3303" y="418"/>
                              </a:cubicBezTo>
                              <a:cubicBezTo>
                                <a:pt x="3303" y="398"/>
                                <a:pt x="3323" y="398"/>
                                <a:pt x="3323" y="378"/>
                              </a:cubicBezTo>
                              <a:lnTo>
                                <a:pt x="3323" y="378"/>
                              </a:lnTo>
                              <a:cubicBezTo>
                                <a:pt x="3263" y="438"/>
                                <a:pt x="3203" y="478"/>
                                <a:pt x="3163" y="537"/>
                              </a:cubicBezTo>
                              <a:cubicBezTo>
                                <a:pt x="3124" y="557"/>
                                <a:pt x="3084" y="577"/>
                                <a:pt x="3044" y="617"/>
                              </a:cubicBezTo>
                              <a:cubicBezTo>
                                <a:pt x="2925" y="736"/>
                                <a:pt x="2865" y="856"/>
                                <a:pt x="2845" y="876"/>
                              </a:cubicBezTo>
                              <a:cubicBezTo>
                                <a:pt x="2845" y="895"/>
                                <a:pt x="2825" y="895"/>
                                <a:pt x="2805" y="895"/>
                              </a:cubicBezTo>
                              <a:cubicBezTo>
                                <a:pt x="2786" y="876"/>
                                <a:pt x="2766" y="856"/>
                                <a:pt x="2766" y="836"/>
                              </a:cubicBezTo>
                              <a:lnTo>
                                <a:pt x="2945" y="159"/>
                              </a:lnTo>
                              <a:lnTo>
                                <a:pt x="2587" y="756"/>
                              </a:lnTo>
                              <a:cubicBezTo>
                                <a:pt x="2587" y="770"/>
                                <a:pt x="2577" y="784"/>
                                <a:pt x="2564" y="784"/>
                              </a:cubicBezTo>
                              <a:cubicBezTo>
                                <a:pt x="2558" y="784"/>
                                <a:pt x="2553" y="782"/>
                                <a:pt x="2547" y="776"/>
                              </a:cubicBezTo>
                              <a:cubicBezTo>
                                <a:pt x="2527" y="776"/>
                                <a:pt x="2507" y="776"/>
                                <a:pt x="2507" y="756"/>
                              </a:cubicBezTo>
                              <a:cubicBezTo>
                                <a:pt x="2507" y="756"/>
                                <a:pt x="2487" y="617"/>
                                <a:pt x="2507" y="458"/>
                              </a:cubicBezTo>
                              <a:cubicBezTo>
                                <a:pt x="2527" y="378"/>
                                <a:pt x="2547" y="239"/>
                                <a:pt x="2567" y="100"/>
                              </a:cubicBezTo>
                              <a:cubicBezTo>
                                <a:pt x="2567" y="80"/>
                                <a:pt x="2567" y="80"/>
                                <a:pt x="2567" y="60"/>
                              </a:cubicBezTo>
                              <a:cubicBezTo>
                                <a:pt x="2527" y="139"/>
                                <a:pt x="2507" y="199"/>
                                <a:pt x="2467" y="259"/>
                              </a:cubicBezTo>
                              <a:cubicBezTo>
                                <a:pt x="2447" y="299"/>
                                <a:pt x="2427" y="338"/>
                                <a:pt x="2408" y="378"/>
                              </a:cubicBezTo>
                              <a:cubicBezTo>
                                <a:pt x="2328" y="537"/>
                                <a:pt x="2308" y="696"/>
                                <a:pt x="2308" y="696"/>
                              </a:cubicBezTo>
                              <a:cubicBezTo>
                                <a:pt x="2308" y="716"/>
                                <a:pt x="2288" y="736"/>
                                <a:pt x="2268" y="736"/>
                              </a:cubicBezTo>
                              <a:cubicBezTo>
                                <a:pt x="2248" y="736"/>
                                <a:pt x="2229" y="716"/>
                                <a:pt x="2229" y="696"/>
                              </a:cubicBezTo>
                              <a:lnTo>
                                <a:pt x="2129" y="0"/>
                              </a:lnTo>
                              <a:close/>
                            </a:path>
                          </a:pathLst>
                        </a:custGeom>
                        <a:solidFill>
                          <a:srgbClr val="FFC50A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34" name="Shape 34"/>
                        <xdr:cNvSpPr/>
                      </xdr:nvSpPr>
                      <xdr:spPr>
                        <a:xfrm>
                          <a:off x="2459250" y="1035375"/>
                          <a:ext cx="23400" cy="8525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936" h="341" extrusionOk="0">
                              <a:moveTo>
                                <a:pt x="272" y="0"/>
                              </a:moveTo>
                              <a:cubicBezTo>
                                <a:pt x="213" y="0"/>
                                <a:pt x="147" y="5"/>
                                <a:pt x="81" y="18"/>
                              </a:cubicBezTo>
                              <a:cubicBezTo>
                                <a:pt x="21" y="38"/>
                                <a:pt x="1" y="157"/>
                                <a:pt x="1" y="157"/>
                              </a:cubicBezTo>
                              <a:cubicBezTo>
                                <a:pt x="1" y="210"/>
                                <a:pt x="27" y="219"/>
                                <a:pt x="45" y="219"/>
                              </a:cubicBezTo>
                              <a:cubicBezTo>
                                <a:pt x="54" y="219"/>
                                <a:pt x="61" y="217"/>
                                <a:pt x="61" y="217"/>
                              </a:cubicBezTo>
                              <a:cubicBezTo>
                                <a:pt x="217" y="189"/>
                                <a:pt x="341" y="179"/>
                                <a:pt x="440" y="179"/>
                              </a:cubicBezTo>
                              <a:cubicBezTo>
                                <a:pt x="769" y="179"/>
                                <a:pt x="817" y="296"/>
                                <a:pt x="817" y="296"/>
                              </a:cubicBezTo>
                              <a:cubicBezTo>
                                <a:pt x="817" y="296"/>
                                <a:pt x="831" y="340"/>
                                <a:pt x="873" y="340"/>
                              </a:cubicBezTo>
                              <a:cubicBezTo>
                                <a:pt x="880" y="340"/>
                                <a:pt x="888" y="339"/>
                                <a:pt x="896" y="336"/>
                              </a:cubicBezTo>
                              <a:cubicBezTo>
                                <a:pt x="896" y="336"/>
                                <a:pt x="936" y="336"/>
                                <a:pt x="916" y="277"/>
                              </a:cubicBezTo>
                              <a:cubicBezTo>
                                <a:pt x="916" y="277"/>
                                <a:pt x="836" y="58"/>
                                <a:pt x="478" y="18"/>
                              </a:cubicBezTo>
                              <a:cubicBezTo>
                                <a:pt x="478" y="18"/>
                                <a:pt x="390" y="0"/>
                                <a:pt x="272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231F20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35" name="Shape 35"/>
                        <xdr:cNvSpPr/>
                      </xdr:nvSpPr>
                      <xdr:spPr>
                        <a:xfrm>
                          <a:off x="2428925" y="1043275"/>
                          <a:ext cx="20925" cy="8975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837" h="359" extrusionOk="0">
                              <a:moveTo>
                                <a:pt x="418" y="0"/>
                              </a:moveTo>
                              <a:cubicBezTo>
                                <a:pt x="100" y="0"/>
                                <a:pt x="20" y="199"/>
                                <a:pt x="20" y="199"/>
                              </a:cubicBezTo>
                              <a:cubicBezTo>
                                <a:pt x="1" y="259"/>
                                <a:pt x="60" y="279"/>
                                <a:pt x="60" y="279"/>
                              </a:cubicBezTo>
                              <a:cubicBezTo>
                                <a:pt x="120" y="279"/>
                                <a:pt x="140" y="239"/>
                                <a:pt x="140" y="239"/>
                              </a:cubicBezTo>
                              <a:cubicBezTo>
                                <a:pt x="140" y="239"/>
                                <a:pt x="160" y="179"/>
                                <a:pt x="279" y="159"/>
                              </a:cubicBezTo>
                              <a:lnTo>
                                <a:pt x="279" y="159"/>
                              </a:lnTo>
                              <a:cubicBezTo>
                                <a:pt x="279" y="159"/>
                                <a:pt x="259" y="179"/>
                                <a:pt x="259" y="199"/>
                              </a:cubicBezTo>
                              <a:cubicBezTo>
                                <a:pt x="259" y="299"/>
                                <a:pt x="339" y="358"/>
                                <a:pt x="418" y="358"/>
                              </a:cubicBezTo>
                              <a:cubicBezTo>
                                <a:pt x="518" y="358"/>
                                <a:pt x="577" y="299"/>
                                <a:pt x="577" y="199"/>
                              </a:cubicBezTo>
                              <a:cubicBezTo>
                                <a:pt x="577" y="179"/>
                                <a:pt x="577" y="159"/>
                                <a:pt x="577" y="140"/>
                              </a:cubicBezTo>
                              <a:cubicBezTo>
                                <a:pt x="617" y="159"/>
                                <a:pt x="657" y="199"/>
                                <a:pt x="677" y="239"/>
                              </a:cubicBezTo>
                              <a:cubicBezTo>
                                <a:pt x="697" y="279"/>
                                <a:pt x="717" y="279"/>
                                <a:pt x="776" y="279"/>
                              </a:cubicBezTo>
                              <a:cubicBezTo>
                                <a:pt x="836" y="279"/>
                                <a:pt x="836" y="239"/>
                                <a:pt x="836" y="239"/>
                              </a:cubicBezTo>
                              <a:cubicBezTo>
                                <a:pt x="796" y="80"/>
                                <a:pt x="697" y="20"/>
                                <a:pt x="697" y="20"/>
                              </a:cubicBezTo>
                              <a:cubicBezTo>
                                <a:pt x="597" y="0"/>
                                <a:pt x="418" y="0"/>
                                <a:pt x="418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231F20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36" name="Shape 36"/>
                        <xdr:cNvSpPr/>
                      </xdr:nvSpPr>
                      <xdr:spPr>
                        <a:xfrm>
                          <a:off x="2458775" y="1043275"/>
                          <a:ext cx="21400" cy="8975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856" h="359" extrusionOk="0">
                              <a:moveTo>
                                <a:pt x="438" y="0"/>
                              </a:moveTo>
                              <a:cubicBezTo>
                                <a:pt x="438" y="0"/>
                                <a:pt x="239" y="0"/>
                                <a:pt x="159" y="20"/>
                              </a:cubicBezTo>
                              <a:cubicBezTo>
                                <a:pt x="159" y="20"/>
                                <a:pt x="60" y="80"/>
                                <a:pt x="20" y="239"/>
                              </a:cubicBezTo>
                              <a:cubicBezTo>
                                <a:pt x="20" y="239"/>
                                <a:pt x="0" y="279"/>
                                <a:pt x="60" y="279"/>
                              </a:cubicBezTo>
                              <a:cubicBezTo>
                                <a:pt x="119" y="279"/>
                                <a:pt x="139" y="279"/>
                                <a:pt x="159" y="239"/>
                              </a:cubicBezTo>
                              <a:cubicBezTo>
                                <a:pt x="179" y="199"/>
                                <a:pt x="219" y="159"/>
                                <a:pt x="279" y="140"/>
                              </a:cubicBezTo>
                              <a:lnTo>
                                <a:pt x="279" y="140"/>
                              </a:lnTo>
                              <a:cubicBezTo>
                                <a:pt x="259" y="159"/>
                                <a:pt x="259" y="179"/>
                                <a:pt x="259" y="199"/>
                              </a:cubicBezTo>
                              <a:cubicBezTo>
                                <a:pt x="259" y="299"/>
                                <a:pt x="318" y="358"/>
                                <a:pt x="418" y="358"/>
                              </a:cubicBezTo>
                              <a:cubicBezTo>
                                <a:pt x="497" y="358"/>
                                <a:pt x="577" y="299"/>
                                <a:pt x="577" y="199"/>
                              </a:cubicBezTo>
                              <a:cubicBezTo>
                                <a:pt x="577" y="182"/>
                                <a:pt x="577" y="165"/>
                                <a:pt x="564" y="161"/>
                              </a:cubicBezTo>
                              <a:lnTo>
                                <a:pt x="564" y="161"/>
                              </a:lnTo>
                              <a:cubicBezTo>
                                <a:pt x="697" y="181"/>
                                <a:pt x="716" y="239"/>
                                <a:pt x="716" y="239"/>
                              </a:cubicBezTo>
                              <a:cubicBezTo>
                                <a:pt x="716" y="239"/>
                                <a:pt x="731" y="283"/>
                                <a:pt x="773" y="283"/>
                              </a:cubicBezTo>
                              <a:cubicBezTo>
                                <a:pt x="780" y="283"/>
                                <a:pt x="787" y="282"/>
                                <a:pt x="796" y="279"/>
                              </a:cubicBezTo>
                              <a:cubicBezTo>
                                <a:pt x="796" y="279"/>
                                <a:pt x="855" y="259"/>
                                <a:pt x="816" y="199"/>
                              </a:cubicBezTo>
                              <a:cubicBezTo>
                                <a:pt x="816" y="199"/>
                                <a:pt x="736" y="0"/>
                                <a:pt x="438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231F20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37" name="Shape 37"/>
                        <xdr:cNvSpPr/>
                      </xdr:nvSpPr>
                      <xdr:spPr>
                        <a:xfrm>
                          <a:off x="2425950" y="1035375"/>
                          <a:ext cx="23900" cy="8525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956" h="341" extrusionOk="0">
                              <a:moveTo>
                                <a:pt x="669" y="0"/>
                              </a:moveTo>
                              <a:cubicBezTo>
                                <a:pt x="557" y="0"/>
                                <a:pt x="478" y="18"/>
                                <a:pt x="478" y="18"/>
                              </a:cubicBezTo>
                              <a:cubicBezTo>
                                <a:pt x="100" y="58"/>
                                <a:pt x="20" y="277"/>
                                <a:pt x="20" y="277"/>
                              </a:cubicBezTo>
                              <a:cubicBezTo>
                                <a:pt x="0" y="336"/>
                                <a:pt x="60" y="336"/>
                                <a:pt x="60" y="336"/>
                              </a:cubicBezTo>
                              <a:cubicBezTo>
                                <a:pt x="68" y="339"/>
                                <a:pt x="76" y="340"/>
                                <a:pt x="82" y="340"/>
                              </a:cubicBezTo>
                              <a:cubicBezTo>
                                <a:pt x="120" y="340"/>
                                <a:pt x="120" y="296"/>
                                <a:pt x="120" y="296"/>
                              </a:cubicBezTo>
                              <a:cubicBezTo>
                                <a:pt x="120" y="296"/>
                                <a:pt x="167" y="179"/>
                                <a:pt x="505" y="179"/>
                              </a:cubicBezTo>
                              <a:cubicBezTo>
                                <a:pt x="607" y="179"/>
                                <a:pt x="735" y="189"/>
                                <a:pt x="895" y="217"/>
                              </a:cubicBezTo>
                              <a:cubicBezTo>
                                <a:pt x="895" y="217"/>
                                <a:pt x="955" y="217"/>
                                <a:pt x="935" y="157"/>
                              </a:cubicBezTo>
                              <a:cubicBezTo>
                                <a:pt x="935" y="157"/>
                                <a:pt x="915" y="38"/>
                                <a:pt x="856" y="18"/>
                              </a:cubicBezTo>
                              <a:cubicBezTo>
                                <a:pt x="789" y="5"/>
                                <a:pt x="725" y="0"/>
                                <a:pt x="669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231F20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38" name="Shape 38"/>
                        <xdr:cNvSpPr/>
                      </xdr:nvSpPr>
                      <xdr:spPr>
                        <a:xfrm>
                          <a:off x="2508500" y="1302875"/>
                          <a:ext cx="21400" cy="16925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856" h="677" extrusionOk="0">
                              <a:moveTo>
                                <a:pt x="378" y="0"/>
                              </a:moveTo>
                              <a:lnTo>
                                <a:pt x="378" y="0"/>
                              </a:lnTo>
                              <a:cubicBezTo>
                                <a:pt x="319" y="40"/>
                                <a:pt x="259" y="100"/>
                                <a:pt x="219" y="140"/>
                              </a:cubicBezTo>
                              <a:cubicBezTo>
                                <a:pt x="80" y="319"/>
                                <a:pt x="0" y="478"/>
                                <a:pt x="20" y="677"/>
                              </a:cubicBezTo>
                              <a:lnTo>
                                <a:pt x="259" y="677"/>
                              </a:lnTo>
                              <a:cubicBezTo>
                                <a:pt x="378" y="637"/>
                                <a:pt x="597" y="557"/>
                                <a:pt x="856" y="319"/>
                              </a:cubicBezTo>
                              <a:cubicBezTo>
                                <a:pt x="816" y="312"/>
                                <a:pt x="772" y="308"/>
                                <a:pt x="723" y="308"/>
                              </a:cubicBezTo>
                              <a:cubicBezTo>
                                <a:pt x="626" y="308"/>
                                <a:pt x="511" y="325"/>
                                <a:pt x="378" y="378"/>
                              </a:cubicBezTo>
                              <a:cubicBezTo>
                                <a:pt x="358" y="378"/>
                                <a:pt x="339" y="378"/>
                                <a:pt x="319" y="358"/>
                              </a:cubicBezTo>
                              <a:cubicBezTo>
                                <a:pt x="299" y="339"/>
                                <a:pt x="279" y="319"/>
                                <a:pt x="299" y="299"/>
                              </a:cubicBezTo>
                              <a:cubicBezTo>
                                <a:pt x="299" y="299"/>
                                <a:pt x="358" y="159"/>
                                <a:pt x="378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58A947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39" name="Shape 39"/>
                        <xdr:cNvSpPr/>
                      </xdr:nvSpPr>
                      <xdr:spPr>
                        <a:xfrm>
                          <a:off x="2379200" y="1302875"/>
                          <a:ext cx="21400" cy="16925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856" h="677" extrusionOk="0">
                              <a:moveTo>
                                <a:pt x="478" y="0"/>
                              </a:moveTo>
                              <a:cubicBezTo>
                                <a:pt x="498" y="159"/>
                                <a:pt x="557" y="299"/>
                                <a:pt x="557" y="299"/>
                              </a:cubicBezTo>
                              <a:cubicBezTo>
                                <a:pt x="557" y="319"/>
                                <a:pt x="557" y="358"/>
                                <a:pt x="537" y="358"/>
                              </a:cubicBezTo>
                              <a:cubicBezTo>
                                <a:pt x="523" y="372"/>
                                <a:pt x="509" y="387"/>
                                <a:pt x="495" y="387"/>
                              </a:cubicBezTo>
                              <a:cubicBezTo>
                                <a:pt x="489" y="387"/>
                                <a:pt x="484" y="384"/>
                                <a:pt x="478" y="378"/>
                              </a:cubicBezTo>
                              <a:cubicBezTo>
                                <a:pt x="345" y="325"/>
                                <a:pt x="221" y="308"/>
                                <a:pt x="124" y="308"/>
                              </a:cubicBezTo>
                              <a:cubicBezTo>
                                <a:pt x="75" y="308"/>
                                <a:pt x="33" y="312"/>
                                <a:pt x="0" y="319"/>
                              </a:cubicBezTo>
                              <a:cubicBezTo>
                                <a:pt x="199" y="518"/>
                                <a:pt x="398" y="637"/>
                                <a:pt x="597" y="677"/>
                              </a:cubicBezTo>
                              <a:lnTo>
                                <a:pt x="836" y="677"/>
                              </a:lnTo>
                              <a:cubicBezTo>
                                <a:pt x="856" y="358"/>
                                <a:pt x="617" y="120"/>
                                <a:pt x="478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58A947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40" name="Shape 40"/>
                        <xdr:cNvSpPr/>
                      </xdr:nvSpPr>
                      <xdr:spPr>
                        <a:xfrm>
                          <a:off x="2520425" y="1290450"/>
                          <a:ext cx="20925" cy="17425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837" h="697" extrusionOk="0">
                              <a:moveTo>
                                <a:pt x="279" y="0"/>
                              </a:moveTo>
                              <a:cubicBezTo>
                                <a:pt x="239" y="60"/>
                                <a:pt x="200" y="99"/>
                                <a:pt x="160" y="159"/>
                              </a:cubicBezTo>
                              <a:cubicBezTo>
                                <a:pt x="41" y="338"/>
                                <a:pt x="1" y="517"/>
                                <a:pt x="1" y="696"/>
                              </a:cubicBezTo>
                              <a:lnTo>
                                <a:pt x="41" y="696"/>
                              </a:lnTo>
                              <a:cubicBezTo>
                                <a:pt x="100" y="696"/>
                                <a:pt x="180" y="696"/>
                                <a:pt x="279" y="676"/>
                              </a:cubicBezTo>
                              <a:cubicBezTo>
                                <a:pt x="379" y="637"/>
                                <a:pt x="478" y="577"/>
                                <a:pt x="558" y="497"/>
                              </a:cubicBezTo>
                              <a:cubicBezTo>
                                <a:pt x="657" y="438"/>
                                <a:pt x="757" y="338"/>
                                <a:pt x="836" y="239"/>
                              </a:cubicBezTo>
                              <a:lnTo>
                                <a:pt x="836" y="219"/>
                              </a:lnTo>
                              <a:lnTo>
                                <a:pt x="816" y="219"/>
                              </a:lnTo>
                              <a:cubicBezTo>
                                <a:pt x="717" y="219"/>
                                <a:pt x="538" y="259"/>
                                <a:pt x="359" y="378"/>
                              </a:cubicBezTo>
                              <a:lnTo>
                                <a:pt x="299" y="378"/>
                              </a:lnTo>
                              <a:cubicBezTo>
                                <a:pt x="279" y="358"/>
                                <a:pt x="279" y="338"/>
                                <a:pt x="279" y="318"/>
                              </a:cubicBezTo>
                              <a:cubicBezTo>
                                <a:pt x="279" y="318"/>
                                <a:pt x="319" y="159"/>
                                <a:pt x="299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58A947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41" name="Shape 41"/>
                        <xdr:cNvSpPr/>
                      </xdr:nvSpPr>
                      <xdr:spPr>
                        <a:xfrm>
                          <a:off x="2530375" y="1276525"/>
                          <a:ext cx="19925" cy="17925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797" h="717" extrusionOk="0">
                              <a:moveTo>
                                <a:pt x="239" y="0"/>
                              </a:moveTo>
                              <a:cubicBezTo>
                                <a:pt x="200" y="60"/>
                                <a:pt x="160" y="119"/>
                                <a:pt x="140" y="179"/>
                              </a:cubicBezTo>
                              <a:cubicBezTo>
                                <a:pt x="40" y="358"/>
                                <a:pt x="1" y="557"/>
                                <a:pt x="40" y="716"/>
                              </a:cubicBezTo>
                              <a:cubicBezTo>
                                <a:pt x="80" y="716"/>
                                <a:pt x="180" y="716"/>
                                <a:pt x="279" y="656"/>
                              </a:cubicBezTo>
                              <a:cubicBezTo>
                                <a:pt x="379" y="617"/>
                                <a:pt x="478" y="557"/>
                                <a:pt x="558" y="477"/>
                              </a:cubicBezTo>
                              <a:cubicBezTo>
                                <a:pt x="657" y="398"/>
                                <a:pt x="737" y="279"/>
                                <a:pt x="796" y="179"/>
                              </a:cubicBezTo>
                              <a:lnTo>
                                <a:pt x="796" y="159"/>
                              </a:lnTo>
                              <a:cubicBezTo>
                                <a:pt x="677" y="179"/>
                                <a:pt x="518" y="239"/>
                                <a:pt x="359" y="358"/>
                              </a:cubicBezTo>
                              <a:cubicBezTo>
                                <a:pt x="349" y="368"/>
                                <a:pt x="339" y="373"/>
                                <a:pt x="329" y="373"/>
                              </a:cubicBezTo>
                              <a:cubicBezTo>
                                <a:pt x="319" y="373"/>
                                <a:pt x="309" y="368"/>
                                <a:pt x="299" y="358"/>
                              </a:cubicBezTo>
                              <a:cubicBezTo>
                                <a:pt x="279" y="358"/>
                                <a:pt x="259" y="338"/>
                                <a:pt x="259" y="318"/>
                              </a:cubicBezTo>
                              <a:cubicBezTo>
                                <a:pt x="259" y="298"/>
                                <a:pt x="279" y="159"/>
                                <a:pt x="239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58A947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42" name="Shape 42"/>
                        <xdr:cNvSpPr/>
                      </xdr:nvSpPr>
                      <xdr:spPr>
                        <a:xfrm>
                          <a:off x="2538825" y="1261600"/>
                          <a:ext cx="18925" cy="18425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757" h="737" extrusionOk="0">
                              <a:moveTo>
                                <a:pt x="160" y="0"/>
                              </a:moveTo>
                              <a:cubicBezTo>
                                <a:pt x="140" y="60"/>
                                <a:pt x="100" y="120"/>
                                <a:pt x="80" y="179"/>
                              </a:cubicBezTo>
                              <a:cubicBezTo>
                                <a:pt x="21" y="378"/>
                                <a:pt x="1" y="557"/>
                                <a:pt x="60" y="736"/>
                              </a:cubicBezTo>
                              <a:cubicBezTo>
                                <a:pt x="100" y="736"/>
                                <a:pt x="200" y="716"/>
                                <a:pt x="299" y="657"/>
                              </a:cubicBezTo>
                              <a:cubicBezTo>
                                <a:pt x="399" y="597"/>
                                <a:pt x="478" y="517"/>
                                <a:pt x="558" y="438"/>
                              </a:cubicBezTo>
                              <a:cubicBezTo>
                                <a:pt x="637" y="338"/>
                                <a:pt x="697" y="219"/>
                                <a:pt x="757" y="100"/>
                              </a:cubicBezTo>
                              <a:lnTo>
                                <a:pt x="757" y="80"/>
                              </a:lnTo>
                              <a:cubicBezTo>
                                <a:pt x="737" y="100"/>
                                <a:pt x="697" y="100"/>
                                <a:pt x="677" y="100"/>
                              </a:cubicBezTo>
                              <a:cubicBezTo>
                                <a:pt x="598" y="139"/>
                                <a:pt x="458" y="199"/>
                                <a:pt x="339" y="338"/>
                              </a:cubicBezTo>
                              <a:cubicBezTo>
                                <a:pt x="325" y="352"/>
                                <a:pt x="311" y="367"/>
                                <a:pt x="297" y="367"/>
                              </a:cubicBezTo>
                              <a:cubicBezTo>
                                <a:pt x="291" y="367"/>
                                <a:pt x="285" y="364"/>
                                <a:pt x="279" y="358"/>
                              </a:cubicBezTo>
                              <a:cubicBezTo>
                                <a:pt x="240" y="358"/>
                                <a:pt x="240" y="338"/>
                                <a:pt x="240" y="299"/>
                              </a:cubicBezTo>
                              <a:cubicBezTo>
                                <a:pt x="240" y="299"/>
                                <a:pt x="220" y="139"/>
                                <a:pt x="180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58A947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43" name="Shape 43"/>
                        <xdr:cNvSpPr/>
                      </xdr:nvSpPr>
                      <xdr:spPr>
                        <a:xfrm>
                          <a:off x="2545300" y="1245675"/>
                          <a:ext cx="17925" cy="18925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717" h="757" extrusionOk="0">
                              <a:moveTo>
                                <a:pt x="120" y="1"/>
                              </a:moveTo>
                              <a:cubicBezTo>
                                <a:pt x="100" y="60"/>
                                <a:pt x="80" y="120"/>
                                <a:pt x="60" y="200"/>
                              </a:cubicBezTo>
                              <a:cubicBezTo>
                                <a:pt x="20" y="339"/>
                                <a:pt x="0" y="558"/>
                                <a:pt x="80" y="757"/>
                              </a:cubicBezTo>
                              <a:cubicBezTo>
                                <a:pt x="120" y="757"/>
                                <a:pt x="219" y="717"/>
                                <a:pt x="319" y="637"/>
                              </a:cubicBezTo>
                              <a:cubicBezTo>
                                <a:pt x="398" y="578"/>
                                <a:pt x="478" y="498"/>
                                <a:pt x="538" y="399"/>
                              </a:cubicBezTo>
                              <a:cubicBezTo>
                                <a:pt x="617" y="299"/>
                                <a:pt x="657" y="180"/>
                                <a:pt x="717" y="60"/>
                              </a:cubicBezTo>
                              <a:lnTo>
                                <a:pt x="717" y="40"/>
                              </a:lnTo>
                              <a:lnTo>
                                <a:pt x="697" y="40"/>
                              </a:lnTo>
                              <a:cubicBezTo>
                                <a:pt x="597" y="80"/>
                                <a:pt x="458" y="180"/>
                                <a:pt x="319" y="339"/>
                              </a:cubicBezTo>
                              <a:cubicBezTo>
                                <a:pt x="299" y="359"/>
                                <a:pt x="279" y="359"/>
                                <a:pt x="259" y="359"/>
                              </a:cubicBezTo>
                              <a:cubicBezTo>
                                <a:pt x="239" y="359"/>
                                <a:pt x="219" y="339"/>
                                <a:pt x="219" y="299"/>
                              </a:cubicBezTo>
                              <a:cubicBezTo>
                                <a:pt x="219" y="299"/>
                                <a:pt x="199" y="140"/>
                                <a:pt x="120" y="1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58A947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44" name="Shape 44"/>
                        <xdr:cNvSpPr/>
                      </xdr:nvSpPr>
                      <xdr:spPr>
                        <a:xfrm>
                          <a:off x="2550275" y="1229275"/>
                          <a:ext cx="16425" cy="19425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657" h="777" extrusionOk="0">
                              <a:moveTo>
                                <a:pt x="60" y="0"/>
                              </a:moveTo>
                              <a:cubicBezTo>
                                <a:pt x="40" y="60"/>
                                <a:pt x="20" y="139"/>
                                <a:pt x="20" y="199"/>
                              </a:cubicBezTo>
                              <a:cubicBezTo>
                                <a:pt x="0" y="418"/>
                                <a:pt x="20" y="617"/>
                                <a:pt x="120" y="776"/>
                              </a:cubicBezTo>
                              <a:cubicBezTo>
                                <a:pt x="159" y="756"/>
                                <a:pt x="239" y="716"/>
                                <a:pt x="339" y="637"/>
                              </a:cubicBezTo>
                              <a:cubicBezTo>
                                <a:pt x="418" y="557"/>
                                <a:pt x="478" y="478"/>
                                <a:pt x="537" y="358"/>
                              </a:cubicBezTo>
                              <a:cubicBezTo>
                                <a:pt x="577" y="259"/>
                                <a:pt x="617" y="139"/>
                                <a:pt x="657" y="0"/>
                              </a:cubicBezTo>
                              <a:lnTo>
                                <a:pt x="637" y="0"/>
                              </a:lnTo>
                              <a:cubicBezTo>
                                <a:pt x="537" y="40"/>
                                <a:pt x="418" y="139"/>
                                <a:pt x="299" y="318"/>
                              </a:cubicBezTo>
                              <a:cubicBezTo>
                                <a:pt x="279" y="338"/>
                                <a:pt x="259" y="358"/>
                                <a:pt x="239" y="358"/>
                              </a:cubicBezTo>
                              <a:cubicBezTo>
                                <a:pt x="219" y="358"/>
                                <a:pt x="199" y="338"/>
                                <a:pt x="199" y="318"/>
                              </a:cubicBezTo>
                              <a:cubicBezTo>
                                <a:pt x="199" y="299"/>
                                <a:pt x="140" y="139"/>
                                <a:pt x="60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58A947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45" name="Shape 45"/>
                        <xdr:cNvSpPr/>
                      </xdr:nvSpPr>
                      <xdr:spPr>
                        <a:xfrm>
                          <a:off x="2552750" y="1210875"/>
                          <a:ext cx="15450" cy="20900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618" h="836" extrusionOk="0">
                              <a:moveTo>
                                <a:pt x="598" y="0"/>
                              </a:moveTo>
                              <a:cubicBezTo>
                                <a:pt x="518" y="80"/>
                                <a:pt x="399" y="199"/>
                                <a:pt x="299" y="378"/>
                              </a:cubicBezTo>
                              <a:cubicBezTo>
                                <a:pt x="279" y="398"/>
                                <a:pt x="259" y="418"/>
                                <a:pt x="240" y="418"/>
                              </a:cubicBezTo>
                              <a:cubicBezTo>
                                <a:pt x="220" y="418"/>
                                <a:pt x="200" y="398"/>
                                <a:pt x="200" y="378"/>
                              </a:cubicBezTo>
                              <a:cubicBezTo>
                                <a:pt x="200" y="378"/>
                                <a:pt x="140" y="219"/>
                                <a:pt x="41" y="100"/>
                              </a:cubicBezTo>
                              <a:lnTo>
                                <a:pt x="21" y="100"/>
                              </a:lnTo>
                              <a:cubicBezTo>
                                <a:pt x="21" y="159"/>
                                <a:pt x="1" y="239"/>
                                <a:pt x="1" y="299"/>
                              </a:cubicBezTo>
                              <a:cubicBezTo>
                                <a:pt x="1" y="497"/>
                                <a:pt x="60" y="696"/>
                                <a:pt x="160" y="836"/>
                              </a:cubicBezTo>
                              <a:lnTo>
                                <a:pt x="180" y="836"/>
                              </a:lnTo>
                              <a:cubicBezTo>
                                <a:pt x="200" y="816"/>
                                <a:pt x="279" y="776"/>
                                <a:pt x="379" y="677"/>
                              </a:cubicBezTo>
                              <a:cubicBezTo>
                                <a:pt x="438" y="597"/>
                                <a:pt x="498" y="497"/>
                                <a:pt x="538" y="398"/>
                              </a:cubicBezTo>
                              <a:cubicBezTo>
                                <a:pt x="578" y="279"/>
                                <a:pt x="598" y="159"/>
                                <a:pt x="617" y="20"/>
                              </a:cubicBezTo>
                              <a:cubicBezTo>
                                <a:pt x="617" y="20"/>
                                <a:pt x="617" y="20"/>
                                <a:pt x="617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58A947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46" name="Shape 46"/>
                        <xdr:cNvSpPr/>
                      </xdr:nvSpPr>
                      <xdr:spPr>
                        <a:xfrm>
                          <a:off x="2553250" y="1193450"/>
                          <a:ext cx="14950" cy="21925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598" h="877" extrusionOk="0">
                              <a:moveTo>
                                <a:pt x="578" y="1"/>
                              </a:moveTo>
                              <a:lnTo>
                                <a:pt x="578" y="1"/>
                              </a:lnTo>
                              <a:cubicBezTo>
                                <a:pt x="498" y="81"/>
                                <a:pt x="379" y="200"/>
                                <a:pt x="299" y="399"/>
                              </a:cubicBezTo>
                              <a:cubicBezTo>
                                <a:pt x="299" y="419"/>
                                <a:pt x="279" y="439"/>
                                <a:pt x="259" y="439"/>
                              </a:cubicBezTo>
                              <a:cubicBezTo>
                                <a:pt x="239" y="439"/>
                                <a:pt x="220" y="419"/>
                                <a:pt x="200" y="399"/>
                              </a:cubicBezTo>
                              <a:cubicBezTo>
                                <a:pt x="200" y="399"/>
                                <a:pt x="120" y="260"/>
                                <a:pt x="21" y="140"/>
                              </a:cubicBezTo>
                              <a:lnTo>
                                <a:pt x="21" y="140"/>
                              </a:lnTo>
                              <a:cubicBezTo>
                                <a:pt x="1" y="319"/>
                                <a:pt x="21" y="638"/>
                                <a:pt x="220" y="856"/>
                              </a:cubicBezTo>
                              <a:lnTo>
                                <a:pt x="220" y="876"/>
                              </a:lnTo>
                              <a:cubicBezTo>
                                <a:pt x="259" y="856"/>
                                <a:pt x="339" y="797"/>
                                <a:pt x="418" y="677"/>
                              </a:cubicBezTo>
                              <a:cubicBezTo>
                                <a:pt x="478" y="598"/>
                                <a:pt x="518" y="498"/>
                                <a:pt x="538" y="379"/>
                              </a:cubicBezTo>
                              <a:cubicBezTo>
                                <a:pt x="578" y="260"/>
                                <a:pt x="597" y="140"/>
                                <a:pt x="578" y="1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58A947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47" name="Shape 47"/>
                        <xdr:cNvSpPr/>
                      </xdr:nvSpPr>
                      <xdr:spPr>
                        <a:xfrm>
                          <a:off x="2552250" y="1175550"/>
                          <a:ext cx="13950" cy="22400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558" h="896" extrusionOk="0">
                              <a:moveTo>
                                <a:pt x="538" y="1"/>
                              </a:moveTo>
                              <a:cubicBezTo>
                                <a:pt x="458" y="60"/>
                                <a:pt x="359" y="200"/>
                                <a:pt x="299" y="419"/>
                              </a:cubicBezTo>
                              <a:cubicBezTo>
                                <a:pt x="299" y="438"/>
                                <a:pt x="279" y="458"/>
                                <a:pt x="260" y="458"/>
                              </a:cubicBezTo>
                              <a:cubicBezTo>
                                <a:pt x="240" y="458"/>
                                <a:pt x="220" y="438"/>
                                <a:pt x="200" y="419"/>
                              </a:cubicBezTo>
                              <a:cubicBezTo>
                                <a:pt x="200" y="419"/>
                                <a:pt x="120" y="299"/>
                                <a:pt x="1" y="200"/>
                              </a:cubicBezTo>
                              <a:lnTo>
                                <a:pt x="1" y="200"/>
                              </a:lnTo>
                              <a:cubicBezTo>
                                <a:pt x="21" y="399"/>
                                <a:pt x="80" y="737"/>
                                <a:pt x="260" y="896"/>
                              </a:cubicBezTo>
                              <a:lnTo>
                                <a:pt x="279" y="896"/>
                              </a:lnTo>
                              <a:cubicBezTo>
                                <a:pt x="299" y="876"/>
                                <a:pt x="379" y="797"/>
                                <a:pt x="439" y="697"/>
                              </a:cubicBezTo>
                              <a:cubicBezTo>
                                <a:pt x="498" y="598"/>
                                <a:pt x="518" y="498"/>
                                <a:pt x="538" y="379"/>
                              </a:cubicBezTo>
                              <a:cubicBezTo>
                                <a:pt x="558" y="259"/>
                                <a:pt x="558" y="140"/>
                                <a:pt x="538" y="1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58A947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48" name="Shape 48"/>
                        <xdr:cNvSpPr/>
                      </xdr:nvSpPr>
                      <xdr:spPr>
                        <a:xfrm>
                          <a:off x="2549775" y="1158150"/>
                          <a:ext cx="13950" cy="22900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558" h="916" extrusionOk="0">
                              <a:moveTo>
                                <a:pt x="518" y="1"/>
                              </a:moveTo>
                              <a:cubicBezTo>
                                <a:pt x="458" y="80"/>
                                <a:pt x="359" y="219"/>
                                <a:pt x="319" y="438"/>
                              </a:cubicBezTo>
                              <a:cubicBezTo>
                                <a:pt x="319" y="458"/>
                                <a:pt x="299" y="478"/>
                                <a:pt x="279" y="478"/>
                              </a:cubicBezTo>
                              <a:cubicBezTo>
                                <a:pt x="239" y="478"/>
                                <a:pt x="219" y="478"/>
                                <a:pt x="219" y="458"/>
                              </a:cubicBezTo>
                              <a:cubicBezTo>
                                <a:pt x="219" y="438"/>
                                <a:pt x="120" y="319"/>
                                <a:pt x="0" y="219"/>
                              </a:cubicBezTo>
                              <a:lnTo>
                                <a:pt x="0" y="219"/>
                              </a:lnTo>
                              <a:cubicBezTo>
                                <a:pt x="0" y="299"/>
                                <a:pt x="20" y="359"/>
                                <a:pt x="20" y="438"/>
                              </a:cubicBezTo>
                              <a:cubicBezTo>
                                <a:pt x="60" y="577"/>
                                <a:pt x="140" y="776"/>
                                <a:pt x="299" y="916"/>
                              </a:cubicBezTo>
                              <a:cubicBezTo>
                                <a:pt x="339" y="896"/>
                                <a:pt x="398" y="816"/>
                                <a:pt x="458" y="697"/>
                              </a:cubicBezTo>
                              <a:cubicBezTo>
                                <a:pt x="498" y="617"/>
                                <a:pt x="538" y="498"/>
                                <a:pt x="538" y="379"/>
                              </a:cubicBezTo>
                              <a:cubicBezTo>
                                <a:pt x="557" y="259"/>
                                <a:pt x="557" y="140"/>
                                <a:pt x="538" y="1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58A947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49" name="Shape 49"/>
                        <xdr:cNvSpPr/>
                      </xdr:nvSpPr>
                      <xdr:spPr>
                        <a:xfrm>
                          <a:off x="2544800" y="1140750"/>
                          <a:ext cx="14450" cy="23400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578" h="936" extrusionOk="0">
                              <a:moveTo>
                                <a:pt x="498" y="0"/>
                              </a:moveTo>
                              <a:cubicBezTo>
                                <a:pt x="438" y="100"/>
                                <a:pt x="378" y="239"/>
                                <a:pt x="359" y="458"/>
                              </a:cubicBezTo>
                              <a:cubicBezTo>
                                <a:pt x="359" y="478"/>
                                <a:pt x="339" y="498"/>
                                <a:pt x="319" y="498"/>
                              </a:cubicBezTo>
                              <a:cubicBezTo>
                                <a:pt x="312" y="504"/>
                                <a:pt x="306" y="506"/>
                                <a:pt x="299" y="506"/>
                              </a:cubicBezTo>
                              <a:cubicBezTo>
                                <a:pt x="286" y="506"/>
                                <a:pt x="272" y="498"/>
                                <a:pt x="259" y="498"/>
                              </a:cubicBezTo>
                              <a:cubicBezTo>
                                <a:pt x="259" y="498"/>
                                <a:pt x="140" y="378"/>
                                <a:pt x="20" y="279"/>
                              </a:cubicBezTo>
                              <a:lnTo>
                                <a:pt x="1" y="279"/>
                              </a:lnTo>
                              <a:cubicBezTo>
                                <a:pt x="1" y="279"/>
                                <a:pt x="1" y="299"/>
                                <a:pt x="1" y="299"/>
                              </a:cubicBezTo>
                              <a:cubicBezTo>
                                <a:pt x="20" y="358"/>
                                <a:pt x="40" y="418"/>
                                <a:pt x="60" y="498"/>
                              </a:cubicBezTo>
                              <a:cubicBezTo>
                                <a:pt x="140" y="697"/>
                                <a:pt x="259" y="836"/>
                                <a:pt x="398" y="935"/>
                              </a:cubicBezTo>
                              <a:lnTo>
                                <a:pt x="418" y="935"/>
                              </a:lnTo>
                              <a:cubicBezTo>
                                <a:pt x="438" y="895"/>
                                <a:pt x="498" y="816"/>
                                <a:pt x="538" y="697"/>
                              </a:cubicBezTo>
                              <a:cubicBezTo>
                                <a:pt x="577" y="597"/>
                                <a:pt x="577" y="498"/>
                                <a:pt x="577" y="378"/>
                              </a:cubicBezTo>
                              <a:cubicBezTo>
                                <a:pt x="577" y="259"/>
                                <a:pt x="558" y="120"/>
                                <a:pt x="518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58A947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50" name="Shape 50"/>
                        <xdr:cNvSpPr/>
                      </xdr:nvSpPr>
                      <xdr:spPr>
                        <a:xfrm>
                          <a:off x="2538325" y="1123825"/>
                          <a:ext cx="15450" cy="23400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618" h="936" extrusionOk="0">
                              <a:moveTo>
                                <a:pt x="478" y="1"/>
                              </a:moveTo>
                              <a:cubicBezTo>
                                <a:pt x="439" y="100"/>
                                <a:pt x="379" y="260"/>
                                <a:pt x="379" y="478"/>
                              </a:cubicBezTo>
                              <a:cubicBezTo>
                                <a:pt x="379" y="498"/>
                                <a:pt x="359" y="518"/>
                                <a:pt x="339" y="538"/>
                              </a:cubicBezTo>
                              <a:cubicBezTo>
                                <a:pt x="319" y="538"/>
                                <a:pt x="299" y="538"/>
                                <a:pt x="279" y="518"/>
                              </a:cubicBezTo>
                              <a:cubicBezTo>
                                <a:pt x="279" y="518"/>
                                <a:pt x="160" y="419"/>
                                <a:pt x="21" y="339"/>
                              </a:cubicBezTo>
                              <a:cubicBezTo>
                                <a:pt x="1" y="339"/>
                                <a:pt x="1" y="359"/>
                                <a:pt x="21" y="359"/>
                              </a:cubicBezTo>
                              <a:cubicBezTo>
                                <a:pt x="41" y="419"/>
                                <a:pt x="61" y="478"/>
                                <a:pt x="100" y="538"/>
                              </a:cubicBezTo>
                              <a:cubicBezTo>
                                <a:pt x="200" y="737"/>
                                <a:pt x="319" y="876"/>
                                <a:pt x="478" y="936"/>
                              </a:cubicBezTo>
                              <a:cubicBezTo>
                                <a:pt x="498" y="916"/>
                                <a:pt x="558" y="836"/>
                                <a:pt x="578" y="697"/>
                              </a:cubicBezTo>
                              <a:cubicBezTo>
                                <a:pt x="598" y="598"/>
                                <a:pt x="618" y="498"/>
                                <a:pt x="598" y="379"/>
                              </a:cubicBezTo>
                              <a:cubicBezTo>
                                <a:pt x="578" y="260"/>
                                <a:pt x="538" y="140"/>
                                <a:pt x="478" y="1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58A947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51" name="Shape 51"/>
                        <xdr:cNvSpPr/>
                      </xdr:nvSpPr>
                      <xdr:spPr>
                        <a:xfrm>
                          <a:off x="2530375" y="1108425"/>
                          <a:ext cx="15950" cy="23400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638" h="936" extrusionOk="0">
                              <a:moveTo>
                                <a:pt x="438" y="0"/>
                              </a:moveTo>
                              <a:cubicBezTo>
                                <a:pt x="398" y="100"/>
                                <a:pt x="359" y="259"/>
                                <a:pt x="398" y="478"/>
                              </a:cubicBezTo>
                              <a:cubicBezTo>
                                <a:pt x="398" y="498"/>
                                <a:pt x="398" y="517"/>
                                <a:pt x="359" y="537"/>
                              </a:cubicBezTo>
                              <a:cubicBezTo>
                                <a:pt x="339" y="537"/>
                                <a:pt x="319" y="537"/>
                                <a:pt x="299" y="517"/>
                              </a:cubicBezTo>
                              <a:cubicBezTo>
                                <a:pt x="299" y="517"/>
                                <a:pt x="160" y="418"/>
                                <a:pt x="21" y="378"/>
                              </a:cubicBezTo>
                              <a:lnTo>
                                <a:pt x="1" y="378"/>
                              </a:lnTo>
                              <a:cubicBezTo>
                                <a:pt x="40" y="458"/>
                                <a:pt x="60" y="517"/>
                                <a:pt x="100" y="557"/>
                              </a:cubicBezTo>
                              <a:cubicBezTo>
                                <a:pt x="219" y="736"/>
                                <a:pt x="379" y="876"/>
                                <a:pt x="558" y="935"/>
                              </a:cubicBezTo>
                              <a:cubicBezTo>
                                <a:pt x="578" y="895"/>
                                <a:pt x="617" y="796"/>
                                <a:pt x="617" y="677"/>
                              </a:cubicBezTo>
                              <a:cubicBezTo>
                                <a:pt x="637" y="577"/>
                                <a:pt x="617" y="458"/>
                                <a:pt x="597" y="338"/>
                              </a:cubicBezTo>
                              <a:cubicBezTo>
                                <a:pt x="558" y="239"/>
                                <a:pt x="518" y="120"/>
                                <a:pt x="438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58A947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52" name="Shape 52"/>
                        <xdr:cNvSpPr/>
                      </xdr:nvSpPr>
                      <xdr:spPr>
                        <a:xfrm>
                          <a:off x="2520925" y="1094000"/>
                          <a:ext cx="16450" cy="22400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658" h="896" extrusionOk="0">
                              <a:moveTo>
                                <a:pt x="359" y="0"/>
                              </a:moveTo>
                              <a:cubicBezTo>
                                <a:pt x="339" y="120"/>
                                <a:pt x="339" y="279"/>
                                <a:pt x="399" y="478"/>
                              </a:cubicBezTo>
                              <a:cubicBezTo>
                                <a:pt x="399" y="498"/>
                                <a:pt x="399" y="518"/>
                                <a:pt x="379" y="537"/>
                              </a:cubicBezTo>
                              <a:cubicBezTo>
                                <a:pt x="369" y="547"/>
                                <a:pt x="354" y="552"/>
                                <a:pt x="339" y="552"/>
                              </a:cubicBezTo>
                              <a:cubicBezTo>
                                <a:pt x="324" y="552"/>
                                <a:pt x="309" y="547"/>
                                <a:pt x="299" y="537"/>
                              </a:cubicBezTo>
                              <a:cubicBezTo>
                                <a:pt x="299" y="537"/>
                                <a:pt x="160" y="438"/>
                                <a:pt x="1" y="438"/>
                              </a:cubicBezTo>
                              <a:cubicBezTo>
                                <a:pt x="40" y="498"/>
                                <a:pt x="80" y="557"/>
                                <a:pt x="140" y="617"/>
                              </a:cubicBezTo>
                              <a:cubicBezTo>
                                <a:pt x="279" y="776"/>
                                <a:pt x="438" y="876"/>
                                <a:pt x="617" y="896"/>
                              </a:cubicBezTo>
                              <a:cubicBezTo>
                                <a:pt x="637" y="856"/>
                                <a:pt x="657" y="756"/>
                                <a:pt x="657" y="637"/>
                              </a:cubicBezTo>
                              <a:cubicBezTo>
                                <a:pt x="657" y="537"/>
                                <a:pt x="617" y="438"/>
                                <a:pt x="578" y="319"/>
                              </a:cubicBezTo>
                              <a:cubicBezTo>
                                <a:pt x="518" y="219"/>
                                <a:pt x="458" y="120"/>
                                <a:pt x="379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58A947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53" name="Shape 53"/>
                        <xdr:cNvSpPr/>
                      </xdr:nvSpPr>
                      <xdr:spPr>
                        <a:xfrm>
                          <a:off x="2509500" y="1081075"/>
                          <a:ext cx="17425" cy="21400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697" h="856" extrusionOk="0">
                              <a:moveTo>
                                <a:pt x="279" y="0"/>
                              </a:moveTo>
                              <a:cubicBezTo>
                                <a:pt x="279" y="120"/>
                                <a:pt x="299" y="279"/>
                                <a:pt x="378" y="458"/>
                              </a:cubicBezTo>
                              <a:cubicBezTo>
                                <a:pt x="398" y="497"/>
                                <a:pt x="398" y="517"/>
                                <a:pt x="378" y="537"/>
                              </a:cubicBezTo>
                              <a:cubicBezTo>
                                <a:pt x="358" y="557"/>
                                <a:pt x="338" y="557"/>
                                <a:pt x="318" y="557"/>
                              </a:cubicBezTo>
                              <a:cubicBezTo>
                                <a:pt x="318" y="557"/>
                                <a:pt x="179" y="497"/>
                                <a:pt x="20" y="497"/>
                              </a:cubicBezTo>
                              <a:lnTo>
                                <a:pt x="0" y="497"/>
                              </a:lnTo>
                              <a:cubicBezTo>
                                <a:pt x="60" y="557"/>
                                <a:pt x="119" y="617"/>
                                <a:pt x="179" y="657"/>
                              </a:cubicBezTo>
                              <a:cubicBezTo>
                                <a:pt x="299" y="756"/>
                                <a:pt x="478" y="856"/>
                                <a:pt x="676" y="856"/>
                              </a:cubicBezTo>
                              <a:cubicBezTo>
                                <a:pt x="696" y="816"/>
                                <a:pt x="696" y="716"/>
                                <a:pt x="676" y="597"/>
                              </a:cubicBezTo>
                              <a:cubicBezTo>
                                <a:pt x="637" y="478"/>
                                <a:pt x="597" y="378"/>
                                <a:pt x="537" y="279"/>
                              </a:cubicBezTo>
                              <a:cubicBezTo>
                                <a:pt x="458" y="179"/>
                                <a:pt x="378" y="100"/>
                                <a:pt x="279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58A947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54" name="Shape 54"/>
                        <xdr:cNvSpPr/>
                      </xdr:nvSpPr>
                      <xdr:spPr>
                        <a:xfrm>
                          <a:off x="2367750" y="1290450"/>
                          <a:ext cx="21425" cy="17425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857" h="697" extrusionOk="0">
                              <a:moveTo>
                                <a:pt x="538" y="0"/>
                              </a:moveTo>
                              <a:lnTo>
                                <a:pt x="538" y="0"/>
                              </a:lnTo>
                              <a:cubicBezTo>
                                <a:pt x="518" y="159"/>
                                <a:pt x="558" y="298"/>
                                <a:pt x="558" y="298"/>
                              </a:cubicBezTo>
                              <a:cubicBezTo>
                                <a:pt x="558" y="318"/>
                                <a:pt x="558" y="338"/>
                                <a:pt x="538" y="358"/>
                              </a:cubicBezTo>
                              <a:cubicBezTo>
                                <a:pt x="528" y="368"/>
                                <a:pt x="518" y="373"/>
                                <a:pt x="508" y="373"/>
                              </a:cubicBezTo>
                              <a:cubicBezTo>
                                <a:pt x="498" y="373"/>
                                <a:pt x="488" y="368"/>
                                <a:pt x="478" y="358"/>
                              </a:cubicBezTo>
                              <a:cubicBezTo>
                                <a:pt x="299" y="259"/>
                                <a:pt x="120" y="219"/>
                                <a:pt x="21" y="219"/>
                              </a:cubicBezTo>
                              <a:lnTo>
                                <a:pt x="1" y="219"/>
                              </a:lnTo>
                              <a:cubicBezTo>
                                <a:pt x="100" y="318"/>
                                <a:pt x="180" y="418"/>
                                <a:pt x="279" y="497"/>
                              </a:cubicBezTo>
                              <a:cubicBezTo>
                                <a:pt x="359" y="577"/>
                                <a:pt x="478" y="617"/>
                                <a:pt x="578" y="656"/>
                              </a:cubicBezTo>
                              <a:cubicBezTo>
                                <a:pt x="657" y="696"/>
                                <a:pt x="757" y="696"/>
                                <a:pt x="796" y="696"/>
                              </a:cubicBezTo>
                              <a:lnTo>
                                <a:pt x="836" y="696"/>
                              </a:lnTo>
                              <a:cubicBezTo>
                                <a:pt x="856" y="398"/>
                                <a:pt x="657" y="139"/>
                                <a:pt x="538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58A947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55" name="Shape 55"/>
                        <xdr:cNvSpPr/>
                      </xdr:nvSpPr>
                      <xdr:spPr>
                        <a:xfrm>
                          <a:off x="2358800" y="1276525"/>
                          <a:ext cx="19925" cy="17925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797" h="717" extrusionOk="0">
                              <a:moveTo>
                                <a:pt x="558" y="0"/>
                              </a:moveTo>
                              <a:cubicBezTo>
                                <a:pt x="518" y="159"/>
                                <a:pt x="538" y="298"/>
                                <a:pt x="538" y="298"/>
                              </a:cubicBezTo>
                              <a:cubicBezTo>
                                <a:pt x="538" y="338"/>
                                <a:pt x="538" y="358"/>
                                <a:pt x="518" y="358"/>
                              </a:cubicBezTo>
                              <a:cubicBezTo>
                                <a:pt x="508" y="368"/>
                                <a:pt x="493" y="373"/>
                                <a:pt x="478" y="373"/>
                              </a:cubicBezTo>
                              <a:cubicBezTo>
                                <a:pt x="463" y="373"/>
                                <a:pt x="448" y="368"/>
                                <a:pt x="438" y="358"/>
                              </a:cubicBezTo>
                              <a:cubicBezTo>
                                <a:pt x="279" y="219"/>
                                <a:pt x="120" y="179"/>
                                <a:pt x="1" y="159"/>
                              </a:cubicBezTo>
                              <a:lnTo>
                                <a:pt x="1" y="159"/>
                              </a:lnTo>
                              <a:cubicBezTo>
                                <a:pt x="80" y="279"/>
                                <a:pt x="140" y="398"/>
                                <a:pt x="239" y="477"/>
                              </a:cubicBezTo>
                              <a:cubicBezTo>
                                <a:pt x="319" y="557"/>
                                <a:pt x="418" y="617"/>
                                <a:pt x="518" y="656"/>
                              </a:cubicBezTo>
                              <a:cubicBezTo>
                                <a:pt x="617" y="716"/>
                                <a:pt x="717" y="716"/>
                                <a:pt x="757" y="716"/>
                              </a:cubicBezTo>
                              <a:lnTo>
                                <a:pt x="776" y="716"/>
                              </a:lnTo>
                              <a:cubicBezTo>
                                <a:pt x="796" y="517"/>
                                <a:pt x="737" y="318"/>
                                <a:pt x="677" y="179"/>
                              </a:cubicBezTo>
                              <a:cubicBezTo>
                                <a:pt x="637" y="119"/>
                                <a:pt x="597" y="60"/>
                                <a:pt x="558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58A947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56" name="Shape 56"/>
                        <xdr:cNvSpPr/>
                      </xdr:nvSpPr>
                      <xdr:spPr>
                        <a:xfrm>
                          <a:off x="2351350" y="1261600"/>
                          <a:ext cx="18925" cy="18925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757" h="757" extrusionOk="0">
                              <a:moveTo>
                                <a:pt x="577" y="0"/>
                              </a:moveTo>
                              <a:cubicBezTo>
                                <a:pt x="517" y="159"/>
                                <a:pt x="517" y="319"/>
                                <a:pt x="517" y="319"/>
                              </a:cubicBezTo>
                              <a:cubicBezTo>
                                <a:pt x="517" y="338"/>
                                <a:pt x="498" y="358"/>
                                <a:pt x="478" y="378"/>
                              </a:cubicBezTo>
                              <a:cubicBezTo>
                                <a:pt x="458" y="378"/>
                                <a:pt x="438" y="378"/>
                                <a:pt x="418" y="358"/>
                              </a:cubicBezTo>
                              <a:cubicBezTo>
                                <a:pt x="299" y="219"/>
                                <a:pt x="159" y="159"/>
                                <a:pt x="60" y="120"/>
                              </a:cubicBezTo>
                              <a:cubicBezTo>
                                <a:pt x="40" y="120"/>
                                <a:pt x="20" y="120"/>
                                <a:pt x="0" y="100"/>
                              </a:cubicBezTo>
                              <a:cubicBezTo>
                                <a:pt x="0" y="100"/>
                                <a:pt x="0" y="100"/>
                                <a:pt x="0" y="120"/>
                              </a:cubicBezTo>
                              <a:cubicBezTo>
                                <a:pt x="60" y="239"/>
                                <a:pt x="120" y="358"/>
                                <a:pt x="199" y="438"/>
                              </a:cubicBezTo>
                              <a:cubicBezTo>
                                <a:pt x="279" y="537"/>
                                <a:pt x="358" y="617"/>
                                <a:pt x="458" y="657"/>
                              </a:cubicBezTo>
                              <a:cubicBezTo>
                                <a:pt x="557" y="716"/>
                                <a:pt x="657" y="736"/>
                                <a:pt x="697" y="756"/>
                              </a:cubicBezTo>
                              <a:cubicBezTo>
                                <a:pt x="756" y="577"/>
                                <a:pt x="736" y="378"/>
                                <a:pt x="677" y="179"/>
                              </a:cubicBezTo>
                              <a:cubicBezTo>
                                <a:pt x="637" y="120"/>
                                <a:pt x="617" y="60"/>
                                <a:pt x="577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58A947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57" name="Shape 57"/>
                        <xdr:cNvSpPr/>
                      </xdr:nvSpPr>
                      <xdr:spPr>
                        <a:xfrm>
                          <a:off x="2345875" y="1246175"/>
                          <a:ext cx="18925" cy="18925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757" h="757" extrusionOk="0">
                              <a:moveTo>
                                <a:pt x="597" y="1"/>
                              </a:moveTo>
                              <a:cubicBezTo>
                                <a:pt x="518" y="140"/>
                                <a:pt x="498" y="299"/>
                                <a:pt x="498" y="299"/>
                              </a:cubicBezTo>
                              <a:cubicBezTo>
                                <a:pt x="498" y="319"/>
                                <a:pt x="478" y="339"/>
                                <a:pt x="458" y="339"/>
                              </a:cubicBezTo>
                              <a:cubicBezTo>
                                <a:pt x="452" y="345"/>
                                <a:pt x="445" y="347"/>
                                <a:pt x="437" y="347"/>
                              </a:cubicBezTo>
                              <a:cubicBezTo>
                                <a:pt x="418" y="347"/>
                                <a:pt x="398" y="333"/>
                                <a:pt x="398" y="319"/>
                              </a:cubicBezTo>
                              <a:cubicBezTo>
                                <a:pt x="279" y="180"/>
                                <a:pt x="160" y="100"/>
                                <a:pt x="60" y="60"/>
                              </a:cubicBezTo>
                              <a:cubicBezTo>
                                <a:pt x="40" y="40"/>
                                <a:pt x="40" y="40"/>
                                <a:pt x="20" y="20"/>
                              </a:cubicBezTo>
                              <a:lnTo>
                                <a:pt x="0" y="20"/>
                              </a:lnTo>
                              <a:cubicBezTo>
                                <a:pt x="0" y="20"/>
                                <a:pt x="0" y="40"/>
                                <a:pt x="0" y="40"/>
                              </a:cubicBezTo>
                              <a:cubicBezTo>
                                <a:pt x="160" y="577"/>
                                <a:pt x="478" y="717"/>
                                <a:pt x="617" y="756"/>
                              </a:cubicBezTo>
                              <a:cubicBezTo>
                                <a:pt x="756" y="438"/>
                                <a:pt x="657" y="140"/>
                                <a:pt x="597" y="1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58A947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58" name="Shape 58"/>
                        <xdr:cNvSpPr/>
                      </xdr:nvSpPr>
                      <xdr:spPr>
                        <a:xfrm>
                          <a:off x="2341900" y="1229275"/>
                          <a:ext cx="17425" cy="19425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697" h="777" extrusionOk="0">
                              <a:moveTo>
                                <a:pt x="597" y="0"/>
                              </a:moveTo>
                              <a:cubicBezTo>
                                <a:pt x="577" y="0"/>
                                <a:pt x="577" y="0"/>
                                <a:pt x="577" y="20"/>
                              </a:cubicBezTo>
                              <a:cubicBezTo>
                                <a:pt x="498" y="139"/>
                                <a:pt x="458" y="318"/>
                                <a:pt x="458" y="318"/>
                              </a:cubicBezTo>
                              <a:cubicBezTo>
                                <a:pt x="458" y="338"/>
                                <a:pt x="438" y="358"/>
                                <a:pt x="418" y="358"/>
                              </a:cubicBezTo>
                              <a:cubicBezTo>
                                <a:pt x="412" y="364"/>
                                <a:pt x="406" y="367"/>
                                <a:pt x="401" y="367"/>
                              </a:cubicBezTo>
                              <a:cubicBezTo>
                                <a:pt x="386" y="367"/>
                                <a:pt x="372" y="352"/>
                                <a:pt x="358" y="338"/>
                              </a:cubicBezTo>
                              <a:cubicBezTo>
                                <a:pt x="239" y="159"/>
                                <a:pt x="100" y="80"/>
                                <a:pt x="0" y="20"/>
                              </a:cubicBezTo>
                              <a:lnTo>
                                <a:pt x="0" y="20"/>
                              </a:lnTo>
                              <a:cubicBezTo>
                                <a:pt x="20" y="159"/>
                                <a:pt x="60" y="279"/>
                                <a:pt x="120" y="378"/>
                              </a:cubicBezTo>
                              <a:cubicBezTo>
                                <a:pt x="179" y="498"/>
                                <a:pt x="259" y="577"/>
                                <a:pt x="338" y="657"/>
                              </a:cubicBezTo>
                              <a:cubicBezTo>
                                <a:pt x="418" y="736"/>
                                <a:pt x="518" y="776"/>
                                <a:pt x="557" y="776"/>
                              </a:cubicBezTo>
                              <a:cubicBezTo>
                                <a:pt x="677" y="597"/>
                                <a:pt x="697" y="398"/>
                                <a:pt x="657" y="199"/>
                              </a:cubicBezTo>
                              <a:cubicBezTo>
                                <a:pt x="637" y="139"/>
                                <a:pt x="617" y="80"/>
                                <a:pt x="597" y="20"/>
                              </a:cubicBezTo>
                              <a:cubicBezTo>
                                <a:pt x="597" y="0"/>
                                <a:pt x="597" y="0"/>
                                <a:pt x="597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58A947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59" name="Shape 59"/>
                        <xdr:cNvSpPr/>
                      </xdr:nvSpPr>
                      <xdr:spPr>
                        <a:xfrm>
                          <a:off x="2340900" y="1211375"/>
                          <a:ext cx="15950" cy="21400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638" h="856" extrusionOk="0">
                              <a:moveTo>
                                <a:pt x="1" y="0"/>
                              </a:moveTo>
                              <a:cubicBezTo>
                                <a:pt x="1" y="0"/>
                                <a:pt x="1" y="20"/>
                                <a:pt x="1" y="20"/>
                              </a:cubicBezTo>
                              <a:cubicBezTo>
                                <a:pt x="20" y="557"/>
                                <a:pt x="299" y="776"/>
                                <a:pt x="418" y="855"/>
                              </a:cubicBezTo>
                              <a:cubicBezTo>
                                <a:pt x="637" y="557"/>
                                <a:pt x="617" y="259"/>
                                <a:pt x="577" y="100"/>
                              </a:cubicBezTo>
                              <a:lnTo>
                                <a:pt x="577" y="100"/>
                              </a:lnTo>
                              <a:cubicBezTo>
                                <a:pt x="478" y="219"/>
                                <a:pt x="418" y="378"/>
                                <a:pt x="418" y="378"/>
                              </a:cubicBezTo>
                              <a:cubicBezTo>
                                <a:pt x="398" y="398"/>
                                <a:pt x="378" y="418"/>
                                <a:pt x="359" y="418"/>
                              </a:cubicBezTo>
                              <a:cubicBezTo>
                                <a:pt x="339" y="418"/>
                                <a:pt x="319" y="398"/>
                                <a:pt x="299" y="378"/>
                              </a:cubicBezTo>
                              <a:cubicBezTo>
                                <a:pt x="219" y="219"/>
                                <a:pt x="120" y="119"/>
                                <a:pt x="60" y="40"/>
                              </a:cubicBezTo>
                              <a:cubicBezTo>
                                <a:pt x="40" y="40"/>
                                <a:pt x="20" y="20"/>
                                <a:pt x="1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58A947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60" name="Shape 60"/>
                        <xdr:cNvSpPr/>
                      </xdr:nvSpPr>
                      <xdr:spPr>
                        <a:xfrm>
                          <a:off x="2340900" y="1193450"/>
                          <a:ext cx="14450" cy="22425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578" h="897" extrusionOk="0">
                              <a:moveTo>
                                <a:pt x="20" y="1"/>
                              </a:moveTo>
                              <a:cubicBezTo>
                                <a:pt x="20" y="1"/>
                                <a:pt x="20" y="21"/>
                                <a:pt x="20" y="21"/>
                              </a:cubicBezTo>
                              <a:cubicBezTo>
                                <a:pt x="1" y="578"/>
                                <a:pt x="239" y="817"/>
                                <a:pt x="359" y="896"/>
                              </a:cubicBezTo>
                              <a:cubicBezTo>
                                <a:pt x="458" y="797"/>
                                <a:pt x="538" y="657"/>
                                <a:pt x="558" y="478"/>
                              </a:cubicBezTo>
                              <a:cubicBezTo>
                                <a:pt x="577" y="359"/>
                                <a:pt x="577" y="220"/>
                                <a:pt x="558" y="140"/>
                              </a:cubicBezTo>
                              <a:cubicBezTo>
                                <a:pt x="438" y="260"/>
                                <a:pt x="398" y="399"/>
                                <a:pt x="398" y="399"/>
                              </a:cubicBezTo>
                              <a:cubicBezTo>
                                <a:pt x="398" y="439"/>
                                <a:pt x="378" y="458"/>
                                <a:pt x="359" y="458"/>
                              </a:cubicBezTo>
                              <a:cubicBezTo>
                                <a:pt x="319" y="458"/>
                                <a:pt x="299" y="439"/>
                                <a:pt x="299" y="419"/>
                              </a:cubicBezTo>
                              <a:cubicBezTo>
                                <a:pt x="239" y="240"/>
                                <a:pt x="140" y="120"/>
                                <a:pt x="80" y="61"/>
                              </a:cubicBezTo>
                              <a:lnTo>
                                <a:pt x="40" y="1"/>
                              </a:lnTo>
                              <a:close/>
                            </a:path>
                          </a:pathLst>
                        </a:custGeom>
                        <a:solidFill>
                          <a:srgbClr val="58A947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61" name="Shape 61"/>
                        <xdr:cNvSpPr/>
                      </xdr:nvSpPr>
                      <xdr:spPr>
                        <a:xfrm>
                          <a:off x="2342400" y="1175050"/>
                          <a:ext cx="13950" cy="22900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558" h="916" extrusionOk="0">
                              <a:moveTo>
                                <a:pt x="20" y="1"/>
                              </a:moveTo>
                              <a:cubicBezTo>
                                <a:pt x="0" y="140"/>
                                <a:pt x="0" y="279"/>
                                <a:pt x="20" y="379"/>
                              </a:cubicBezTo>
                              <a:cubicBezTo>
                                <a:pt x="40" y="518"/>
                                <a:pt x="80" y="618"/>
                                <a:pt x="139" y="717"/>
                              </a:cubicBezTo>
                              <a:cubicBezTo>
                                <a:pt x="199" y="817"/>
                                <a:pt x="259" y="896"/>
                                <a:pt x="299" y="916"/>
                              </a:cubicBezTo>
                              <a:cubicBezTo>
                                <a:pt x="418" y="797"/>
                                <a:pt x="517" y="618"/>
                                <a:pt x="537" y="419"/>
                              </a:cubicBezTo>
                              <a:cubicBezTo>
                                <a:pt x="557" y="339"/>
                                <a:pt x="557" y="279"/>
                                <a:pt x="557" y="200"/>
                              </a:cubicBezTo>
                              <a:lnTo>
                                <a:pt x="557" y="200"/>
                              </a:lnTo>
                              <a:cubicBezTo>
                                <a:pt x="438" y="299"/>
                                <a:pt x="378" y="439"/>
                                <a:pt x="378" y="439"/>
                              </a:cubicBezTo>
                              <a:cubicBezTo>
                                <a:pt x="358" y="458"/>
                                <a:pt x="338" y="478"/>
                                <a:pt x="318" y="478"/>
                              </a:cubicBezTo>
                              <a:cubicBezTo>
                                <a:pt x="279" y="478"/>
                                <a:pt x="259" y="458"/>
                                <a:pt x="259" y="419"/>
                              </a:cubicBezTo>
                              <a:cubicBezTo>
                                <a:pt x="199" y="220"/>
                                <a:pt x="100" y="80"/>
                                <a:pt x="20" y="1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58A947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62" name="Shape 62"/>
                        <xdr:cNvSpPr/>
                      </xdr:nvSpPr>
                      <xdr:spPr>
                        <a:xfrm>
                          <a:off x="2344875" y="1157650"/>
                          <a:ext cx="14450" cy="22900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578" h="916" extrusionOk="0">
                              <a:moveTo>
                                <a:pt x="21" y="1"/>
                              </a:moveTo>
                              <a:cubicBezTo>
                                <a:pt x="1" y="140"/>
                                <a:pt x="1" y="279"/>
                                <a:pt x="1" y="379"/>
                              </a:cubicBezTo>
                              <a:cubicBezTo>
                                <a:pt x="21" y="518"/>
                                <a:pt x="60" y="617"/>
                                <a:pt x="100" y="717"/>
                              </a:cubicBezTo>
                              <a:cubicBezTo>
                                <a:pt x="160" y="816"/>
                                <a:pt x="219" y="896"/>
                                <a:pt x="259" y="916"/>
                              </a:cubicBezTo>
                              <a:cubicBezTo>
                                <a:pt x="418" y="796"/>
                                <a:pt x="498" y="617"/>
                                <a:pt x="558" y="418"/>
                              </a:cubicBezTo>
                              <a:cubicBezTo>
                                <a:pt x="578" y="359"/>
                                <a:pt x="578" y="299"/>
                                <a:pt x="578" y="239"/>
                              </a:cubicBezTo>
                              <a:cubicBezTo>
                                <a:pt x="578" y="239"/>
                                <a:pt x="578" y="239"/>
                                <a:pt x="578" y="219"/>
                              </a:cubicBezTo>
                              <a:cubicBezTo>
                                <a:pt x="438" y="319"/>
                                <a:pt x="359" y="458"/>
                                <a:pt x="359" y="458"/>
                              </a:cubicBezTo>
                              <a:cubicBezTo>
                                <a:pt x="345" y="472"/>
                                <a:pt x="331" y="486"/>
                                <a:pt x="317" y="486"/>
                              </a:cubicBezTo>
                              <a:cubicBezTo>
                                <a:pt x="311" y="486"/>
                                <a:pt x="305" y="484"/>
                                <a:pt x="299" y="478"/>
                              </a:cubicBezTo>
                              <a:cubicBezTo>
                                <a:pt x="259" y="478"/>
                                <a:pt x="259" y="458"/>
                                <a:pt x="239" y="438"/>
                              </a:cubicBezTo>
                              <a:cubicBezTo>
                                <a:pt x="200" y="239"/>
                                <a:pt x="100" y="80"/>
                                <a:pt x="40" y="1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58A947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63" name="Shape 63"/>
                        <xdr:cNvSpPr/>
                      </xdr:nvSpPr>
                      <xdr:spPr>
                        <a:xfrm>
                          <a:off x="2348850" y="1140250"/>
                          <a:ext cx="14950" cy="23400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598" h="936" extrusionOk="0">
                              <a:moveTo>
                                <a:pt x="80" y="0"/>
                              </a:moveTo>
                              <a:cubicBezTo>
                                <a:pt x="41" y="140"/>
                                <a:pt x="21" y="259"/>
                                <a:pt x="1" y="378"/>
                              </a:cubicBezTo>
                              <a:cubicBezTo>
                                <a:pt x="1" y="498"/>
                                <a:pt x="21" y="617"/>
                                <a:pt x="60" y="717"/>
                              </a:cubicBezTo>
                              <a:cubicBezTo>
                                <a:pt x="100" y="836"/>
                                <a:pt x="160" y="915"/>
                                <a:pt x="180" y="935"/>
                              </a:cubicBezTo>
                              <a:lnTo>
                                <a:pt x="200" y="935"/>
                              </a:lnTo>
                              <a:cubicBezTo>
                                <a:pt x="379" y="836"/>
                                <a:pt x="498" y="677"/>
                                <a:pt x="558" y="478"/>
                              </a:cubicBezTo>
                              <a:cubicBezTo>
                                <a:pt x="578" y="418"/>
                                <a:pt x="598" y="358"/>
                                <a:pt x="598" y="299"/>
                              </a:cubicBezTo>
                              <a:cubicBezTo>
                                <a:pt x="598" y="299"/>
                                <a:pt x="598" y="299"/>
                                <a:pt x="598" y="279"/>
                              </a:cubicBezTo>
                              <a:cubicBezTo>
                                <a:pt x="438" y="378"/>
                                <a:pt x="339" y="498"/>
                                <a:pt x="339" y="498"/>
                              </a:cubicBezTo>
                              <a:cubicBezTo>
                                <a:pt x="319" y="518"/>
                                <a:pt x="299" y="518"/>
                                <a:pt x="279" y="518"/>
                              </a:cubicBezTo>
                              <a:cubicBezTo>
                                <a:pt x="259" y="498"/>
                                <a:pt x="240" y="478"/>
                                <a:pt x="240" y="458"/>
                              </a:cubicBezTo>
                              <a:cubicBezTo>
                                <a:pt x="220" y="239"/>
                                <a:pt x="140" y="100"/>
                                <a:pt x="80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58A947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64" name="Shape 64"/>
                        <xdr:cNvSpPr/>
                      </xdr:nvSpPr>
                      <xdr:spPr>
                        <a:xfrm>
                          <a:off x="2354825" y="1123825"/>
                          <a:ext cx="15450" cy="23400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618" h="936" extrusionOk="0">
                              <a:moveTo>
                                <a:pt x="140" y="1"/>
                              </a:moveTo>
                              <a:cubicBezTo>
                                <a:pt x="80" y="120"/>
                                <a:pt x="40" y="260"/>
                                <a:pt x="20" y="359"/>
                              </a:cubicBezTo>
                              <a:cubicBezTo>
                                <a:pt x="1" y="478"/>
                                <a:pt x="1" y="598"/>
                                <a:pt x="20" y="697"/>
                              </a:cubicBezTo>
                              <a:cubicBezTo>
                                <a:pt x="60" y="817"/>
                                <a:pt x="100" y="896"/>
                                <a:pt x="120" y="936"/>
                              </a:cubicBezTo>
                              <a:cubicBezTo>
                                <a:pt x="319" y="856"/>
                                <a:pt x="458" y="697"/>
                                <a:pt x="558" y="518"/>
                              </a:cubicBezTo>
                              <a:cubicBezTo>
                                <a:pt x="577" y="458"/>
                                <a:pt x="597" y="399"/>
                                <a:pt x="617" y="339"/>
                              </a:cubicBezTo>
                              <a:lnTo>
                                <a:pt x="617" y="339"/>
                              </a:lnTo>
                              <a:cubicBezTo>
                                <a:pt x="458" y="399"/>
                                <a:pt x="339" y="518"/>
                                <a:pt x="339" y="518"/>
                              </a:cubicBezTo>
                              <a:cubicBezTo>
                                <a:pt x="329" y="528"/>
                                <a:pt x="314" y="533"/>
                                <a:pt x="299" y="533"/>
                              </a:cubicBezTo>
                              <a:cubicBezTo>
                                <a:pt x="284" y="533"/>
                                <a:pt x="269" y="528"/>
                                <a:pt x="259" y="518"/>
                              </a:cubicBezTo>
                              <a:cubicBezTo>
                                <a:pt x="239" y="518"/>
                                <a:pt x="239" y="498"/>
                                <a:pt x="239" y="478"/>
                              </a:cubicBezTo>
                              <a:cubicBezTo>
                                <a:pt x="239" y="260"/>
                                <a:pt x="180" y="100"/>
                                <a:pt x="140" y="1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58A947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65" name="Shape 65"/>
                        <xdr:cNvSpPr/>
                      </xdr:nvSpPr>
                      <xdr:spPr>
                        <a:xfrm>
                          <a:off x="2362275" y="1108425"/>
                          <a:ext cx="15950" cy="23400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638" h="936" extrusionOk="0">
                              <a:moveTo>
                                <a:pt x="220" y="0"/>
                              </a:moveTo>
                              <a:cubicBezTo>
                                <a:pt x="140" y="120"/>
                                <a:pt x="80" y="239"/>
                                <a:pt x="61" y="338"/>
                              </a:cubicBezTo>
                              <a:cubicBezTo>
                                <a:pt x="21" y="458"/>
                                <a:pt x="1" y="577"/>
                                <a:pt x="21" y="677"/>
                              </a:cubicBezTo>
                              <a:cubicBezTo>
                                <a:pt x="21" y="796"/>
                                <a:pt x="61" y="895"/>
                                <a:pt x="61" y="935"/>
                              </a:cubicBezTo>
                              <a:lnTo>
                                <a:pt x="80" y="935"/>
                              </a:lnTo>
                              <a:cubicBezTo>
                                <a:pt x="240" y="876"/>
                                <a:pt x="399" y="756"/>
                                <a:pt x="518" y="597"/>
                              </a:cubicBezTo>
                              <a:cubicBezTo>
                                <a:pt x="578" y="517"/>
                                <a:pt x="618" y="438"/>
                                <a:pt x="637" y="398"/>
                              </a:cubicBezTo>
                              <a:cubicBezTo>
                                <a:pt x="637" y="378"/>
                                <a:pt x="637" y="378"/>
                                <a:pt x="637" y="378"/>
                              </a:cubicBezTo>
                              <a:cubicBezTo>
                                <a:pt x="478" y="418"/>
                                <a:pt x="359" y="517"/>
                                <a:pt x="359" y="537"/>
                              </a:cubicBezTo>
                              <a:cubicBezTo>
                                <a:pt x="346" y="537"/>
                                <a:pt x="324" y="546"/>
                                <a:pt x="304" y="546"/>
                              </a:cubicBezTo>
                              <a:cubicBezTo>
                                <a:pt x="295" y="546"/>
                                <a:pt x="286" y="544"/>
                                <a:pt x="279" y="537"/>
                              </a:cubicBezTo>
                              <a:cubicBezTo>
                                <a:pt x="260" y="517"/>
                                <a:pt x="240" y="498"/>
                                <a:pt x="240" y="478"/>
                              </a:cubicBezTo>
                              <a:cubicBezTo>
                                <a:pt x="299" y="259"/>
                                <a:pt x="260" y="100"/>
                                <a:pt x="220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58A947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66" name="Shape 66"/>
                        <xdr:cNvSpPr/>
                      </xdr:nvSpPr>
                      <xdr:spPr>
                        <a:xfrm>
                          <a:off x="2370250" y="1094000"/>
                          <a:ext cx="17925" cy="22400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717" h="896" extrusionOk="0">
                              <a:moveTo>
                                <a:pt x="358" y="0"/>
                              </a:moveTo>
                              <a:lnTo>
                                <a:pt x="358" y="0"/>
                              </a:lnTo>
                              <a:cubicBezTo>
                                <a:pt x="0" y="418"/>
                                <a:pt x="60" y="776"/>
                                <a:pt x="100" y="896"/>
                              </a:cubicBezTo>
                              <a:cubicBezTo>
                                <a:pt x="398" y="856"/>
                                <a:pt x="617" y="597"/>
                                <a:pt x="716" y="438"/>
                              </a:cubicBezTo>
                              <a:lnTo>
                                <a:pt x="716" y="438"/>
                              </a:lnTo>
                              <a:cubicBezTo>
                                <a:pt x="557" y="458"/>
                                <a:pt x="418" y="537"/>
                                <a:pt x="418" y="537"/>
                              </a:cubicBezTo>
                              <a:cubicBezTo>
                                <a:pt x="408" y="547"/>
                                <a:pt x="393" y="552"/>
                                <a:pt x="378" y="552"/>
                              </a:cubicBezTo>
                              <a:cubicBezTo>
                                <a:pt x="363" y="552"/>
                                <a:pt x="348" y="547"/>
                                <a:pt x="338" y="537"/>
                              </a:cubicBezTo>
                              <a:cubicBezTo>
                                <a:pt x="318" y="518"/>
                                <a:pt x="318" y="498"/>
                                <a:pt x="318" y="478"/>
                              </a:cubicBezTo>
                              <a:cubicBezTo>
                                <a:pt x="398" y="259"/>
                                <a:pt x="378" y="100"/>
                                <a:pt x="358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58A947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67" name="Shape 67"/>
                        <xdr:cNvSpPr/>
                      </xdr:nvSpPr>
                      <xdr:spPr>
                        <a:xfrm>
                          <a:off x="2382175" y="1081075"/>
                          <a:ext cx="17425" cy="21400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697" h="856" extrusionOk="0">
                              <a:moveTo>
                                <a:pt x="418" y="0"/>
                              </a:moveTo>
                              <a:lnTo>
                                <a:pt x="418" y="0"/>
                              </a:lnTo>
                              <a:cubicBezTo>
                                <a:pt x="319" y="80"/>
                                <a:pt x="219" y="179"/>
                                <a:pt x="160" y="279"/>
                              </a:cubicBezTo>
                              <a:cubicBezTo>
                                <a:pt x="100" y="378"/>
                                <a:pt x="60" y="478"/>
                                <a:pt x="20" y="597"/>
                              </a:cubicBezTo>
                              <a:cubicBezTo>
                                <a:pt x="1" y="716"/>
                                <a:pt x="20" y="816"/>
                                <a:pt x="20" y="856"/>
                              </a:cubicBezTo>
                              <a:lnTo>
                                <a:pt x="40" y="856"/>
                              </a:lnTo>
                              <a:cubicBezTo>
                                <a:pt x="219" y="856"/>
                                <a:pt x="398" y="756"/>
                                <a:pt x="518" y="657"/>
                              </a:cubicBezTo>
                              <a:cubicBezTo>
                                <a:pt x="577" y="617"/>
                                <a:pt x="637" y="557"/>
                                <a:pt x="697" y="497"/>
                              </a:cubicBezTo>
                              <a:lnTo>
                                <a:pt x="677" y="497"/>
                              </a:lnTo>
                              <a:cubicBezTo>
                                <a:pt x="538" y="497"/>
                                <a:pt x="398" y="537"/>
                                <a:pt x="379" y="537"/>
                              </a:cubicBezTo>
                              <a:cubicBezTo>
                                <a:pt x="372" y="544"/>
                                <a:pt x="365" y="546"/>
                                <a:pt x="359" y="546"/>
                              </a:cubicBezTo>
                              <a:cubicBezTo>
                                <a:pt x="345" y="546"/>
                                <a:pt x="332" y="537"/>
                                <a:pt x="319" y="537"/>
                              </a:cubicBezTo>
                              <a:cubicBezTo>
                                <a:pt x="299" y="517"/>
                                <a:pt x="299" y="478"/>
                                <a:pt x="319" y="458"/>
                              </a:cubicBezTo>
                              <a:cubicBezTo>
                                <a:pt x="418" y="279"/>
                                <a:pt x="418" y="100"/>
                                <a:pt x="418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58A947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68" name="Shape 68"/>
                        <xdr:cNvSpPr/>
                      </xdr:nvSpPr>
                      <xdr:spPr>
                        <a:xfrm>
                          <a:off x="2395100" y="1070125"/>
                          <a:ext cx="17925" cy="20425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717" h="817" extrusionOk="0">
                              <a:moveTo>
                                <a:pt x="478" y="1"/>
                              </a:moveTo>
                              <a:cubicBezTo>
                                <a:pt x="21" y="339"/>
                                <a:pt x="1" y="677"/>
                                <a:pt x="1" y="816"/>
                              </a:cubicBezTo>
                              <a:lnTo>
                                <a:pt x="41" y="816"/>
                              </a:lnTo>
                              <a:cubicBezTo>
                                <a:pt x="319" y="816"/>
                                <a:pt x="578" y="657"/>
                                <a:pt x="717" y="538"/>
                              </a:cubicBezTo>
                              <a:lnTo>
                                <a:pt x="697" y="538"/>
                              </a:lnTo>
                              <a:cubicBezTo>
                                <a:pt x="669" y="534"/>
                                <a:pt x="641" y="532"/>
                                <a:pt x="613" y="532"/>
                              </a:cubicBezTo>
                              <a:cubicBezTo>
                                <a:pt x="501" y="532"/>
                                <a:pt x="399" y="558"/>
                                <a:pt x="399" y="558"/>
                              </a:cubicBezTo>
                              <a:cubicBezTo>
                                <a:pt x="379" y="558"/>
                                <a:pt x="359" y="558"/>
                                <a:pt x="339" y="538"/>
                              </a:cubicBezTo>
                              <a:cubicBezTo>
                                <a:pt x="319" y="518"/>
                                <a:pt x="319" y="478"/>
                                <a:pt x="339" y="458"/>
                              </a:cubicBezTo>
                              <a:cubicBezTo>
                                <a:pt x="458" y="279"/>
                                <a:pt x="478" y="120"/>
                                <a:pt x="498" y="20"/>
                              </a:cubicBezTo>
                              <a:cubicBezTo>
                                <a:pt x="498" y="20"/>
                                <a:pt x="498" y="20"/>
                                <a:pt x="498" y="1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58A947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69" name="Shape 69"/>
                        <xdr:cNvSpPr/>
                      </xdr:nvSpPr>
                      <xdr:spPr>
                        <a:xfrm>
                          <a:off x="2408525" y="1064150"/>
                          <a:ext cx="18925" cy="16450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757" h="658" extrusionOk="0">
                              <a:moveTo>
                                <a:pt x="657" y="1"/>
                              </a:moveTo>
                              <a:cubicBezTo>
                                <a:pt x="140" y="180"/>
                                <a:pt x="21" y="498"/>
                                <a:pt x="1" y="617"/>
                              </a:cubicBezTo>
                              <a:cubicBezTo>
                                <a:pt x="41" y="637"/>
                                <a:pt x="120" y="657"/>
                                <a:pt x="200" y="657"/>
                              </a:cubicBezTo>
                              <a:cubicBezTo>
                                <a:pt x="299" y="657"/>
                                <a:pt x="419" y="637"/>
                                <a:pt x="558" y="578"/>
                              </a:cubicBezTo>
                              <a:cubicBezTo>
                                <a:pt x="637" y="558"/>
                                <a:pt x="697" y="538"/>
                                <a:pt x="757" y="498"/>
                              </a:cubicBezTo>
                              <a:cubicBezTo>
                                <a:pt x="697" y="478"/>
                                <a:pt x="637" y="478"/>
                                <a:pt x="598" y="458"/>
                              </a:cubicBezTo>
                              <a:lnTo>
                                <a:pt x="439" y="458"/>
                              </a:lnTo>
                              <a:cubicBezTo>
                                <a:pt x="419" y="458"/>
                                <a:pt x="399" y="438"/>
                                <a:pt x="379" y="419"/>
                              </a:cubicBezTo>
                              <a:cubicBezTo>
                                <a:pt x="379" y="399"/>
                                <a:pt x="379" y="359"/>
                                <a:pt x="399" y="359"/>
                              </a:cubicBezTo>
                              <a:cubicBezTo>
                                <a:pt x="558" y="220"/>
                                <a:pt x="637" y="80"/>
                                <a:pt x="677" y="1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58A947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70" name="Shape 70"/>
                        <xdr:cNvSpPr/>
                      </xdr:nvSpPr>
                      <xdr:spPr>
                        <a:xfrm>
                          <a:off x="2423950" y="1060675"/>
                          <a:ext cx="19425" cy="13450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777" h="538" extrusionOk="0">
                              <a:moveTo>
                                <a:pt x="757" y="1"/>
                              </a:moveTo>
                              <a:cubicBezTo>
                                <a:pt x="478" y="40"/>
                                <a:pt x="279" y="140"/>
                                <a:pt x="140" y="279"/>
                              </a:cubicBezTo>
                              <a:cubicBezTo>
                                <a:pt x="60" y="339"/>
                                <a:pt x="20" y="418"/>
                                <a:pt x="1" y="458"/>
                              </a:cubicBezTo>
                              <a:lnTo>
                                <a:pt x="20" y="458"/>
                              </a:lnTo>
                              <a:cubicBezTo>
                                <a:pt x="120" y="518"/>
                                <a:pt x="259" y="538"/>
                                <a:pt x="359" y="538"/>
                              </a:cubicBezTo>
                              <a:cubicBezTo>
                                <a:pt x="438" y="538"/>
                                <a:pt x="518" y="518"/>
                                <a:pt x="577" y="518"/>
                              </a:cubicBezTo>
                              <a:cubicBezTo>
                                <a:pt x="637" y="498"/>
                                <a:pt x="697" y="478"/>
                                <a:pt x="776" y="458"/>
                              </a:cubicBezTo>
                              <a:cubicBezTo>
                                <a:pt x="637" y="398"/>
                                <a:pt x="478" y="359"/>
                                <a:pt x="478" y="359"/>
                              </a:cubicBezTo>
                              <a:cubicBezTo>
                                <a:pt x="438" y="359"/>
                                <a:pt x="418" y="339"/>
                                <a:pt x="418" y="319"/>
                              </a:cubicBezTo>
                              <a:cubicBezTo>
                                <a:pt x="418" y="279"/>
                                <a:pt x="438" y="259"/>
                                <a:pt x="458" y="259"/>
                              </a:cubicBezTo>
                              <a:cubicBezTo>
                                <a:pt x="637" y="160"/>
                                <a:pt x="717" y="80"/>
                                <a:pt x="757" y="20"/>
                              </a:cubicBezTo>
                              <a:lnTo>
                                <a:pt x="757" y="1"/>
                              </a:lnTo>
                              <a:close/>
                            </a:path>
                          </a:pathLst>
                        </a:custGeom>
                        <a:solidFill>
                          <a:srgbClr val="58A947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71" name="Shape 71"/>
                        <xdr:cNvSpPr/>
                      </xdr:nvSpPr>
                      <xdr:spPr>
                        <a:xfrm>
                          <a:off x="2441850" y="1060550"/>
                          <a:ext cx="20425" cy="11600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817" h="464" extrusionOk="0">
                              <a:moveTo>
                                <a:pt x="682" y="1"/>
                              </a:moveTo>
                              <a:cubicBezTo>
                                <a:pt x="467" y="1"/>
                                <a:pt x="292" y="42"/>
                                <a:pt x="160" y="125"/>
                              </a:cubicBezTo>
                              <a:cubicBezTo>
                                <a:pt x="60" y="185"/>
                                <a:pt x="21" y="244"/>
                                <a:pt x="1" y="284"/>
                              </a:cubicBezTo>
                              <a:cubicBezTo>
                                <a:pt x="180" y="423"/>
                                <a:pt x="399" y="463"/>
                                <a:pt x="578" y="463"/>
                              </a:cubicBezTo>
                              <a:cubicBezTo>
                                <a:pt x="637" y="463"/>
                                <a:pt x="697" y="463"/>
                                <a:pt x="737" y="443"/>
                              </a:cubicBezTo>
                              <a:cubicBezTo>
                                <a:pt x="617" y="344"/>
                                <a:pt x="458" y="284"/>
                                <a:pt x="458" y="284"/>
                              </a:cubicBezTo>
                              <a:cubicBezTo>
                                <a:pt x="438" y="284"/>
                                <a:pt x="418" y="264"/>
                                <a:pt x="418" y="224"/>
                              </a:cubicBezTo>
                              <a:cubicBezTo>
                                <a:pt x="418" y="205"/>
                                <a:pt x="438" y="185"/>
                                <a:pt x="478" y="185"/>
                              </a:cubicBezTo>
                              <a:cubicBezTo>
                                <a:pt x="637" y="125"/>
                                <a:pt x="757" y="65"/>
                                <a:pt x="816" y="6"/>
                              </a:cubicBezTo>
                              <a:cubicBezTo>
                                <a:pt x="770" y="2"/>
                                <a:pt x="725" y="1"/>
                                <a:pt x="682" y="1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58A947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72" name="Shape 72"/>
                        <xdr:cNvSpPr/>
                      </xdr:nvSpPr>
                      <xdr:spPr>
                        <a:xfrm>
                          <a:off x="2459250" y="1062175"/>
                          <a:ext cx="21425" cy="12450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857" h="498" extrusionOk="0">
                              <a:moveTo>
                                <a:pt x="491" y="0"/>
                              </a:moveTo>
                              <a:cubicBezTo>
                                <a:pt x="379" y="0"/>
                                <a:pt x="279" y="20"/>
                                <a:pt x="200" y="60"/>
                              </a:cubicBezTo>
                              <a:cubicBezTo>
                                <a:pt x="100" y="100"/>
                                <a:pt x="41" y="140"/>
                                <a:pt x="1" y="179"/>
                              </a:cubicBezTo>
                              <a:cubicBezTo>
                                <a:pt x="220" y="438"/>
                                <a:pt x="538" y="498"/>
                                <a:pt x="697" y="498"/>
                              </a:cubicBezTo>
                              <a:cubicBezTo>
                                <a:pt x="598" y="358"/>
                                <a:pt x="459" y="259"/>
                                <a:pt x="459" y="259"/>
                              </a:cubicBezTo>
                              <a:cubicBezTo>
                                <a:pt x="439" y="259"/>
                                <a:pt x="439" y="219"/>
                                <a:pt x="439" y="199"/>
                              </a:cubicBezTo>
                              <a:cubicBezTo>
                                <a:pt x="439" y="179"/>
                                <a:pt x="459" y="159"/>
                                <a:pt x="498" y="159"/>
                              </a:cubicBezTo>
                              <a:cubicBezTo>
                                <a:pt x="657" y="140"/>
                                <a:pt x="777" y="100"/>
                                <a:pt x="856" y="60"/>
                              </a:cubicBezTo>
                              <a:cubicBezTo>
                                <a:pt x="727" y="20"/>
                                <a:pt x="603" y="0"/>
                                <a:pt x="491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58A947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73" name="Shape 73"/>
                        <xdr:cNvSpPr/>
                      </xdr:nvSpPr>
                      <xdr:spPr>
                        <a:xfrm>
                          <a:off x="2496550" y="1072625"/>
                          <a:ext cx="17450" cy="17925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698" h="717" extrusionOk="0">
                              <a:moveTo>
                                <a:pt x="160" y="0"/>
                              </a:moveTo>
                              <a:cubicBezTo>
                                <a:pt x="200" y="99"/>
                                <a:pt x="260" y="239"/>
                                <a:pt x="359" y="358"/>
                              </a:cubicBezTo>
                              <a:cubicBezTo>
                                <a:pt x="379" y="378"/>
                                <a:pt x="379" y="398"/>
                                <a:pt x="359" y="438"/>
                              </a:cubicBezTo>
                              <a:cubicBezTo>
                                <a:pt x="359" y="458"/>
                                <a:pt x="319" y="458"/>
                                <a:pt x="299" y="458"/>
                              </a:cubicBezTo>
                              <a:cubicBezTo>
                                <a:pt x="299" y="458"/>
                                <a:pt x="229" y="440"/>
                                <a:pt x="140" y="440"/>
                              </a:cubicBezTo>
                              <a:cubicBezTo>
                                <a:pt x="96" y="440"/>
                                <a:pt x="47" y="444"/>
                                <a:pt x="1" y="458"/>
                              </a:cubicBezTo>
                              <a:cubicBezTo>
                                <a:pt x="140" y="557"/>
                                <a:pt x="439" y="716"/>
                                <a:pt x="677" y="716"/>
                              </a:cubicBezTo>
                              <a:lnTo>
                                <a:pt x="697" y="716"/>
                              </a:lnTo>
                              <a:cubicBezTo>
                                <a:pt x="697" y="656"/>
                                <a:pt x="697" y="537"/>
                                <a:pt x="657" y="418"/>
                              </a:cubicBezTo>
                              <a:cubicBezTo>
                                <a:pt x="578" y="219"/>
                                <a:pt x="419" y="80"/>
                                <a:pt x="180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58A947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74" name="Shape 74"/>
                        <xdr:cNvSpPr/>
                      </xdr:nvSpPr>
                      <xdr:spPr>
                        <a:xfrm>
                          <a:off x="2482150" y="1075000"/>
                          <a:ext cx="18425" cy="5600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737" h="224" extrusionOk="0">
                              <a:moveTo>
                                <a:pt x="298" y="1"/>
                              </a:moveTo>
                              <a:cubicBezTo>
                                <a:pt x="273" y="1"/>
                                <a:pt x="246" y="2"/>
                                <a:pt x="219" y="4"/>
                              </a:cubicBezTo>
                              <a:cubicBezTo>
                                <a:pt x="159" y="4"/>
                                <a:pt x="80" y="4"/>
                                <a:pt x="0" y="44"/>
                              </a:cubicBezTo>
                              <a:cubicBezTo>
                                <a:pt x="159" y="164"/>
                                <a:pt x="338" y="223"/>
                                <a:pt x="517" y="223"/>
                              </a:cubicBezTo>
                              <a:lnTo>
                                <a:pt x="537" y="223"/>
                              </a:lnTo>
                              <a:cubicBezTo>
                                <a:pt x="617" y="223"/>
                                <a:pt x="676" y="203"/>
                                <a:pt x="736" y="203"/>
                              </a:cubicBezTo>
                              <a:lnTo>
                                <a:pt x="736" y="183"/>
                              </a:lnTo>
                              <a:cubicBezTo>
                                <a:pt x="614" y="62"/>
                                <a:pt x="477" y="1"/>
                                <a:pt x="298" y="1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58A947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75" name="Shape 75"/>
                        <xdr:cNvSpPr/>
                      </xdr:nvSpPr>
                      <xdr:spPr>
                        <a:xfrm>
                          <a:off x="2476175" y="1066275"/>
                          <a:ext cx="20400" cy="5875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816" h="235" extrusionOk="0">
                              <a:moveTo>
                                <a:pt x="368" y="0"/>
                              </a:moveTo>
                              <a:cubicBezTo>
                                <a:pt x="319" y="0"/>
                                <a:pt x="269" y="5"/>
                                <a:pt x="219" y="15"/>
                              </a:cubicBezTo>
                              <a:cubicBezTo>
                                <a:pt x="120" y="35"/>
                                <a:pt x="40" y="75"/>
                                <a:pt x="0" y="115"/>
                              </a:cubicBezTo>
                              <a:cubicBezTo>
                                <a:pt x="100" y="194"/>
                                <a:pt x="219" y="234"/>
                                <a:pt x="358" y="234"/>
                              </a:cubicBezTo>
                              <a:cubicBezTo>
                                <a:pt x="418" y="234"/>
                                <a:pt x="498" y="214"/>
                                <a:pt x="557" y="214"/>
                              </a:cubicBezTo>
                              <a:cubicBezTo>
                                <a:pt x="657" y="174"/>
                                <a:pt x="756" y="155"/>
                                <a:pt x="816" y="135"/>
                              </a:cubicBezTo>
                              <a:cubicBezTo>
                                <a:pt x="816" y="115"/>
                                <a:pt x="816" y="115"/>
                                <a:pt x="816" y="115"/>
                              </a:cubicBezTo>
                              <a:cubicBezTo>
                                <a:pt x="716" y="55"/>
                                <a:pt x="617" y="35"/>
                                <a:pt x="518" y="15"/>
                              </a:cubicBezTo>
                              <a:cubicBezTo>
                                <a:pt x="468" y="5"/>
                                <a:pt x="418" y="0"/>
                                <a:pt x="368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58A947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76" name="Shape 76"/>
                        <xdr:cNvSpPr/>
                      </xdr:nvSpPr>
                      <xdr:spPr>
                        <a:xfrm>
                          <a:off x="2425950" y="1162250"/>
                          <a:ext cx="23900" cy="5375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956" h="215" extrusionOk="0">
                              <a:moveTo>
                                <a:pt x="406" y="0"/>
                              </a:moveTo>
                              <a:cubicBezTo>
                                <a:pt x="272" y="0"/>
                                <a:pt x="152" y="49"/>
                                <a:pt x="0" y="115"/>
                              </a:cubicBezTo>
                              <a:cubicBezTo>
                                <a:pt x="0" y="135"/>
                                <a:pt x="0" y="135"/>
                                <a:pt x="20" y="155"/>
                              </a:cubicBezTo>
                              <a:cubicBezTo>
                                <a:pt x="40" y="195"/>
                                <a:pt x="100" y="215"/>
                                <a:pt x="179" y="215"/>
                              </a:cubicBezTo>
                              <a:lnTo>
                                <a:pt x="955" y="215"/>
                              </a:lnTo>
                              <a:cubicBezTo>
                                <a:pt x="716" y="58"/>
                                <a:pt x="553" y="0"/>
                                <a:pt x="406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EE4023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77" name="Shape 77"/>
                        <xdr:cNvSpPr/>
                      </xdr:nvSpPr>
                      <xdr:spPr>
                        <a:xfrm>
                          <a:off x="2425450" y="1106800"/>
                          <a:ext cx="57700" cy="60825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2308" h="2433" extrusionOk="0">
                              <a:moveTo>
                                <a:pt x="1191" y="1"/>
                              </a:moveTo>
                              <a:cubicBezTo>
                                <a:pt x="1144" y="1"/>
                                <a:pt x="1114" y="6"/>
                                <a:pt x="1114" y="6"/>
                              </a:cubicBezTo>
                              <a:lnTo>
                                <a:pt x="1094" y="6"/>
                              </a:lnTo>
                              <a:cubicBezTo>
                                <a:pt x="1094" y="6"/>
                                <a:pt x="736" y="6"/>
                                <a:pt x="498" y="284"/>
                              </a:cubicBezTo>
                              <a:cubicBezTo>
                                <a:pt x="438" y="324"/>
                                <a:pt x="338" y="463"/>
                                <a:pt x="319" y="563"/>
                              </a:cubicBezTo>
                              <a:cubicBezTo>
                                <a:pt x="299" y="622"/>
                                <a:pt x="319" y="662"/>
                                <a:pt x="358" y="682"/>
                              </a:cubicBezTo>
                              <a:cubicBezTo>
                                <a:pt x="358" y="691"/>
                                <a:pt x="374" y="700"/>
                                <a:pt x="401" y="700"/>
                              </a:cubicBezTo>
                              <a:cubicBezTo>
                                <a:pt x="433" y="700"/>
                                <a:pt x="482" y="686"/>
                                <a:pt x="537" y="642"/>
                              </a:cubicBezTo>
                              <a:cubicBezTo>
                                <a:pt x="557" y="622"/>
                                <a:pt x="577" y="622"/>
                                <a:pt x="577" y="602"/>
                              </a:cubicBezTo>
                              <a:cubicBezTo>
                                <a:pt x="599" y="595"/>
                                <a:pt x="621" y="590"/>
                                <a:pt x="642" y="590"/>
                              </a:cubicBezTo>
                              <a:cubicBezTo>
                                <a:pt x="678" y="590"/>
                                <a:pt x="711" y="604"/>
                                <a:pt x="736" y="642"/>
                              </a:cubicBezTo>
                              <a:cubicBezTo>
                                <a:pt x="776" y="682"/>
                                <a:pt x="756" y="742"/>
                                <a:pt x="716" y="781"/>
                              </a:cubicBezTo>
                              <a:cubicBezTo>
                                <a:pt x="697" y="801"/>
                                <a:pt x="697" y="821"/>
                                <a:pt x="677" y="821"/>
                              </a:cubicBezTo>
                              <a:cubicBezTo>
                                <a:pt x="637" y="861"/>
                                <a:pt x="537" y="941"/>
                                <a:pt x="438" y="1100"/>
                              </a:cubicBezTo>
                              <a:cubicBezTo>
                                <a:pt x="299" y="1279"/>
                                <a:pt x="100" y="1597"/>
                                <a:pt x="20" y="2074"/>
                              </a:cubicBezTo>
                              <a:cubicBezTo>
                                <a:pt x="0" y="2094"/>
                                <a:pt x="0" y="2094"/>
                                <a:pt x="0" y="2114"/>
                              </a:cubicBezTo>
                              <a:cubicBezTo>
                                <a:pt x="143" y="2052"/>
                                <a:pt x="274" y="2005"/>
                                <a:pt x="426" y="2005"/>
                              </a:cubicBezTo>
                              <a:cubicBezTo>
                                <a:pt x="614" y="2005"/>
                                <a:pt x="836" y="2076"/>
                                <a:pt x="1154" y="2273"/>
                              </a:cubicBezTo>
                              <a:cubicBezTo>
                                <a:pt x="1373" y="2413"/>
                                <a:pt x="1631" y="2433"/>
                                <a:pt x="1691" y="2433"/>
                              </a:cubicBezTo>
                              <a:lnTo>
                                <a:pt x="1950" y="2433"/>
                              </a:lnTo>
                              <a:cubicBezTo>
                                <a:pt x="2009" y="2433"/>
                                <a:pt x="2188" y="2433"/>
                                <a:pt x="2288" y="2333"/>
                              </a:cubicBezTo>
                              <a:cubicBezTo>
                                <a:pt x="2288" y="2313"/>
                                <a:pt x="2308" y="2293"/>
                                <a:pt x="2308" y="2273"/>
                              </a:cubicBezTo>
                              <a:cubicBezTo>
                                <a:pt x="2308" y="2134"/>
                                <a:pt x="2188" y="2074"/>
                                <a:pt x="1910" y="2015"/>
                              </a:cubicBezTo>
                              <a:cubicBezTo>
                                <a:pt x="1850" y="1995"/>
                                <a:pt x="1771" y="1975"/>
                                <a:pt x="1711" y="1955"/>
                              </a:cubicBezTo>
                              <a:cubicBezTo>
                                <a:pt x="1472" y="1856"/>
                                <a:pt x="1273" y="1696"/>
                                <a:pt x="1273" y="1696"/>
                              </a:cubicBezTo>
                              <a:cubicBezTo>
                                <a:pt x="1214" y="1657"/>
                                <a:pt x="1214" y="1577"/>
                                <a:pt x="1254" y="1537"/>
                              </a:cubicBezTo>
                              <a:cubicBezTo>
                                <a:pt x="1275" y="1504"/>
                                <a:pt x="1303" y="1490"/>
                                <a:pt x="1334" y="1490"/>
                              </a:cubicBezTo>
                              <a:cubicBezTo>
                                <a:pt x="1359" y="1490"/>
                                <a:pt x="1386" y="1500"/>
                                <a:pt x="1413" y="1517"/>
                              </a:cubicBezTo>
                              <a:cubicBezTo>
                                <a:pt x="1413" y="1517"/>
                                <a:pt x="1592" y="1657"/>
                                <a:pt x="1811" y="1736"/>
                              </a:cubicBezTo>
                              <a:cubicBezTo>
                                <a:pt x="1850" y="1756"/>
                                <a:pt x="1910" y="1776"/>
                                <a:pt x="1970" y="1796"/>
                              </a:cubicBezTo>
                              <a:cubicBezTo>
                                <a:pt x="2069" y="1816"/>
                                <a:pt x="2188" y="1856"/>
                                <a:pt x="2288" y="1895"/>
                              </a:cubicBezTo>
                              <a:cubicBezTo>
                                <a:pt x="2268" y="1776"/>
                                <a:pt x="2248" y="1657"/>
                                <a:pt x="2228" y="1557"/>
                              </a:cubicBezTo>
                              <a:cubicBezTo>
                                <a:pt x="1910" y="1498"/>
                                <a:pt x="1651" y="1279"/>
                                <a:pt x="1651" y="1279"/>
                              </a:cubicBezTo>
                              <a:cubicBezTo>
                                <a:pt x="1631" y="1259"/>
                                <a:pt x="1612" y="1239"/>
                                <a:pt x="1612" y="1199"/>
                              </a:cubicBezTo>
                              <a:cubicBezTo>
                                <a:pt x="1612" y="1179"/>
                                <a:pt x="1612" y="1139"/>
                                <a:pt x="1631" y="1120"/>
                              </a:cubicBezTo>
                              <a:cubicBezTo>
                                <a:pt x="1656" y="1095"/>
                                <a:pt x="1696" y="1078"/>
                                <a:pt x="1732" y="1078"/>
                              </a:cubicBezTo>
                              <a:cubicBezTo>
                                <a:pt x="1754" y="1078"/>
                                <a:pt x="1775" y="1085"/>
                                <a:pt x="1791" y="1100"/>
                              </a:cubicBezTo>
                              <a:cubicBezTo>
                                <a:pt x="1791" y="1100"/>
                                <a:pt x="1950" y="1239"/>
                                <a:pt x="2169" y="1319"/>
                              </a:cubicBezTo>
                              <a:cubicBezTo>
                                <a:pt x="2089" y="1000"/>
                                <a:pt x="1970" y="722"/>
                                <a:pt x="1830" y="443"/>
                              </a:cubicBezTo>
                              <a:cubicBezTo>
                                <a:pt x="1731" y="224"/>
                                <a:pt x="1572" y="105"/>
                                <a:pt x="1373" y="25"/>
                              </a:cubicBezTo>
                              <a:cubicBezTo>
                                <a:pt x="1303" y="6"/>
                                <a:pt x="1239" y="1"/>
                                <a:pt x="1191" y="1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EE4023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78" name="Shape 78"/>
                        <xdr:cNvSpPr/>
                      </xdr:nvSpPr>
                      <xdr:spPr>
                        <a:xfrm>
                          <a:off x="2434900" y="1263075"/>
                          <a:ext cx="12450" cy="10100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498" h="404" extrusionOk="0">
                              <a:moveTo>
                                <a:pt x="398" y="1"/>
                              </a:moveTo>
                              <a:cubicBezTo>
                                <a:pt x="338" y="1"/>
                                <a:pt x="259" y="41"/>
                                <a:pt x="159" y="100"/>
                              </a:cubicBezTo>
                              <a:cubicBezTo>
                                <a:pt x="100" y="160"/>
                                <a:pt x="0" y="240"/>
                                <a:pt x="0" y="319"/>
                              </a:cubicBezTo>
                              <a:cubicBezTo>
                                <a:pt x="0" y="359"/>
                                <a:pt x="20" y="379"/>
                                <a:pt x="40" y="379"/>
                              </a:cubicBezTo>
                              <a:cubicBezTo>
                                <a:pt x="60" y="399"/>
                                <a:pt x="95" y="404"/>
                                <a:pt x="130" y="404"/>
                              </a:cubicBezTo>
                              <a:cubicBezTo>
                                <a:pt x="164" y="404"/>
                                <a:pt x="199" y="399"/>
                                <a:pt x="219" y="399"/>
                              </a:cubicBezTo>
                              <a:cubicBezTo>
                                <a:pt x="259" y="319"/>
                                <a:pt x="338" y="240"/>
                                <a:pt x="438" y="160"/>
                              </a:cubicBezTo>
                              <a:cubicBezTo>
                                <a:pt x="458" y="140"/>
                                <a:pt x="498" y="100"/>
                                <a:pt x="498" y="80"/>
                              </a:cubicBezTo>
                              <a:cubicBezTo>
                                <a:pt x="498" y="61"/>
                                <a:pt x="478" y="41"/>
                                <a:pt x="458" y="41"/>
                              </a:cubicBezTo>
                              <a:cubicBezTo>
                                <a:pt x="438" y="1"/>
                                <a:pt x="418" y="1"/>
                                <a:pt x="398" y="1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FBBB80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79" name="Shape 79"/>
                        <xdr:cNvSpPr/>
                      </xdr:nvSpPr>
                      <xdr:spPr>
                        <a:xfrm>
                          <a:off x="2444850" y="1268975"/>
                          <a:ext cx="10450" cy="7075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418" h="283" extrusionOk="0">
                              <a:moveTo>
                                <a:pt x="371" y="0"/>
                              </a:moveTo>
                              <a:cubicBezTo>
                                <a:pt x="344" y="0"/>
                                <a:pt x="298" y="8"/>
                                <a:pt x="239" y="43"/>
                              </a:cubicBezTo>
                              <a:cubicBezTo>
                                <a:pt x="139" y="83"/>
                                <a:pt x="60" y="143"/>
                                <a:pt x="0" y="242"/>
                              </a:cubicBezTo>
                              <a:cubicBezTo>
                                <a:pt x="40" y="262"/>
                                <a:pt x="60" y="262"/>
                                <a:pt x="60" y="282"/>
                              </a:cubicBezTo>
                              <a:cubicBezTo>
                                <a:pt x="159" y="282"/>
                                <a:pt x="298" y="203"/>
                                <a:pt x="338" y="183"/>
                              </a:cubicBezTo>
                              <a:cubicBezTo>
                                <a:pt x="358" y="163"/>
                                <a:pt x="418" y="103"/>
                                <a:pt x="418" y="63"/>
                              </a:cubicBezTo>
                              <a:cubicBezTo>
                                <a:pt x="418" y="63"/>
                                <a:pt x="418" y="43"/>
                                <a:pt x="398" y="4"/>
                              </a:cubicBezTo>
                              <a:cubicBezTo>
                                <a:pt x="398" y="4"/>
                                <a:pt x="388" y="0"/>
                                <a:pt x="371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FBBB80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80" name="Shape 80"/>
                        <xdr:cNvSpPr/>
                      </xdr:nvSpPr>
                      <xdr:spPr>
                        <a:xfrm>
                          <a:off x="2417975" y="1257125"/>
                          <a:ext cx="8975" cy="6475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359" h="259" extrusionOk="0">
                              <a:moveTo>
                                <a:pt x="279" y="0"/>
                              </a:moveTo>
                              <a:cubicBezTo>
                                <a:pt x="200" y="0"/>
                                <a:pt x="80" y="60"/>
                                <a:pt x="41" y="120"/>
                              </a:cubicBezTo>
                              <a:cubicBezTo>
                                <a:pt x="1" y="179"/>
                                <a:pt x="1" y="199"/>
                                <a:pt x="21" y="219"/>
                              </a:cubicBezTo>
                              <a:cubicBezTo>
                                <a:pt x="21" y="219"/>
                                <a:pt x="61" y="239"/>
                                <a:pt x="120" y="259"/>
                              </a:cubicBezTo>
                              <a:lnTo>
                                <a:pt x="160" y="259"/>
                              </a:lnTo>
                              <a:cubicBezTo>
                                <a:pt x="180" y="179"/>
                                <a:pt x="240" y="100"/>
                                <a:pt x="299" y="40"/>
                              </a:cubicBezTo>
                              <a:cubicBezTo>
                                <a:pt x="319" y="40"/>
                                <a:pt x="339" y="20"/>
                                <a:pt x="359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FBBB80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81" name="Shape 81"/>
                        <xdr:cNvSpPr/>
                      </xdr:nvSpPr>
                      <xdr:spPr>
                        <a:xfrm>
                          <a:off x="2426450" y="1258600"/>
                          <a:ext cx="10950" cy="9975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438" h="399" extrusionOk="0">
                              <a:moveTo>
                                <a:pt x="318" y="1"/>
                              </a:moveTo>
                              <a:cubicBezTo>
                                <a:pt x="259" y="1"/>
                                <a:pt x="179" y="41"/>
                                <a:pt x="100" y="140"/>
                              </a:cubicBezTo>
                              <a:cubicBezTo>
                                <a:pt x="20" y="200"/>
                                <a:pt x="0" y="240"/>
                                <a:pt x="0" y="299"/>
                              </a:cubicBezTo>
                              <a:cubicBezTo>
                                <a:pt x="0" y="319"/>
                                <a:pt x="20" y="359"/>
                                <a:pt x="100" y="399"/>
                              </a:cubicBezTo>
                              <a:lnTo>
                                <a:pt x="159" y="399"/>
                              </a:lnTo>
                              <a:cubicBezTo>
                                <a:pt x="179" y="319"/>
                                <a:pt x="259" y="220"/>
                                <a:pt x="398" y="120"/>
                              </a:cubicBezTo>
                              <a:cubicBezTo>
                                <a:pt x="398" y="120"/>
                                <a:pt x="418" y="100"/>
                                <a:pt x="438" y="80"/>
                              </a:cubicBezTo>
                              <a:cubicBezTo>
                                <a:pt x="438" y="61"/>
                                <a:pt x="418" y="41"/>
                                <a:pt x="398" y="21"/>
                              </a:cubicBezTo>
                              <a:cubicBezTo>
                                <a:pt x="378" y="21"/>
                                <a:pt x="338" y="1"/>
                                <a:pt x="318" y="1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FBBB80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82" name="Shape 82"/>
                        <xdr:cNvSpPr/>
                      </xdr:nvSpPr>
                      <xdr:spPr>
                        <a:xfrm>
                          <a:off x="2364775" y="1224725"/>
                          <a:ext cx="126825" cy="50325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5073" h="2013" extrusionOk="0">
                              <a:moveTo>
                                <a:pt x="3443" y="0"/>
                              </a:moveTo>
                              <a:cubicBezTo>
                                <a:pt x="3277" y="0"/>
                                <a:pt x="3163" y="77"/>
                                <a:pt x="2984" y="202"/>
                              </a:cubicBezTo>
                              <a:cubicBezTo>
                                <a:pt x="2805" y="302"/>
                                <a:pt x="2487" y="401"/>
                                <a:pt x="1970" y="520"/>
                              </a:cubicBezTo>
                              <a:cubicBezTo>
                                <a:pt x="1492" y="600"/>
                                <a:pt x="816" y="699"/>
                                <a:pt x="0" y="799"/>
                              </a:cubicBezTo>
                              <a:cubicBezTo>
                                <a:pt x="20" y="898"/>
                                <a:pt x="40" y="978"/>
                                <a:pt x="80" y="1077"/>
                              </a:cubicBezTo>
                              <a:cubicBezTo>
                                <a:pt x="179" y="1396"/>
                                <a:pt x="319" y="1714"/>
                                <a:pt x="458" y="2012"/>
                              </a:cubicBezTo>
                              <a:cubicBezTo>
                                <a:pt x="756" y="1873"/>
                                <a:pt x="1492" y="1555"/>
                                <a:pt x="2049" y="1256"/>
                              </a:cubicBezTo>
                              <a:cubicBezTo>
                                <a:pt x="2154" y="1152"/>
                                <a:pt x="2288" y="1094"/>
                                <a:pt x="2413" y="1094"/>
                              </a:cubicBezTo>
                              <a:cubicBezTo>
                                <a:pt x="2431" y="1094"/>
                                <a:pt x="2449" y="1095"/>
                                <a:pt x="2467" y="1097"/>
                              </a:cubicBezTo>
                              <a:cubicBezTo>
                                <a:pt x="2487" y="1097"/>
                                <a:pt x="2606" y="1117"/>
                                <a:pt x="2686" y="1177"/>
                              </a:cubicBezTo>
                              <a:cubicBezTo>
                                <a:pt x="2719" y="1169"/>
                                <a:pt x="2755" y="1164"/>
                                <a:pt x="2792" y="1164"/>
                              </a:cubicBezTo>
                              <a:cubicBezTo>
                                <a:pt x="2844" y="1164"/>
                                <a:pt x="2898" y="1173"/>
                                <a:pt x="2944" y="1197"/>
                              </a:cubicBezTo>
                              <a:cubicBezTo>
                                <a:pt x="3044" y="1256"/>
                                <a:pt x="3084" y="1316"/>
                                <a:pt x="3084" y="1356"/>
                              </a:cubicBezTo>
                              <a:cubicBezTo>
                                <a:pt x="3124" y="1343"/>
                                <a:pt x="3163" y="1336"/>
                                <a:pt x="3202" y="1336"/>
                              </a:cubicBezTo>
                              <a:cubicBezTo>
                                <a:pt x="3278" y="1336"/>
                                <a:pt x="3349" y="1363"/>
                                <a:pt x="3402" y="1416"/>
                              </a:cubicBezTo>
                              <a:cubicBezTo>
                                <a:pt x="3462" y="1475"/>
                                <a:pt x="3482" y="1515"/>
                                <a:pt x="3501" y="1575"/>
                              </a:cubicBezTo>
                              <a:cubicBezTo>
                                <a:pt x="3621" y="1575"/>
                                <a:pt x="3700" y="1595"/>
                                <a:pt x="3740" y="1654"/>
                              </a:cubicBezTo>
                              <a:cubicBezTo>
                                <a:pt x="3820" y="1734"/>
                                <a:pt x="3840" y="1813"/>
                                <a:pt x="3820" y="1873"/>
                              </a:cubicBezTo>
                              <a:cubicBezTo>
                                <a:pt x="3820" y="1913"/>
                                <a:pt x="3800" y="1953"/>
                                <a:pt x="3780" y="1992"/>
                              </a:cubicBezTo>
                              <a:cubicBezTo>
                                <a:pt x="3840" y="1992"/>
                                <a:pt x="3879" y="1992"/>
                                <a:pt x="3939" y="1973"/>
                              </a:cubicBezTo>
                              <a:cubicBezTo>
                                <a:pt x="3959" y="1953"/>
                                <a:pt x="3979" y="1953"/>
                                <a:pt x="3999" y="1933"/>
                              </a:cubicBezTo>
                              <a:cubicBezTo>
                                <a:pt x="3959" y="1893"/>
                                <a:pt x="3919" y="1813"/>
                                <a:pt x="3860" y="1734"/>
                              </a:cubicBezTo>
                              <a:cubicBezTo>
                                <a:pt x="3840" y="1714"/>
                                <a:pt x="3820" y="1694"/>
                                <a:pt x="3820" y="1674"/>
                              </a:cubicBezTo>
                              <a:cubicBezTo>
                                <a:pt x="3840" y="1634"/>
                                <a:pt x="3840" y="1614"/>
                                <a:pt x="3860" y="1595"/>
                              </a:cubicBezTo>
                              <a:cubicBezTo>
                                <a:pt x="3875" y="1579"/>
                                <a:pt x="3893" y="1573"/>
                                <a:pt x="3912" y="1573"/>
                              </a:cubicBezTo>
                              <a:cubicBezTo>
                                <a:pt x="3942" y="1573"/>
                                <a:pt x="3974" y="1590"/>
                                <a:pt x="3999" y="1614"/>
                              </a:cubicBezTo>
                              <a:cubicBezTo>
                                <a:pt x="4098" y="1714"/>
                                <a:pt x="4158" y="1833"/>
                                <a:pt x="4178" y="1873"/>
                              </a:cubicBezTo>
                              <a:cubicBezTo>
                                <a:pt x="4194" y="1878"/>
                                <a:pt x="4208" y="1881"/>
                                <a:pt x="4222" y="1881"/>
                              </a:cubicBezTo>
                              <a:cubicBezTo>
                                <a:pt x="4259" y="1881"/>
                                <a:pt x="4288" y="1862"/>
                                <a:pt x="4317" y="1833"/>
                              </a:cubicBezTo>
                              <a:cubicBezTo>
                                <a:pt x="4337" y="1813"/>
                                <a:pt x="4357" y="1794"/>
                                <a:pt x="4357" y="1774"/>
                              </a:cubicBezTo>
                              <a:cubicBezTo>
                                <a:pt x="4357" y="1754"/>
                                <a:pt x="4317" y="1714"/>
                                <a:pt x="4257" y="1634"/>
                              </a:cubicBezTo>
                              <a:cubicBezTo>
                                <a:pt x="4198" y="1575"/>
                                <a:pt x="4078" y="1475"/>
                                <a:pt x="4039" y="1435"/>
                              </a:cubicBezTo>
                              <a:cubicBezTo>
                                <a:pt x="4019" y="1435"/>
                                <a:pt x="3999" y="1396"/>
                                <a:pt x="3999" y="1376"/>
                              </a:cubicBezTo>
                              <a:cubicBezTo>
                                <a:pt x="3979" y="1356"/>
                                <a:pt x="3999" y="1316"/>
                                <a:pt x="4019" y="1296"/>
                              </a:cubicBezTo>
                              <a:cubicBezTo>
                                <a:pt x="4019" y="1276"/>
                                <a:pt x="4039" y="1276"/>
                                <a:pt x="4078" y="1256"/>
                              </a:cubicBezTo>
                              <a:cubicBezTo>
                                <a:pt x="4098" y="1256"/>
                                <a:pt x="4118" y="1256"/>
                                <a:pt x="4158" y="1276"/>
                              </a:cubicBezTo>
                              <a:cubicBezTo>
                                <a:pt x="4158" y="1276"/>
                                <a:pt x="4317" y="1396"/>
                                <a:pt x="4417" y="1495"/>
                              </a:cubicBezTo>
                              <a:cubicBezTo>
                                <a:pt x="4476" y="1575"/>
                                <a:pt x="4516" y="1634"/>
                                <a:pt x="4536" y="1694"/>
                              </a:cubicBezTo>
                              <a:cubicBezTo>
                                <a:pt x="4615" y="1694"/>
                                <a:pt x="4675" y="1674"/>
                                <a:pt x="4695" y="1634"/>
                              </a:cubicBezTo>
                              <a:cubicBezTo>
                                <a:pt x="4715" y="1614"/>
                                <a:pt x="4735" y="1595"/>
                                <a:pt x="4735" y="1595"/>
                              </a:cubicBezTo>
                              <a:cubicBezTo>
                                <a:pt x="4655" y="1495"/>
                                <a:pt x="4476" y="1256"/>
                                <a:pt x="4238" y="1137"/>
                              </a:cubicBezTo>
                              <a:cubicBezTo>
                                <a:pt x="4218" y="1137"/>
                                <a:pt x="4198" y="1117"/>
                                <a:pt x="4178" y="1077"/>
                              </a:cubicBezTo>
                              <a:cubicBezTo>
                                <a:pt x="4178" y="1057"/>
                                <a:pt x="4178" y="1038"/>
                                <a:pt x="4198" y="1018"/>
                              </a:cubicBezTo>
                              <a:cubicBezTo>
                                <a:pt x="4198" y="978"/>
                                <a:pt x="4218" y="958"/>
                                <a:pt x="4257" y="958"/>
                              </a:cubicBezTo>
                              <a:lnTo>
                                <a:pt x="4317" y="958"/>
                              </a:lnTo>
                              <a:cubicBezTo>
                                <a:pt x="4596" y="1097"/>
                                <a:pt x="4814" y="1356"/>
                                <a:pt x="4894" y="1475"/>
                              </a:cubicBezTo>
                              <a:cubicBezTo>
                                <a:pt x="4954" y="1455"/>
                                <a:pt x="4993" y="1455"/>
                                <a:pt x="5013" y="1416"/>
                              </a:cubicBezTo>
                              <a:cubicBezTo>
                                <a:pt x="5053" y="1396"/>
                                <a:pt x="5053" y="1356"/>
                                <a:pt x="5073" y="1336"/>
                              </a:cubicBezTo>
                              <a:cubicBezTo>
                                <a:pt x="5013" y="1256"/>
                                <a:pt x="4814" y="1038"/>
                                <a:pt x="4556" y="859"/>
                              </a:cubicBezTo>
                              <a:cubicBezTo>
                                <a:pt x="4456" y="799"/>
                                <a:pt x="4337" y="719"/>
                                <a:pt x="4218" y="680"/>
                              </a:cubicBezTo>
                              <a:cubicBezTo>
                                <a:pt x="4129" y="642"/>
                                <a:pt x="4049" y="628"/>
                                <a:pt x="3977" y="628"/>
                              </a:cubicBezTo>
                              <a:cubicBezTo>
                                <a:pt x="3935" y="628"/>
                                <a:pt x="3896" y="632"/>
                                <a:pt x="3860" y="640"/>
                              </a:cubicBezTo>
                              <a:cubicBezTo>
                                <a:pt x="3840" y="660"/>
                                <a:pt x="3780" y="680"/>
                                <a:pt x="3740" y="719"/>
                              </a:cubicBezTo>
                              <a:cubicBezTo>
                                <a:pt x="3700" y="739"/>
                                <a:pt x="3681" y="759"/>
                                <a:pt x="3641" y="779"/>
                              </a:cubicBezTo>
                              <a:cubicBezTo>
                                <a:pt x="3521" y="839"/>
                                <a:pt x="3362" y="898"/>
                                <a:pt x="3223" y="898"/>
                              </a:cubicBezTo>
                              <a:cubicBezTo>
                                <a:pt x="3194" y="904"/>
                                <a:pt x="3160" y="908"/>
                                <a:pt x="3125" y="908"/>
                              </a:cubicBezTo>
                              <a:cubicBezTo>
                                <a:pt x="3038" y="908"/>
                                <a:pt x="2941" y="884"/>
                                <a:pt x="2885" y="799"/>
                              </a:cubicBezTo>
                              <a:cubicBezTo>
                                <a:pt x="2825" y="719"/>
                                <a:pt x="2805" y="640"/>
                                <a:pt x="2845" y="560"/>
                              </a:cubicBezTo>
                              <a:cubicBezTo>
                                <a:pt x="2865" y="481"/>
                                <a:pt x="2964" y="421"/>
                                <a:pt x="3084" y="381"/>
                              </a:cubicBezTo>
                              <a:cubicBezTo>
                                <a:pt x="3124" y="341"/>
                                <a:pt x="3183" y="321"/>
                                <a:pt x="3223" y="302"/>
                              </a:cubicBezTo>
                              <a:cubicBezTo>
                                <a:pt x="3263" y="262"/>
                                <a:pt x="3303" y="242"/>
                                <a:pt x="3342" y="202"/>
                              </a:cubicBezTo>
                              <a:cubicBezTo>
                                <a:pt x="3382" y="162"/>
                                <a:pt x="3442" y="123"/>
                                <a:pt x="3521" y="83"/>
                              </a:cubicBezTo>
                              <a:cubicBezTo>
                                <a:pt x="3541" y="43"/>
                                <a:pt x="3581" y="23"/>
                                <a:pt x="3621" y="23"/>
                              </a:cubicBezTo>
                              <a:cubicBezTo>
                                <a:pt x="3581" y="3"/>
                                <a:pt x="3541" y="3"/>
                                <a:pt x="3501" y="3"/>
                              </a:cubicBezTo>
                              <a:cubicBezTo>
                                <a:pt x="3481" y="1"/>
                                <a:pt x="3462" y="0"/>
                                <a:pt x="3443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FBBB80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83" name="Shape 83"/>
                        <xdr:cNvSpPr/>
                      </xdr:nvSpPr>
                      <xdr:spPr>
                        <a:xfrm>
                          <a:off x="2440375" y="1228775"/>
                          <a:ext cx="103950" cy="47275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4158" h="1891" extrusionOk="0">
                              <a:moveTo>
                                <a:pt x="975" y="0"/>
                              </a:moveTo>
                              <a:cubicBezTo>
                                <a:pt x="816" y="0"/>
                                <a:pt x="696" y="0"/>
                                <a:pt x="597" y="80"/>
                              </a:cubicBezTo>
                              <a:cubicBezTo>
                                <a:pt x="537" y="140"/>
                                <a:pt x="477" y="159"/>
                                <a:pt x="438" y="199"/>
                              </a:cubicBezTo>
                              <a:cubicBezTo>
                                <a:pt x="398" y="239"/>
                                <a:pt x="358" y="259"/>
                                <a:pt x="298" y="299"/>
                              </a:cubicBezTo>
                              <a:cubicBezTo>
                                <a:pt x="259" y="338"/>
                                <a:pt x="199" y="358"/>
                                <a:pt x="139" y="398"/>
                              </a:cubicBezTo>
                              <a:cubicBezTo>
                                <a:pt x="100" y="418"/>
                                <a:pt x="20" y="438"/>
                                <a:pt x="0" y="458"/>
                              </a:cubicBezTo>
                              <a:cubicBezTo>
                                <a:pt x="0" y="478"/>
                                <a:pt x="0" y="498"/>
                                <a:pt x="20" y="518"/>
                              </a:cubicBezTo>
                              <a:cubicBezTo>
                                <a:pt x="32" y="541"/>
                                <a:pt x="57" y="550"/>
                                <a:pt x="96" y="550"/>
                              </a:cubicBezTo>
                              <a:cubicBezTo>
                                <a:pt x="123" y="550"/>
                                <a:pt x="158" y="546"/>
                                <a:pt x="199" y="537"/>
                              </a:cubicBezTo>
                              <a:cubicBezTo>
                                <a:pt x="279" y="537"/>
                                <a:pt x="398" y="518"/>
                                <a:pt x="517" y="458"/>
                              </a:cubicBezTo>
                              <a:cubicBezTo>
                                <a:pt x="537" y="418"/>
                                <a:pt x="577" y="398"/>
                                <a:pt x="597" y="378"/>
                              </a:cubicBezTo>
                              <a:cubicBezTo>
                                <a:pt x="676" y="338"/>
                                <a:pt x="736" y="299"/>
                                <a:pt x="796" y="299"/>
                              </a:cubicBezTo>
                              <a:cubicBezTo>
                                <a:pt x="852" y="281"/>
                                <a:pt x="909" y="273"/>
                                <a:pt x="966" y="273"/>
                              </a:cubicBezTo>
                              <a:cubicBezTo>
                                <a:pt x="1229" y="273"/>
                                <a:pt x="1487" y="439"/>
                                <a:pt x="1651" y="537"/>
                              </a:cubicBezTo>
                              <a:cubicBezTo>
                                <a:pt x="1890" y="697"/>
                                <a:pt x="2069" y="895"/>
                                <a:pt x="2168" y="1015"/>
                              </a:cubicBezTo>
                              <a:cubicBezTo>
                                <a:pt x="2168" y="1015"/>
                                <a:pt x="2168" y="1015"/>
                                <a:pt x="2188" y="1035"/>
                              </a:cubicBezTo>
                              <a:cubicBezTo>
                                <a:pt x="2208" y="1055"/>
                                <a:pt x="2268" y="1134"/>
                                <a:pt x="2347" y="1194"/>
                              </a:cubicBezTo>
                              <a:cubicBezTo>
                                <a:pt x="2765" y="1492"/>
                                <a:pt x="3402" y="1771"/>
                                <a:pt x="3660" y="1890"/>
                              </a:cubicBezTo>
                              <a:cubicBezTo>
                                <a:pt x="3839" y="1572"/>
                                <a:pt x="3979" y="1254"/>
                                <a:pt x="4078" y="915"/>
                              </a:cubicBezTo>
                              <a:cubicBezTo>
                                <a:pt x="4098" y="836"/>
                                <a:pt x="4138" y="756"/>
                                <a:pt x="4158" y="657"/>
                              </a:cubicBezTo>
                              <a:cubicBezTo>
                                <a:pt x="3621" y="637"/>
                                <a:pt x="3064" y="518"/>
                                <a:pt x="2686" y="418"/>
                              </a:cubicBezTo>
                              <a:cubicBezTo>
                                <a:pt x="2248" y="319"/>
                                <a:pt x="1930" y="219"/>
                                <a:pt x="1910" y="219"/>
                              </a:cubicBezTo>
                              <a:cubicBezTo>
                                <a:pt x="1830" y="179"/>
                                <a:pt x="1751" y="159"/>
                                <a:pt x="1691" y="140"/>
                              </a:cubicBezTo>
                              <a:cubicBezTo>
                                <a:pt x="1452" y="40"/>
                                <a:pt x="1293" y="0"/>
                                <a:pt x="1114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FBBB80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84" name="Shape 84"/>
                        <xdr:cNvSpPr/>
                      </xdr:nvSpPr>
                      <xdr:spPr>
                        <a:xfrm>
                          <a:off x="2642275" y="1205900"/>
                          <a:ext cx="70150" cy="76100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2806" h="3044" extrusionOk="0">
                              <a:moveTo>
                                <a:pt x="1403" y="493"/>
                              </a:moveTo>
                              <a:cubicBezTo>
                                <a:pt x="1433" y="493"/>
                                <a:pt x="1463" y="508"/>
                                <a:pt x="1473" y="537"/>
                              </a:cubicBezTo>
                              <a:lnTo>
                                <a:pt x="1831" y="1651"/>
                              </a:lnTo>
                              <a:cubicBezTo>
                                <a:pt x="1850" y="1691"/>
                                <a:pt x="1811" y="1731"/>
                                <a:pt x="1771" y="1731"/>
                              </a:cubicBezTo>
                              <a:lnTo>
                                <a:pt x="1035" y="1731"/>
                              </a:lnTo>
                              <a:cubicBezTo>
                                <a:pt x="995" y="1731"/>
                                <a:pt x="975" y="1691"/>
                                <a:pt x="975" y="1651"/>
                              </a:cubicBezTo>
                              <a:lnTo>
                                <a:pt x="1333" y="537"/>
                              </a:lnTo>
                              <a:cubicBezTo>
                                <a:pt x="1343" y="508"/>
                                <a:pt x="1373" y="493"/>
                                <a:pt x="1403" y="493"/>
                              </a:cubicBezTo>
                              <a:close/>
                              <a:moveTo>
                                <a:pt x="1055" y="0"/>
                              </a:moveTo>
                              <a:cubicBezTo>
                                <a:pt x="1035" y="0"/>
                                <a:pt x="1015" y="20"/>
                                <a:pt x="995" y="60"/>
                              </a:cubicBezTo>
                              <a:lnTo>
                                <a:pt x="20" y="2964"/>
                              </a:lnTo>
                              <a:cubicBezTo>
                                <a:pt x="0" y="3004"/>
                                <a:pt x="40" y="3044"/>
                                <a:pt x="80" y="3044"/>
                              </a:cubicBezTo>
                              <a:lnTo>
                                <a:pt x="478" y="3044"/>
                              </a:lnTo>
                              <a:cubicBezTo>
                                <a:pt x="498" y="3044"/>
                                <a:pt x="538" y="3024"/>
                                <a:pt x="538" y="3004"/>
                              </a:cubicBezTo>
                              <a:lnTo>
                                <a:pt x="796" y="2228"/>
                              </a:lnTo>
                              <a:cubicBezTo>
                                <a:pt x="816" y="2188"/>
                                <a:pt x="836" y="2169"/>
                                <a:pt x="856" y="2169"/>
                              </a:cubicBezTo>
                              <a:lnTo>
                                <a:pt x="1950" y="2169"/>
                              </a:lnTo>
                              <a:cubicBezTo>
                                <a:pt x="1970" y="2169"/>
                                <a:pt x="2010" y="2188"/>
                                <a:pt x="2010" y="2228"/>
                              </a:cubicBezTo>
                              <a:lnTo>
                                <a:pt x="2268" y="3004"/>
                              </a:lnTo>
                              <a:cubicBezTo>
                                <a:pt x="2288" y="3024"/>
                                <a:pt x="2308" y="3044"/>
                                <a:pt x="2328" y="3044"/>
                              </a:cubicBezTo>
                              <a:lnTo>
                                <a:pt x="2746" y="3044"/>
                              </a:lnTo>
                              <a:cubicBezTo>
                                <a:pt x="2785" y="3044"/>
                                <a:pt x="2805" y="3004"/>
                                <a:pt x="2805" y="2964"/>
                              </a:cubicBezTo>
                              <a:lnTo>
                                <a:pt x="1811" y="60"/>
                              </a:lnTo>
                              <a:cubicBezTo>
                                <a:pt x="1811" y="20"/>
                                <a:pt x="1791" y="0"/>
                                <a:pt x="1751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231F20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85" name="Shape 85"/>
                        <xdr:cNvSpPr/>
                      </xdr:nvSpPr>
                      <xdr:spPr>
                        <a:xfrm>
                          <a:off x="2720350" y="1225300"/>
                          <a:ext cx="32850" cy="56700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1314" h="2268" extrusionOk="0">
                              <a:moveTo>
                                <a:pt x="1135" y="0"/>
                              </a:moveTo>
                              <a:cubicBezTo>
                                <a:pt x="1015" y="0"/>
                                <a:pt x="896" y="40"/>
                                <a:pt x="776" y="80"/>
                              </a:cubicBezTo>
                              <a:cubicBezTo>
                                <a:pt x="677" y="139"/>
                                <a:pt x="597" y="219"/>
                                <a:pt x="518" y="318"/>
                              </a:cubicBezTo>
                              <a:lnTo>
                                <a:pt x="498" y="318"/>
                              </a:lnTo>
                              <a:lnTo>
                                <a:pt x="458" y="100"/>
                              </a:lnTo>
                              <a:cubicBezTo>
                                <a:pt x="458" y="60"/>
                                <a:pt x="438" y="40"/>
                                <a:pt x="398" y="40"/>
                              </a:cubicBezTo>
                              <a:lnTo>
                                <a:pt x="80" y="40"/>
                              </a:lnTo>
                              <a:cubicBezTo>
                                <a:pt x="40" y="40"/>
                                <a:pt x="1" y="60"/>
                                <a:pt x="21" y="100"/>
                              </a:cubicBezTo>
                              <a:lnTo>
                                <a:pt x="21" y="2208"/>
                              </a:lnTo>
                              <a:cubicBezTo>
                                <a:pt x="21" y="2248"/>
                                <a:pt x="40" y="2268"/>
                                <a:pt x="80" y="2268"/>
                              </a:cubicBezTo>
                              <a:lnTo>
                                <a:pt x="478" y="2268"/>
                              </a:lnTo>
                              <a:cubicBezTo>
                                <a:pt x="518" y="2268"/>
                                <a:pt x="558" y="2248"/>
                                <a:pt x="558" y="2208"/>
                              </a:cubicBezTo>
                              <a:lnTo>
                                <a:pt x="558" y="776"/>
                              </a:lnTo>
                              <a:cubicBezTo>
                                <a:pt x="558" y="756"/>
                                <a:pt x="558" y="736"/>
                                <a:pt x="558" y="736"/>
                              </a:cubicBezTo>
                              <a:cubicBezTo>
                                <a:pt x="617" y="657"/>
                                <a:pt x="697" y="597"/>
                                <a:pt x="796" y="557"/>
                              </a:cubicBezTo>
                              <a:cubicBezTo>
                                <a:pt x="896" y="517"/>
                                <a:pt x="995" y="497"/>
                                <a:pt x="1115" y="497"/>
                              </a:cubicBezTo>
                              <a:lnTo>
                                <a:pt x="1254" y="497"/>
                              </a:lnTo>
                              <a:cubicBezTo>
                                <a:pt x="1294" y="497"/>
                                <a:pt x="1314" y="477"/>
                                <a:pt x="1314" y="438"/>
                              </a:cubicBezTo>
                              <a:lnTo>
                                <a:pt x="1314" y="80"/>
                              </a:lnTo>
                              <a:cubicBezTo>
                                <a:pt x="1314" y="40"/>
                                <a:pt x="1294" y="20"/>
                                <a:pt x="1254" y="20"/>
                              </a:cubicBezTo>
                              <a:cubicBezTo>
                                <a:pt x="1214" y="0"/>
                                <a:pt x="1174" y="0"/>
                                <a:pt x="1135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231F20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86" name="Shape 86"/>
                        <xdr:cNvSpPr/>
                      </xdr:nvSpPr>
                      <xdr:spPr>
                        <a:xfrm>
                          <a:off x="2756650" y="1225300"/>
                          <a:ext cx="50750" cy="80575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2030" h="3223" extrusionOk="0">
                              <a:moveTo>
                                <a:pt x="1194" y="418"/>
                              </a:moveTo>
                              <a:cubicBezTo>
                                <a:pt x="1274" y="418"/>
                                <a:pt x="1353" y="418"/>
                                <a:pt x="1433" y="438"/>
                              </a:cubicBezTo>
                              <a:cubicBezTo>
                                <a:pt x="1473" y="438"/>
                                <a:pt x="1493" y="477"/>
                                <a:pt x="1493" y="497"/>
                              </a:cubicBezTo>
                              <a:lnTo>
                                <a:pt x="1493" y="1651"/>
                              </a:lnTo>
                              <a:cubicBezTo>
                                <a:pt x="1493" y="1651"/>
                                <a:pt x="1493" y="1671"/>
                                <a:pt x="1473" y="1691"/>
                              </a:cubicBezTo>
                              <a:cubicBezTo>
                                <a:pt x="1433" y="1751"/>
                                <a:pt x="1373" y="1771"/>
                                <a:pt x="1314" y="1810"/>
                              </a:cubicBezTo>
                              <a:cubicBezTo>
                                <a:pt x="1234" y="1830"/>
                                <a:pt x="1155" y="1850"/>
                                <a:pt x="1075" y="1850"/>
                              </a:cubicBezTo>
                              <a:cubicBezTo>
                                <a:pt x="896" y="1850"/>
                                <a:pt x="777" y="1790"/>
                                <a:pt x="697" y="1691"/>
                              </a:cubicBezTo>
                              <a:cubicBezTo>
                                <a:pt x="598" y="1591"/>
                                <a:pt x="558" y="1412"/>
                                <a:pt x="558" y="1154"/>
                              </a:cubicBezTo>
                              <a:cubicBezTo>
                                <a:pt x="558" y="895"/>
                                <a:pt x="598" y="696"/>
                                <a:pt x="717" y="597"/>
                              </a:cubicBezTo>
                              <a:cubicBezTo>
                                <a:pt x="816" y="477"/>
                                <a:pt x="976" y="418"/>
                                <a:pt x="1194" y="418"/>
                              </a:cubicBezTo>
                              <a:close/>
                              <a:moveTo>
                                <a:pt x="1234" y="0"/>
                              </a:moveTo>
                              <a:cubicBezTo>
                                <a:pt x="836" y="0"/>
                                <a:pt x="518" y="100"/>
                                <a:pt x="319" y="298"/>
                              </a:cubicBezTo>
                              <a:cubicBezTo>
                                <a:pt x="120" y="497"/>
                                <a:pt x="1" y="796"/>
                                <a:pt x="1" y="1194"/>
                              </a:cubicBezTo>
                              <a:cubicBezTo>
                                <a:pt x="1" y="1452"/>
                                <a:pt x="41" y="1651"/>
                                <a:pt x="120" y="1810"/>
                              </a:cubicBezTo>
                              <a:cubicBezTo>
                                <a:pt x="200" y="1969"/>
                                <a:pt x="319" y="2089"/>
                                <a:pt x="438" y="2168"/>
                              </a:cubicBezTo>
                              <a:cubicBezTo>
                                <a:pt x="578" y="2248"/>
                                <a:pt x="717" y="2288"/>
                                <a:pt x="876" y="2288"/>
                              </a:cubicBezTo>
                              <a:cubicBezTo>
                                <a:pt x="995" y="2288"/>
                                <a:pt x="1115" y="2268"/>
                                <a:pt x="1214" y="2228"/>
                              </a:cubicBezTo>
                              <a:cubicBezTo>
                                <a:pt x="1314" y="2188"/>
                                <a:pt x="1393" y="2109"/>
                                <a:pt x="1473" y="2029"/>
                              </a:cubicBezTo>
                              <a:lnTo>
                                <a:pt x="1493" y="2029"/>
                              </a:lnTo>
                              <a:lnTo>
                                <a:pt x="1493" y="2208"/>
                              </a:lnTo>
                              <a:cubicBezTo>
                                <a:pt x="1493" y="2347"/>
                                <a:pt x="1473" y="2467"/>
                                <a:pt x="1433" y="2546"/>
                              </a:cubicBezTo>
                              <a:cubicBezTo>
                                <a:pt x="1373" y="2646"/>
                                <a:pt x="1314" y="2705"/>
                                <a:pt x="1214" y="2745"/>
                              </a:cubicBezTo>
                              <a:cubicBezTo>
                                <a:pt x="1115" y="2785"/>
                                <a:pt x="995" y="2805"/>
                                <a:pt x="836" y="2805"/>
                              </a:cubicBezTo>
                              <a:cubicBezTo>
                                <a:pt x="657" y="2805"/>
                                <a:pt x="458" y="2785"/>
                                <a:pt x="240" y="2725"/>
                              </a:cubicBezTo>
                              <a:cubicBezTo>
                                <a:pt x="232" y="2722"/>
                                <a:pt x="225" y="2720"/>
                                <a:pt x="218" y="2720"/>
                              </a:cubicBezTo>
                              <a:cubicBezTo>
                                <a:pt x="186" y="2720"/>
                                <a:pt x="160" y="2753"/>
                                <a:pt x="160" y="2785"/>
                              </a:cubicBezTo>
                              <a:lnTo>
                                <a:pt x="160" y="3083"/>
                              </a:lnTo>
                              <a:cubicBezTo>
                                <a:pt x="160" y="3103"/>
                                <a:pt x="180" y="3123"/>
                                <a:pt x="220" y="3143"/>
                              </a:cubicBezTo>
                              <a:cubicBezTo>
                                <a:pt x="299" y="3163"/>
                                <a:pt x="419" y="3183"/>
                                <a:pt x="518" y="3203"/>
                              </a:cubicBezTo>
                              <a:cubicBezTo>
                                <a:pt x="637" y="3203"/>
                                <a:pt x="757" y="3223"/>
                                <a:pt x="876" y="3223"/>
                              </a:cubicBezTo>
                              <a:cubicBezTo>
                                <a:pt x="1135" y="3223"/>
                                <a:pt x="1353" y="3183"/>
                                <a:pt x="1533" y="3103"/>
                              </a:cubicBezTo>
                              <a:cubicBezTo>
                                <a:pt x="1692" y="3024"/>
                                <a:pt x="1831" y="2904"/>
                                <a:pt x="1910" y="2745"/>
                              </a:cubicBezTo>
                              <a:cubicBezTo>
                                <a:pt x="1990" y="2586"/>
                                <a:pt x="2030" y="2367"/>
                                <a:pt x="2030" y="2109"/>
                              </a:cubicBezTo>
                              <a:lnTo>
                                <a:pt x="2030" y="159"/>
                              </a:lnTo>
                              <a:cubicBezTo>
                                <a:pt x="2030" y="139"/>
                                <a:pt x="2010" y="100"/>
                                <a:pt x="1990" y="100"/>
                              </a:cubicBezTo>
                              <a:cubicBezTo>
                                <a:pt x="1891" y="80"/>
                                <a:pt x="1771" y="40"/>
                                <a:pt x="1652" y="20"/>
                              </a:cubicBezTo>
                              <a:cubicBezTo>
                                <a:pt x="1513" y="0"/>
                                <a:pt x="1373" y="0"/>
                                <a:pt x="1234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231F20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87" name="Shape 87"/>
                        <xdr:cNvSpPr/>
                      </xdr:nvSpPr>
                      <xdr:spPr>
                        <a:xfrm>
                          <a:off x="2818325" y="1225300"/>
                          <a:ext cx="48275" cy="57700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1931" h="2308" extrusionOk="0">
                              <a:moveTo>
                                <a:pt x="975" y="338"/>
                              </a:moveTo>
                              <a:cubicBezTo>
                                <a:pt x="1114" y="338"/>
                                <a:pt x="1234" y="398"/>
                                <a:pt x="1294" y="497"/>
                              </a:cubicBezTo>
                              <a:cubicBezTo>
                                <a:pt x="1373" y="577"/>
                                <a:pt x="1413" y="736"/>
                                <a:pt x="1413" y="915"/>
                              </a:cubicBezTo>
                              <a:cubicBezTo>
                                <a:pt x="1413" y="955"/>
                                <a:pt x="1393" y="995"/>
                                <a:pt x="1353" y="995"/>
                              </a:cubicBezTo>
                              <a:lnTo>
                                <a:pt x="597" y="995"/>
                              </a:lnTo>
                              <a:cubicBezTo>
                                <a:pt x="557" y="995"/>
                                <a:pt x="538" y="955"/>
                                <a:pt x="538" y="915"/>
                              </a:cubicBezTo>
                              <a:cubicBezTo>
                                <a:pt x="538" y="736"/>
                                <a:pt x="577" y="577"/>
                                <a:pt x="657" y="497"/>
                              </a:cubicBezTo>
                              <a:cubicBezTo>
                                <a:pt x="737" y="398"/>
                                <a:pt x="836" y="338"/>
                                <a:pt x="975" y="338"/>
                              </a:cubicBezTo>
                              <a:close/>
                              <a:moveTo>
                                <a:pt x="975" y="0"/>
                              </a:moveTo>
                              <a:cubicBezTo>
                                <a:pt x="776" y="0"/>
                                <a:pt x="597" y="40"/>
                                <a:pt x="438" y="119"/>
                              </a:cubicBezTo>
                              <a:cubicBezTo>
                                <a:pt x="299" y="219"/>
                                <a:pt x="180" y="338"/>
                                <a:pt x="100" y="517"/>
                              </a:cubicBezTo>
                              <a:cubicBezTo>
                                <a:pt x="40" y="676"/>
                                <a:pt x="0" y="895"/>
                                <a:pt x="0" y="1154"/>
                              </a:cubicBezTo>
                              <a:cubicBezTo>
                                <a:pt x="0" y="1412"/>
                                <a:pt x="40" y="1631"/>
                                <a:pt x="120" y="1810"/>
                              </a:cubicBezTo>
                              <a:cubicBezTo>
                                <a:pt x="199" y="1989"/>
                                <a:pt x="339" y="2109"/>
                                <a:pt x="498" y="2188"/>
                              </a:cubicBezTo>
                              <a:cubicBezTo>
                                <a:pt x="677" y="2268"/>
                                <a:pt x="896" y="2308"/>
                                <a:pt x="1154" y="2308"/>
                              </a:cubicBezTo>
                              <a:cubicBezTo>
                                <a:pt x="1353" y="2308"/>
                                <a:pt x="1552" y="2288"/>
                                <a:pt x="1751" y="2248"/>
                              </a:cubicBezTo>
                              <a:cubicBezTo>
                                <a:pt x="1771" y="2248"/>
                                <a:pt x="1811" y="2208"/>
                                <a:pt x="1811" y="2188"/>
                              </a:cubicBezTo>
                              <a:lnTo>
                                <a:pt x="1811" y="1910"/>
                              </a:lnTo>
                              <a:cubicBezTo>
                                <a:pt x="1811" y="1877"/>
                                <a:pt x="1784" y="1845"/>
                                <a:pt x="1753" y="1845"/>
                              </a:cubicBezTo>
                              <a:cubicBezTo>
                                <a:pt x="1746" y="1845"/>
                                <a:pt x="1738" y="1846"/>
                                <a:pt x="1731" y="1850"/>
                              </a:cubicBezTo>
                              <a:cubicBezTo>
                                <a:pt x="1552" y="1890"/>
                                <a:pt x="1393" y="1910"/>
                                <a:pt x="1234" y="1910"/>
                              </a:cubicBezTo>
                              <a:cubicBezTo>
                                <a:pt x="1075" y="1910"/>
                                <a:pt x="935" y="1890"/>
                                <a:pt x="836" y="1850"/>
                              </a:cubicBezTo>
                              <a:cubicBezTo>
                                <a:pt x="737" y="1810"/>
                                <a:pt x="677" y="1751"/>
                                <a:pt x="617" y="1651"/>
                              </a:cubicBezTo>
                              <a:cubicBezTo>
                                <a:pt x="577" y="1591"/>
                                <a:pt x="557" y="1492"/>
                                <a:pt x="538" y="1393"/>
                              </a:cubicBezTo>
                              <a:cubicBezTo>
                                <a:pt x="538" y="1353"/>
                                <a:pt x="577" y="1313"/>
                                <a:pt x="597" y="1313"/>
                              </a:cubicBezTo>
                              <a:lnTo>
                                <a:pt x="1851" y="1313"/>
                              </a:lnTo>
                              <a:cubicBezTo>
                                <a:pt x="1890" y="1313"/>
                                <a:pt x="1930" y="1293"/>
                                <a:pt x="1930" y="1253"/>
                              </a:cubicBezTo>
                              <a:lnTo>
                                <a:pt x="1930" y="1174"/>
                              </a:lnTo>
                              <a:cubicBezTo>
                                <a:pt x="1930" y="776"/>
                                <a:pt x="1831" y="477"/>
                                <a:pt x="1671" y="298"/>
                              </a:cubicBezTo>
                              <a:cubicBezTo>
                                <a:pt x="1512" y="100"/>
                                <a:pt x="1294" y="0"/>
                                <a:pt x="975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231F20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88" name="Shape 88"/>
                        <xdr:cNvSpPr/>
                      </xdr:nvSpPr>
                      <xdr:spPr>
                        <a:xfrm>
                          <a:off x="2876500" y="1225300"/>
                          <a:ext cx="48275" cy="56700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1931" h="2268" extrusionOk="0">
                              <a:moveTo>
                                <a:pt x="1175" y="0"/>
                              </a:moveTo>
                              <a:cubicBezTo>
                                <a:pt x="1055" y="0"/>
                                <a:pt x="936" y="20"/>
                                <a:pt x="817" y="60"/>
                              </a:cubicBezTo>
                              <a:cubicBezTo>
                                <a:pt x="697" y="119"/>
                                <a:pt x="598" y="179"/>
                                <a:pt x="518" y="279"/>
                              </a:cubicBezTo>
                              <a:lnTo>
                                <a:pt x="478" y="279"/>
                              </a:lnTo>
                              <a:lnTo>
                                <a:pt x="458" y="80"/>
                              </a:lnTo>
                              <a:cubicBezTo>
                                <a:pt x="439" y="60"/>
                                <a:pt x="419" y="40"/>
                                <a:pt x="379" y="40"/>
                              </a:cubicBezTo>
                              <a:lnTo>
                                <a:pt x="61" y="40"/>
                              </a:lnTo>
                              <a:cubicBezTo>
                                <a:pt x="21" y="40"/>
                                <a:pt x="1" y="60"/>
                                <a:pt x="1" y="100"/>
                              </a:cubicBezTo>
                              <a:lnTo>
                                <a:pt x="1" y="2208"/>
                              </a:lnTo>
                              <a:cubicBezTo>
                                <a:pt x="1" y="2248"/>
                                <a:pt x="21" y="2268"/>
                                <a:pt x="61" y="2268"/>
                              </a:cubicBezTo>
                              <a:lnTo>
                                <a:pt x="478" y="2268"/>
                              </a:lnTo>
                              <a:cubicBezTo>
                                <a:pt x="518" y="2268"/>
                                <a:pt x="538" y="2248"/>
                                <a:pt x="538" y="2208"/>
                              </a:cubicBezTo>
                              <a:lnTo>
                                <a:pt x="538" y="716"/>
                              </a:lnTo>
                              <a:cubicBezTo>
                                <a:pt x="538" y="696"/>
                                <a:pt x="538" y="696"/>
                                <a:pt x="558" y="676"/>
                              </a:cubicBezTo>
                              <a:cubicBezTo>
                                <a:pt x="618" y="597"/>
                                <a:pt x="677" y="557"/>
                                <a:pt x="757" y="517"/>
                              </a:cubicBezTo>
                              <a:cubicBezTo>
                                <a:pt x="836" y="477"/>
                                <a:pt x="936" y="458"/>
                                <a:pt x="1015" y="458"/>
                              </a:cubicBezTo>
                              <a:cubicBezTo>
                                <a:pt x="1155" y="458"/>
                                <a:pt x="1234" y="497"/>
                                <a:pt x="1294" y="557"/>
                              </a:cubicBezTo>
                              <a:cubicBezTo>
                                <a:pt x="1354" y="617"/>
                                <a:pt x="1393" y="736"/>
                                <a:pt x="1393" y="875"/>
                              </a:cubicBezTo>
                              <a:lnTo>
                                <a:pt x="1393" y="2208"/>
                              </a:lnTo>
                              <a:cubicBezTo>
                                <a:pt x="1393" y="2248"/>
                                <a:pt x="1413" y="2268"/>
                                <a:pt x="1453" y="2268"/>
                              </a:cubicBezTo>
                              <a:lnTo>
                                <a:pt x="1871" y="2268"/>
                              </a:lnTo>
                              <a:cubicBezTo>
                                <a:pt x="1911" y="2268"/>
                                <a:pt x="1931" y="2248"/>
                                <a:pt x="1931" y="2208"/>
                              </a:cubicBezTo>
                              <a:lnTo>
                                <a:pt x="1931" y="855"/>
                              </a:lnTo>
                              <a:cubicBezTo>
                                <a:pt x="1931" y="557"/>
                                <a:pt x="1871" y="338"/>
                                <a:pt x="1732" y="199"/>
                              </a:cubicBezTo>
                              <a:cubicBezTo>
                                <a:pt x="1592" y="60"/>
                                <a:pt x="1413" y="0"/>
                                <a:pt x="1175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231F20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89" name="Shape 89"/>
                        <xdr:cNvSpPr/>
                      </xdr:nvSpPr>
                      <xdr:spPr>
                        <a:xfrm>
                          <a:off x="2931725" y="1206400"/>
                          <a:ext cx="39300" cy="76600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1572" h="3064" extrusionOk="0">
                              <a:moveTo>
                                <a:pt x="537" y="0"/>
                              </a:moveTo>
                              <a:cubicBezTo>
                                <a:pt x="517" y="0"/>
                                <a:pt x="477" y="20"/>
                                <a:pt x="477" y="60"/>
                              </a:cubicBezTo>
                              <a:lnTo>
                                <a:pt x="398" y="736"/>
                              </a:lnTo>
                              <a:cubicBezTo>
                                <a:pt x="398" y="776"/>
                                <a:pt x="358" y="796"/>
                                <a:pt x="338" y="796"/>
                              </a:cubicBezTo>
                              <a:lnTo>
                                <a:pt x="60" y="796"/>
                              </a:lnTo>
                              <a:cubicBezTo>
                                <a:pt x="40" y="796"/>
                                <a:pt x="0" y="816"/>
                                <a:pt x="0" y="856"/>
                              </a:cubicBezTo>
                              <a:lnTo>
                                <a:pt x="0" y="1154"/>
                              </a:lnTo>
                              <a:cubicBezTo>
                                <a:pt x="0" y="1194"/>
                                <a:pt x="40" y="1214"/>
                                <a:pt x="60" y="1214"/>
                              </a:cubicBezTo>
                              <a:lnTo>
                                <a:pt x="318" y="1214"/>
                              </a:lnTo>
                              <a:cubicBezTo>
                                <a:pt x="358" y="1214"/>
                                <a:pt x="398" y="1253"/>
                                <a:pt x="398" y="1273"/>
                              </a:cubicBezTo>
                              <a:lnTo>
                                <a:pt x="398" y="2268"/>
                              </a:lnTo>
                              <a:cubicBezTo>
                                <a:pt x="398" y="2805"/>
                                <a:pt x="656" y="3064"/>
                                <a:pt x="1194" y="3064"/>
                              </a:cubicBezTo>
                              <a:cubicBezTo>
                                <a:pt x="1293" y="3064"/>
                                <a:pt x="1412" y="3064"/>
                                <a:pt x="1532" y="3044"/>
                              </a:cubicBezTo>
                              <a:cubicBezTo>
                                <a:pt x="1552" y="3024"/>
                                <a:pt x="1572" y="3004"/>
                                <a:pt x="1572" y="2964"/>
                              </a:cubicBezTo>
                              <a:lnTo>
                                <a:pt x="1572" y="2666"/>
                              </a:lnTo>
                              <a:cubicBezTo>
                                <a:pt x="1572" y="2626"/>
                                <a:pt x="1532" y="2606"/>
                                <a:pt x="1492" y="2606"/>
                              </a:cubicBezTo>
                              <a:cubicBezTo>
                                <a:pt x="1432" y="2626"/>
                                <a:pt x="1373" y="2626"/>
                                <a:pt x="1333" y="2626"/>
                              </a:cubicBezTo>
                              <a:cubicBezTo>
                                <a:pt x="1233" y="2626"/>
                                <a:pt x="1154" y="2606"/>
                                <a:pt x="1094" y="2586"/>
                              </a:cubicBezTo>
                              <a:cubicBezTo>
                                <a:pt x="1034" y="2546"/>
                                <a:pt x="995" y="2507"/>
                                <a:pt x="975" y="2447"/>
                              </a:cubicBezTo>
                              <a:cubicBezTo>
                                <a:pt x="935" y="2387"/>
                                <a:pt x="935" y="2288"/>
                                <a:pt x="935" y="2188"/>
                              </a:cubicBezTo>
                              <a:lnTo>
                                <a:pt x="935" y="1273"/>
                              </a:lnTo>
                              <a:cubicBezTo>
                                <a:pt x="935" y="1253"/>
                                <a:pt x="955" y="1214"/>
                                <a:pt x="995" y="1214"/>
                              </a:cubicBezTo>
                              <a:lnTo>
                                <a:pt x="1492" y="1214"/>
                              </a:lnTo>
                              <a:cubicBezTo>
                                <a:pt x="1512" y="1214"/>
                                <a:pt x="1552" y="1194"/>
                                <a:pt x="1552" y="1154"/>
                              </a:cubicBezTo>
                              <a:lnTo>
                                <a:pt x="1552" y="856"/>
                              </a:lnTo>
                              <a:cubicBezTo>
                                <a:pt x="1552" y="816"/>
                                <a:pt x="1532" y="796"/>
                                <a:pt x="1492" y="796"/>
                              </a:cubicBezTo>
                              <a:lnTo>
                                <a:pt x="995" y="796"/>
                              </a:lnTo>
                              <a:cubicBezTo>
                                <a:pt x="955" y="796"/>
                                <a:pt x="935" y="756"/>
                                <a:pt x="935" y="736"/>
                              </a:cubicBezTo>
                              <a:lnTo>
                                <a:pt x="935" y="60"/>
                              </a:lnTo>
                              <a:cubicBezTo>
                                <a:pt x="935" y="20"/>
                                <a:pt x="895" y="0"/>
                                <a:pt x="855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231F20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90" name="Shape 90"/>
                        <xdr:cNvSpPr/>
                      </xdr:nvSpPr>
                      <xdr:spPr>
                        <a:xfrm>
                          <a:off x="2978950" y="1201925"/>
                          <a:ext cx="16950" cy="80075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678" h="3203" extrusionOk="0">
                              <a:moveTo>
                                <a:pt x="339" y="0"/>
                              </a:moveTo>
                              <a:cubicBezTo>
                                <a:pt x="220" y="0"/>
                                <a:pt x="140" y="20"/>
                                <a:pt x="80" y="80"/>
                              </a:cubicBezTo>
                              <a:cubicBezTo>
                                <a:pt x="21" y="119"/>
                                <a:pt x="1" y="199"/>
                                <a:pt x="1" y="299"/>
                              </a:cubicBezTo>
                              <a:cubicBezTo>
                                <a:pt x="1" y="378"/>
                                <a:pt x="21" y="458"/>
                                <a:pt x="80" y="517"/>
                              </a:cubicBezTo>
                              <a:cubicBezTo>
                                <a:pt x="140" y="557"/>
                                <a:pt x="220" y="577"/>
                                <a:pt x="339" y="577"/>
                              </a:cubicBezTo>
                              <a:cubicBezTo>
                                <a:pt x="458" y="577"/>
                                <a:pt x="538" y="557"/>
                                <a:pt x="598" y="517"/>
                              </a:cubicBezTo>
                              <a:cubicBezTo>
                                <a:pt x="657" y="458"/>
                                <a:pt x="677" y="378"/>
                                <a:pt x="677" y="299"/>
                              </a:cubicBezTo>
                              <a:cubicBezTo>
                                <a:pt x="677" y="199"/>
                                <a:pt x="657" y="119"/>
                                <a:pt x="598" y="80"/>
                              </a:cubicBezTo>
                              <a:cubicBezTo>
                                <a:pt x="538" y="20"/>
                                <a:pt x="458" y="0"/>
                                <a:pt x="339" y="0"/>
                              </a:cubicBezTo>
                              <a:close/>
                              <a:moveTo>
                                <a:pt x="120" y="975"/>
                              </a:moveTo>
                              <a:cubicBezTo>
                                <a:pt x="100" y="975"/>
                                <a:pt x="61" y="995"/>
                                <a:pt x="61" y="1035"/>
                              </a:cubicBezTo>
                              <a:lnTo>
                                <a:pt x="61" y="3143"/>
                              </a:lnTo>
                              <a:cubicBezTo>
                                <a:pt x="61" y="3183"/>
                                <a:pt x="100" y="3203"/>
                                <a:pt x="120" y="3203"/>
                              </a:cubicBezTo>
                              <a:lnTo>
                                <a:pt x="538" y="3203"/>
                              </a:lnTo>
                              <a:cubicBezTo>
                                <a:pt x="578" y="3203"/>
                                <a:pt x="598" y="3183"/>
                                <a:pt x="598" y="3143"/>
                              </a:cubicBezTo>
                              <a:lnTo>
                                <a:pt x="598" y="1035"/>
                              </a:lnTo>
                              <a:cubicBezTo>
                                <a:pt x="598" y="995"/>
                                <a:pt x="578" y="975"/>
                                <a:pt x="538" y="975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231F20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91" name="Shape 91"/>
                        <xdr:cNvSpPr/>
                      </xdr:nvSpPr>
                      <xdr:spPr>
                        <a:xfrm>
                          <a:off x="3004825" y="1225300"/>
                          <a:ext cx="48750" cy="56700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1950" h="2268" extrusionOk="0">
                              <a:moveTo>
                                <a:pt x="1194" y="0"/>
                              </a:moveTo>
                              <a:cubicBezTo>
                                <a:pt x="1055" y="0"/>
                                <a:pt x="935" y="20"/>
                                <a:pt x="816" y="60"/>
                              </a:cubicBezTo>
                              <a:cubicBezTo>
                                <a:pt x="696" y="119"/>
                                <a:pt x="597" y="179"/>
                                <a:pt x="517" y="279"/>
                              </a:cubicBezTo>
                              <a:lnTo>
                                <a:pt x="498" y="279"/>
                              </a:lnTo>
                              <a:lnTo>
                                <a:pt x="458" y="80"/>
                              </a:lnTo>
                              <a:cubicBezTo>
                                <a:pt x="458" y="60"/>
                                <a:pt x="438" y="40"/>
                                <a:pt x="398" y="40"/>
                              </a:cubicBezTo>
                              <a:lnTo>
                                <a:pt x="80" y="40"/>
                              </a:lnTo>
                              <a:cubicBezTo>
                                <a:pt x="40" y="40"/>
                                <a:pt x="0" y="60"/>
                                <a:pt x="20" y="100"/>
                              </a:cubicBezTo>
                              <a:lnTo>
                                <a:pt x="20" y="2208"/>
                              </a:lnTo>
                              <a:cubicBezTo>
                                <a:pt x="20" y="2248"/>
                                <a:pt x="40" y="2268"/>
                                <a:pt x="80" y="2268"/>
                              </a:cubicBezTo>
                              <a:lnTo>
                                <a:pt x="478" y="2268"/>
                              </a:lnTo>
                              <a:cubicBezTo>
                                <a:pt x="517" y="2268"/>
                                <a:pt x="557" y="2248"/>
                                <a:pt x="557" y="2208"/>
                              </a:cubicBezTo>
                              <a:lnTo>
                                <a:pt x="557" y="716"/>
                              </a:lnTo>
                              <a:cubicBezTo>
                                <a:pt x="557" y="696"/>
                                <a:pt x="557" y="696"/>
                                <a:pt x="557" y="676"/>
                              </a:cubicBezTo>
                              <a:cubicBezTo>
                                <a:pt x="617" y="597"/>
                                <a:pt x="696" y="557"/>
                                <a:pt x="776" y="517"/>
                              </a:cubicBezTo>
                              <a:cubicBezTo>
                                <a:pt x="856" y="477"/>
                                <a:pt x="935" y="458"/>
                                <a:pt x="1035" y="458"/>
                              </a:cubicBezTo>
                              <a:cubicBezTo>
                                <a:pt x="1154" y="458"/>
                                <a:pt x="1253" y="497"/>
                                <a:pt x="1313" y="557"/>
                              </a:cubicBezTo>
                              <a:cubicBezTo>
                                <a:pt x="1373" y="617"/>
                                <a:pt x="1413" y="736"/>
                                <a:pt x="1413" y="875"/>
                              </a:cubicBezTo>
                              <a:lnTo>
                                <a:pt x="1413" y="2208"/>
                              </a:lnTo>
                              <a:cubicBezTo>
                                <a:pt x="1413" y="2248"/>
                                <a:pt x="1433" y="2268"/>
                                <a:pt x="1472" y="2268"/>
                              </a:cubicBezTo>
                              <a:lnTo>
                                <a:pt x="1870" y="2268"/>
                              </a:lnTo>
                              <a:cubicBezTo>
                                <a:pt x="1910" y="2268"/>
                                <a:pt x="1950" y="2248"/>
                                <a:pt x="1950" y="2208"/>
                              </a:cubicBezTo>
                              <a:lnTo>
                                <a:pt x="1950" y="855"/>
                              </a:lnTo>
                              <a:cubicBezTo>
                                <a:pt x="1950" y="557"/>
                                <a:pt x="1870" y="338"/>
                                <a:pt x="1731" y="199"/>
                              </a:cubicBezTo>
                              <a:cubicBezTo>
                                <a:pt x="1612" y="60"/>
                                <a:pt x="1413" y="0"/>
                                <a:pt x="1194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231F20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92" name="Shape 92"/>
                        <xdr:cNvSpPr/>
                      </xdr:nvSpPr>
                      <xdr:spPr>
                        <a:xfrm>
                          <a:off x="3063500" y="1225300"/>
                          <a:ext cx="45775" cy="57700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1831" h="2308" extrusionOk="0">
                              <a:moveTo>
                                <a:pt x="1234" y="1273"/>
                              </a:moveTo>
                              <a:cubicBezTo>
                                <a:pt x="1274" y="1273"/>
                                <a:pt x="1314" y="1293"/>
                                <a:pt x="1314" y="1333"/>
                              </a:cubicBezTo>
                              <a:lnTo>
                                <a:pt x="1314" y="1711"/>
                              </a:lnTo>
                              <a:cubicBezTo>
                                <a:pt x="1314" y="1731"/>
                                <a:pt x="1294" y="1751"/>
                                <a:pt x="1294" y="1771"/>
                              </a:cubicBezTo>
                              <a:cubicBezTo>
                                <a:pt x="1234" y="1810"/>
                                <a:pt x="1174" y="1850"/>
                                <a:pt x="1095" y="1890"/>
                              </a:cubicBezTo>
                              <a:cubicBezTo>
                                <a:pt x="1035" y="1910"/>
                                <a:pt x="955" y="1930"/>
                                <a:pt x="876" y="1930"/>
                              </a:cubicBezTo>
                              <a:cubicBezTo>
                                <a:pt x="757" y="1930"/>
                                <a:pt x="677" y="1910"/>
                                <a:pt x="617" y="1850"/>
                              </a:cubicBezTo>
                              <a:cubicBezTo>
                                <a:pt x="558" y="1810"/>
                                <a:pt x="538" y="1731"/>
                                <a:pt x="538" y="1631"/>
                              </a:cubicBezTo>
                              <a:cubicBezTo>
                                <a:pt x="538" y="1532"/>
                                <a:pt x="558" y="1452"/>
                                <a:pt x="637" y="1393"/>
                              </a:cubicBezTo>
                              <a:cubicBezTo>
                                <a:pt x="697" y="1353"/>
                                <a:pt x="796" y="1313"/>
                                <a:pt x="936" y="1293"/>
                              </a:cubicBezTo>
                              <a:lnTo>
                                <a:pt x="1234" y="1273"/>
                              </a:lnTo>
                              <a:close/>
                              <a:moveTo>
                                <a:pt x="856" y="0"/>
                              </a:moveTo>
                              <a:cubicBezTo>
                                <a:pt x="737" y="0"/>
                                <a:pt x="617" y="0"/>
                                <a:pt x="498" y="20"/>
                              </a:cubicBezTo>
                              <a:cubicBezTo>
                                <a:pt x="398" y="40"/>
                                <a:pt x="299" y="60"/>
                                <a:pt x="200" y="80"/>
                              </a:cubicBezTo>
                              <a:cubicBezTo>
                                <a:pt x="180" y="80"/>
                                <a:pt x="160" y="119"/>
                                <a:pt x="160" y="139"/>
                              </a:cubicBezTo>
                              <a:lnTo>
                                <a:pt x="160" y="418"/>
                              </a:lnTo>
                              <a:cubicBezTo>
                                <a:pt x="160" y="450"/>
                                <a:pt x="186" y="483"/>
                                <a:pt x="218" y="483"/>
                              </a:cubicBezTo>
                              <a:cubicBezTo>
                                <a:pt x="225" y="483"/>
                                <a:pt x="232" y="481"/>
                                <a:pt x="239" y="477"/>
                              </a:cubicBezTo>
                              <a:cubicBezTo>
                                <a:pt x="319" y="458"/>
                                <a:pt x="398" y="438"/>
                                <a:pt x="478" y="438"/>
                              </a:cubicBezTo>
                              <a:cubicBezTo>
                                <a:pt x="577" y="418"/>
                                <a:pt x="677" y="418"/>
                                <a:pt x="757" y="418"/>
                              </a:cubicBezTo>
                              <a:cubicBezTo>
                                <a:pt x="896" y="418"/>
                                <a:pt x="995" y="418"/>
                                <a:pt x="1075" y="458"/>
                              </a:cubicBezTo>
                              <a:cubicBezTo>
                                <a:pt x="1154" y="477"/>
                                <a:pt x="1214" y="517"/>
                                <a:pt x="1254" y="597"/>
                              </a:cubicBezTo>
                              <a:cubicBezTo>
                                <a:pt x="1294" y="657"/>
                                <a:pt x="1294" y="736"/>
                                <a:pt x="1294" y="855"/>
                              </a:cubicBezTo>
                              <a:lnTo>
                                <a:pt x="1294" y="955"/>
                              </a:lnTo>
                              <a:lnTo>
                                <a:pt x="876" y="995"/>
                              </a:lnTo>
                              <a:cubicBezTo>
                                <a:pt x="577" y="1015"/>
                                <a:pt x="339" y="1074"/>
                                <a:pt x="200" y="1194"/>
                              </a:cubicBezTo>
                              <a:cubicBezTo>
                                <a:pt x="60" y="1313"/>
                                <a:pt x="1" y="1472"/>
                                <a:pt x="1" y="1671"/>
                              </a:cubicBezTo>
                              <a:cubicBezTo>
                                <a:pt x="1" y="1810"/>
                                <a:pt x="20" y="1930"/>
                                <a:pt x="80" y="2009"/>
                              </a:cubicBezTo>
                              <a:cubicBezTo>
                                <a:pt x="140" y="2109"/>
                                <a:pt x="219" y="2188"/>
                                <a:pt x="319" y="2228"/>
                              </a:cubicBezTo>
                              <a:cubicBezTo>
                                <a:pt x="438" y="2288"/>
                                <a:pt x="558" y="2308"/>
                                <a:pt x="697" y="2308"/>
                              </a:cubicBezTo>
                              <a:cubicBezTo>
                                <a:pt x="836" y="2308"/>
                                <a:pt x="955" y="2288"/>
                                <a:pt x="1055" y="2248"/>
                              </a:cubicBezTo>
                              <a:cubicBezTo>
                                <a:pt x="1154" y="2188"/>
                                <a:pt x="1254" y="2129"/>
                                <a:pt x="1314" y="2049"/>
                              </a:cubicBezTo>
                              <a:lnTo>
                                <a:pt x="1353" y="2049"/>
                              </a:lnTo>
                              <a:lnTo>
                                <a:pt x="1373" y="2208"/>
                              </a:lnTo>
                              <a:cubicBezTo>
                                <a:pt x="1373" y="2248"/>
                                <a:pt x="1413" y="2268"/>
                                <a:pt x="1433" y="2268"/>
                              </a:cubicBezTo>
                              <a:lnTo>
                                <a:pt x="1771" y="2268"/>
                              </a:lnTo>
                              <a:cubicBezTo>
                                <a:pt x="1791" y="2268"/>
                                <a:pt x="1831" y="2248"/>
                                <a:pt x="1831" y="2208"/>
                              </a:cubicBezTo>
                              <a:lnTo>
                                <a:pt x="1831" y="895"/>
                              </a:lnTo>
                              <a:cubicBezTo>
                                <a:pt x="1831" y="676"/>
                                <a:pt x="1791" y="497"/>
                                <a:pt x="1731" y="358"/>
                              </a:cubicBezTo>
                              <a:cubicBezTo>
                                <a:pt x="1652" y="239"/>
                                <a:pt x="1552" y="139"/>
                                <a:pt x="1413" y="80"/>
                              </a:cubicBezTo>
                              <a:cubicBezTo>
                                <a:pt x="1274" y="20"/>
                                <a:pt x="1075" y="0"/>
                                <a:pt x="856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231F20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93" name="Shape 93"/>
                        <xdr:cNvSpPr/>
                      </xdr:nvSpPr>
                      <xdr:spPr>
                        <a:xfrm>
                          <a:off x="2647750" y="1107425"/>
                          <a:ext cx="57700" cy="55725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2308" h="2229" extrusionOk="0">
                              <a:moveTo>
                                <a:pt x="0" y="0"/>
                              </a:moveTo>
                              <a:lnTo>
                                <a:pt x="0" y="2228"/>
                              </a:lnTo>
                              <a:lnTo>
                                <a:pt x="378" y="2228"/>
                              </a:lnTo>
                              <a:lnTo>
                                <a:pt x="378" y="577"/>
                              </a:lnTo>
                              <a:lnTo>
                                <a:pt x="995" y="1910"/>
                              </a:lnTo>
                              <a:lnTo>
                                <a:pt x="1333" y="1910"/>
                              </a:lnTo>
                              <a:lnTo>
                                <a:pt x="1950" y="538"/>
                              </a:lnTo>
                              <a:lnTo>
                                <a:pt x="1950" y="2228"/>
                              </a:lnTo>
                              <a:lnTo>
                                <a:pt x="2308" y="2228"/>
                              </a:lnTo>
                              <a:lnTo>
                                <a:pt x="2308" y="0"/>
                              </a:lnTo>
                              <a:lnTo>
                                <a:pt x="1830" y="0"/>
                              </a:lnTo>
                              <a:lnTo>
                                <a:pt x="1174" y="1492"/>
                              </a:lnTo>
                              <a:lnTo>
                                <a:pt x="498" y="0"/>
                              </a:lnTo>
                              <a:close/>
                            </a:path>
                          </a:pathLst>
                        </a:custGeom>
                        <a:solidFill>
                          <a:srgbClr val="231F20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94" name="Shape 94"/>
                        <xdr:cNvSpPr/>
                      </xdr:nvSpPr>
                      <xdr:spPr>
                        <a:xfrm>
                          <a:off x="2714875" y="1104450"/>
                          <a:ext cx="12475" cy="58700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499" h="2348" extrusionOk="0">
                              <a:moveTo>
                                <a:pt x="259" y="0"/>
                              </a:moveTo>
                              <a:cubicBezTo>
                                <a:pt x="160" y="0"/>
                                <a:pt x="100" y="20"/>
                                <a:pt x="60" y="40"/>
                              </a:cubicBezTo>
                              <a:cubicBezTo>
                                <a:pt x="21" y="80"/>
                                <a:pt x="1" y="139"/>
                                <a:pt x="1" y="199"/>
                              </a:cubicBezTo>
                              <a:cubicBezTo>
                                <a:pt x="1" y="279"/>
                                <a:pt x="21" y="338"/>
                                <a:pt x="60" y="358"/>
                              </a:cubicBezTo>
                              <a:cubicBezTo>
                                <a:pt x="100" y="398"/>
                                <a:pt x="160" y="418"/>
                                <a:pt x="259" y="418"/>
                              </a:cubicBezTo>
                              <a:cubicBezTo>
                                <a:pt x="339" y="418"/>
                                <a:pt x="399" y="398"/>
                                <a:pt x="438" y="358"/>
                              </a:cubicBezTo>
                              <a:cubicBezTo>
                                <a:pt x="478" y="338"/>
                                <a:pt x="498" y="279"/>
                                <a:pt x="498" y="199"/>
                              </a:cubicBezTo>
                              <a:cubicBezTo>
                                <a:pt x="498" y="139"/>
                                <a:pt x="478" y="80"/>
                                <a:pt x="438" y="40"/>
                              </a:cubicBezTo>
                              <a:cubicBezTo>
                                <a:pt x="399" y="20"/>
                                <a:pt x="339" y="0"/>
                                <a:pt x="259" y="0"/>
                              </a:cubicBezTo>
                              <a:close/>
                              <a:moveTo>
                                <a:pt x="60" y="696"/>
                              </a:moveTo>
                              <a:lnTo>
                                <a:pt x="60" y="2347"/>
                              </a:lnTo>
                              <a:lnTo>
                                <a:pt x="458" y="2347"/>
                              </a:lnTo>
                              <a:lnTo>
                                <a:pt x="458" y="696"/>
                              </a:lnTo>
                              <a:close/>
                            </a:path>
                          </a:pathLst>
                        </a:custGeom>
                        <a:solidFill>
                          <a:srgbClr val="231F20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95" name="Shape 95"/>
                        <xdr:cNvSpPr/>
                      </xdr:nvSpPr>
                      <xdr:spPr>
                        <a:xfrm>
                          <a:off x="2735775" y="1121350"/>
                          <a:ext cx="35325" cy="41800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1413" h="1672" extrusionOk="0">
                              <a:moveTo>
                                <a:pt x="876" y="0"/>
                              </a:moveTo>
                              <a:cubicBezTo>
                                <a:pt x="776" y="0"/>
                                <a:pt x="677" y="20"/>
                                <a:pt x="597" y="60"/>
                              </a:cubicBezTo>
                              <a:cubicBezTo>
                                <a:pt x="518" y="80"/>
                                <a:pt x="438" y="140"/>
                                <a:pt x="378" y="199"/>
                              </a:cubicBezTo>
                              <a:lnTo>
                                <a:pt x="358" y="199"/>
                              </a:lnTo>
                              <a:lnTo>
                                <a:pt x="338" y="20"/>
                              </a:lnTo>
                              <a:lnTo>
                                <a:pt x="0" y="20"/>
                              </a:lnTo>
                              <a:lnTo>
                                <a:pt x="0" y="1671"/>
                              </a:lnTo>
                              <a:lnTo>
                                <a:pt x="398" y="1671"/>
                              </a:lnTo>
                              <a:lnTo>
                                <a:pt x="398" y="518"/>
                              </a:lnTo>
                              <a:cubicBezTo>
                                <a:pt x="438" y="458"/>
                                <a:pt x="498" y="418"/>
                                <a:pt x="557" y="378"/>
                              </a:cubicBezTo>
                              <a:cubicBezTo>
                                <a:pt x="617" y="359"/>
                                <a:pt x="677" y="339"/>
                                <a:pt x="756" y="339"/>
                              </a:cubicBezTo>
                              <a:cubicBezTo>
                                <a:pt x="836" y="339"/>
                                <a:pt x="915" y="359"/>
                                <a:pt x="955" y="418"/>
                              </a:cubicBezTo>
                              <a:cubicBezTo>
                                <a:pt x="995" y="458"/>
                                <a:pt x="1035" y="538"/>
                                <a:pt x="1035" y="637"/>
                              </a:cubicBezTo>
                              <a:lnTo>
                                <a:pt x="1035" y="1671"/>
                              </a:lnTo>
                              <a:lnTo>
                                <a:pt x="1413" y="1671"/>
                              </a:lnTo>
                              <a:lnTo>
                                <a:pt x="1413" y="617"/>
                              </a:lnTo>
                              <a:cubicBezTo>
                                <a:pt x="1413" y="418"/>
                                <a:pt x="1373" y="259"/>
                                <a:pt x="1273" y="160"/>
                              </a:cubicBezTo>
                              <a:cubicBezTo>
                                <a:pt x="1174" y="60"/>
                                <a:pt x="1035" y="0"/>
                                <a:pt x="876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231F20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96" name="Shape 96"/>
                        <xdr:cNvSpPr/>
                      </xdr:nvSpPr>
                      <xdr:spPr>
                        <a:xfrm>
                          <a:off x="2779525" y="1104450"/>
                          <a:ext cx="12475" cy="58700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499" h="2348" extrusionOk="0">
                              <a:moveTo>
                                <a:pt x="240" y="0"/>
                              </a:moveTo>
                              <a:cubicBezTo>
                                <a:pt x="160" y="0"/>
                                <a:pt x="100" y="20"/>
                                <a:pt x="61" y="40"/>
                              </a:cubicBezTo>
                              <a:cubicBezTo>
                                <a:pt x="21" y="80"/>
                                <a:pt x="1" y="139"/>
                                <a:pt x="1" y="199"/>
                              </a:cubicBezTo>
                              <a:cubicBezTo>
                                <a:pt x="1" y="279"/>
                                <a:pt x="21" y="338"/>
                                <a:pt x="61" y="358"/>
                              </a:cubicBezTo>
                              <a:cubicBezTo>
                                <a:pt x="100" y="398"/>
                                <a:pt x="160" y="418"/>
                                <a:pt x="240" y="418"/>
                              </a:cubicBezTo>
                              <a:cubicBezTo>
                                <a:pt x="339" y="418"/>
                                <a:pt x="399" y="398"/>
                                <a:pt x="438" y="358"/>
                              </a:cubicBezTo>
                              <a:cubicBezTo>
                                <a:pt x="478" y="338"/>
                                <a:pt x="498" y="279"/>
                                <a:pt x="498" y="199"/>
                              </a:cubicBezTo>
                              <a:cubicBezTo>
                                <a:pt x="498" y="139"/>
                                <a:pt x="478" y="80"/>
                                <a:pt x="438" y="40"/>
                              </a:cubicBezTo>
                              <a:cubicBezTo>
                                <a:pt x="399" y="20"/>
                                <a:pt x="339" y="0"/>
                                <a:pt x="240" y="0"/>
                              </a:cubicBezTo>
                              <a:close/>
                              <a:moveTo>
                                <a:pt x="41" y="696"/>
                              </a:moveTo>
                              <a:lnTo>
                                <a:pt x="41" y="2347"/>
                              </a:lnTo>
                              <a:lnTo>
                                <a:pt x="438" y="2347"/>
                              </a:lnTo>
                              <a:lnTo>
                                <a:pt x="438" y="696"/>
                              </a:lnTo>
                              <a:close/>
                            </a:path>
                          </a:pathLst>
                        </a:custGeom>
                        <a:solidFill>
                          <a:srgbClr val="231F20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97" name="Shape 97"/>
                        <xdr:cNvSpPr/>
                      </xdr:nvSpPr>
                      <xdr:spPr>
                        <a:xfrm>
                          <a:off x="2798425" y="1121350"/>
                          <a:ext cx="30875" cy="42300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1235" h="1692" extrusionOk="0">
                              <a:moveTo>
                                <a:pt x="717" y="0"/>
                              </a:moveTo>
                              <a:cubicBezTo>
                                <a:pt x="558" y="0"/>
                                <a:pt x="419" y="20"/>
                                <a:pt x="319" y="60"/>
                              </a:cubicBezTo>
                              <a:cubicBezTo>
                                <a:pt x="200" y="100"/>
                                <a:pt x="120" y="160"/>
                                <a:pt x="80" y="239"/>
                              </a:cubicBezTo>
                              <a:cubicBezTo>
                                <a:pt x="21" y="319"/>
                                <a:pt x="1" y="398"/>
                                <a:pt x="1" y="498"/>
                              </a:cubicBezTo>
                              <a:cubicBezTo>
                                <a:pt x="1" y="637"/>
                                <a:pt x="21" y="737"/>
                                <a:pt x="100" y="816"/>
                              </a:cubicBezTo>
                              <a:cubicBezTo>
                                <a:pt x="160" y="896"/>
                                <a:pt x="279" y="935"/>
                                <a:pt x="419" y="975"/>
                              </a:cubicBezTo>
                              <a:lnTo>
                                <a:pt x="677" y="1015"/>
                              </a:lnTo>
                              <a:cubicBezTo>
                                <a:pt x="737" y="1035"/>
                                <a:pt x="796" y="1055"/>
                                <a:pt x="816" y="1075"/>
                              </a:cubicBezTo>
                              <a:cubicBezTo>
                                <a:pt x="856" y="1114"/>
                                <a:pt x="856" y="1154"/>
                                <a:pt x="856" y="1194"/>
                              </a:cubicBezTo>
                              <a:cubicBezTo>
                                <a:pt x="856" y="1274"/>
                                <a:pt x="836" y="1313"/>
                                <a:pt x="777" y="1353"/>
                              </a:cubicBezTo>
                              <a:cubicBezTo>
                                <a:pt x="737" y="1393"/>
                                <a:pt x="637" y="1413"/>
                                <a:pt x="538" y="1413"/>
                              </a:cubicBezTo>
                              <a:cubicBezTo>
                                <a:pt x="359" y="1413"/>
                                <a:pt x="200" y="1373"/>
                                <a:pt x="41" y="1333"/>
                              </a:cubicBezTo>
                              <a:lnTo>
                                <a:pt x="41" y="1632"/>
                              </a:lnTo>
                              <a:cubicBezTo>
                                <a:pt x="180" y="1671"/>
                                <a:pt x="339" y="1691"/>
                                <a:pt x="538" y="1691"/>
                              </a:cubicBezTo>
                              <a:cubicBezTo>
                                <a:pt x="677" y="1691"/>
                                <a:pt x="796" y="1671"/>
                                <a:pt x="916" y="1632"/>
                              </a:cubicBezTo>
                              <a:cubicBezTo>
                                <a:pt x="1015" y="1592"/>
                                <a:pt x="1095" y="1532"/>
                                <a:pt x="1155" y="1453"/>
                              </a:cubicBezTo>
                              <a:cubicBezTo>
                                <a:pt x="1194" y="1393"/>
                                <a:pt x="1234" y="1294"/>
                                <a:pt x="1234" y="1194"/>
                              </a:cubicBezTo>
                              <a:cubicBezTo>
                                <a:pt x="1234" y="1055"/>
                                <a:pt x="1194" y="955"/>
                                <a:pt x="1115" y="876"/>
                              </a:cubicBezTo>
                              <a:cubicBezTo>
                                <a:pt x="1055" y="796"/>
                                <a:pt x="936" y="756"/>
                                <a:pt x="796" y="717"/>
                              </a:cubicBezTo>
                              <a:lnTo>
                                <a:pt x="538" y="677"/>
                              </a:lnTo>
                              <a:cubicBezTo>
                                <a:pt x="478" y="657"/>
                                <a:pt x="419" y="637"/>
                                <a:pt x="399" y="617"/>
                              </a:cubicBezTo>
                              <a:cubicBezTo>
                                <a:pt x="379" y="577"/>
                                <a:pt x="359" y="538"/>
                                <a:pt x="359" y="498"/>
                              </a:cubicBezTo>
                              <a:cubicBezTo>
                                <a:pt x="359" y="359"/>
                                <a:pt x="478" y="299"/>
                                <a:pt x="737" y="299"/>
                              </a:cubicBezTo>
                              <a:cubicBezTo>
                                <a:pt x="876" y="299"/>
                                <a:pt x="1015" y="319"/>
                                <a:pt x="1135" y="339"/>
                              </a:cubicBezTo>
                              <a:lnTo>
                                <a:pt x="1135" y="60"/>
                              </a:lnTo>
                              <a:cubicBezTo>
                                <a:pt x="1015" y="20"/>
                                <a:pt x="876" y="0"/>
                                <a:pt x="717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231F20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98" name="Shape 98"/>
                        <xdr:cNvSpPr/>
                      </xdr:nvSpPr>
                      <xdr:spPr>
                        <a:xfrm>
                          <a:off x="2831750" y="1107425"/>
                          <a:ext cx="28375" cy="56225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1135" h="2249" extrusionOk="0">
                              <a:moveTo>
                                <a:pt x="339" y="0"/>
                              </a:moveTo>
                              <a:lnTo>
                                <a:pt x="279" y="577"/>
                              </a:lnTo>
                              <a:lnTo>
                                <a:pt x="1" y="577"/>
                              </a:lnTo>
                              <a:lnTo>
                                <a:pt x="1" y="896"/>
                              </a:lnTo>
                              <a:lnTo>
                                <a:pt x="279" y="896"/>
                              </a:lnTo>
                              <a:lnTo>
                                <a:pt x="279" y="1671"/>
                              </a:lnTo>
                              <a:cubicBezTo>
                                <a:pt x="279" y="2069"/>
                                <a:pt x="478" y="2248"/>
                                <a:pt x="856" y="2248"/>
                              </a:cubicBezTo>
                              <a:cubicBezTo>
                                <a:pt x="955" y="2248"/>
                                <a:pt x="1055" y="2248"/>
                                <a:pt x="1134" y="2228"/>
                              </a:cubicBezTo>
                              <a:lnTo>
                                <a:pt x="1134" y="1910"/>
                              </a:lnTo>
                              <a:cubicBezTo>
                                <a:pt x="1075" y="1930"/>
                                <a:pt x="1015" y="1930"/>
                                <a:pt x="955" y="1930"/>
                              </a:cubicBezTo>
                              <a:cubicBezTo>
                                <a:pt x="896" y="1930"/>
                                <a:pt x="836" y="1910"/>
                                <a:pt x="796" y="1890"/>
                              </a:cubicBezTo>
                              <a:cubicBezTo>
                                <a:pt x="757" y="1870"/>
                                <a:pt x="717" y="1851"/>
                                <a:pt x="697" y="1791"/>
                              </a:cubicBezTo>
                              <a:cubicBezTo>
                                <a:pt x="677" y="1751"/>
                                <a:pt x="677" y="1691"/>
                                <a:pt x="677" y="1612"/>
                              </a:cubicBezTo>
                              <a:lnTo>
                                <a:pt x="677" y="896"/>
                              </a:lnTo>
                              <a:lnTo>
                                <a:pt x="1134" y="896"/>
                              </a:lnTo>
                              <a:lnTo>
                                <a:pt x="1134" y="577"/>
                              </a:lnTo>
                              <a:lnTo>
                                <a:pt x="677" y="577"/>
                              </a:lnTo>
                              <a:lnTo>
                                <a:pt x="677" y="0"/>
                              </a:lnTo>
                              <a:close/>
                            </a:path>
                          </a:pathLst>
                        </a:custGeom>
                        <a:solidFill>
                          <a:srgbClr val="231F20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99" name="Shape 99"/>
                        <xdr:cNvSpPr/>
                      </xdr:nvSpPr>
                      <xdr:spPr>
                        <a:xfrm>
                          <a:off x="2863575" y="1121350"/>
                          <a:ext cx="35350" cy="42800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1414" h="1712" extrusionOk="0">
                              <a:moveTo>
                                <a:pt x="737" y="259"/>
                              </a:moveTo>
                              <a:cubicBezTo>
                                <a:pt x="836" y="259"/>
                                <a:pt x="916" y="299"/>
                                <a:pt x="975" y="378"/>
                              </a:cubicBezTo>
                              <a:cubicBezTo>
                                <a:pt x="1035" y="438"/>
                                <a:pt x="1055" y="557"/>
                                <a:pt x="1055" y="737"/>
                              </a:cubicBezTo>
                              <a:lnTo>
                                <a:pt x="399" y="737"/>
                              </a:lnTo>
                              <a:cubicBezTo>
                                <a:pt x="418" y="557"/>
                                <a:pt x="438" y="438"/>
                                <a:pt x="498" y="378"/>
                              </a:cubicBezTo>
                              <a:cubicBezTo>
                                <a:pt x="558" y="299"/>
                                <a:pt x="637" y="259"/>
                                <a:pt x="737" y="259"/>
                              </a:cubicBezTo>
                              <a:close/>
                              <a:moveTo>
                                <a:pt x="737" y="0"/>
                              </a:moveTo>
                              <a:cubicBezTo>
                                <a:pt x="578" y="0"/>
                                <a:pt x="458" y="40"/>
                                <a:pt x="339" y="100"/>
                              </a:cubicBezTo>
                              <a:cubicBezTo>
                                <a:pt x="239" y="160"/>
                                <a:pt x="160" y="259"/>
                                <a:pt x="100" y="378"/>
                              </a:cubicBezTo>
                              <a:cubicBezTo>
                                <a:pt x="41" y="518"/>
                                <a:pt x="1" y="677"/>
                                <a:pt x="1" y="856"/>
                              </a:cubicBezTo>
                              <a:cubicBezTo>
                                <a:pt x="1" y="1055"/>
                                <a:pt x="41" y="1214"/>
                                <a:pt x="100" y="1333"/>
                              </a:cubicBezTo>
                              <a:cubicBezTo>
                                <a:pt x="160" y="1473"/>
                                <a:pt x="259" y="1552"/>
                                <a:pt x="379" y="1612"/>
                              </a:cubicBezTo>
                              <a:cubicBezTo>
                                <a:pt x="518" y="1671"/>
                                <a:pt x="677" y="1711"/>
                                <a:pt x="876" y="1711"/>
                              </a:cubicBezTo>
                              <a:cubicBezTo>
                                <a:pt x="1015" y="1711"/>
                                <a:pt x="1174" y="1691"/>
                                <a:pt x="1334" y="1652"/>
                              </a:cubicBezTo>
                              <a:lnTo>
                                <a:pt x="1334" y="1353"/>
                              </a:lnTo>
                              <a:cubicBezTo>
                                <a:pt x="1174" y="1373"/>
                                <a:pt x="1035" y="1393"/>
                                <a:pt x="916" y="1393"/>
                              </a:cubicBezTo>
                              <a:cubicBezTo>
                                <a:pt x="796" y="1393"/>
                                <a:pt x="697" y="1393"/>
                                <a:pt x="637" y="1353"/>
                              </a:cubicBezTo>
                              <a:cubicBezTo>
                                <a:pt x="558" y="1333"/>
                                <a:pt x="498" y="1294"/>
                                <a:pt x="478" y="1214"/>
                              </a:cubicBezTo>
                              <a:cubicBezTo>
                                <a:pt x="438" y="1154"/>
                                <a:pt x="418" y="1075"/>
                                <a:pt x="418" y="975"/>
                              </a:cubicBezTo>
                              <a:lnTo>
                                <a:pt x="1413" y="975"/>
                              </a:lnTo>
                              <a:lnTo>
                                <a:pt x="1413" y="856"/>
                              </a:lnTo>
                              <a:cubicBezTo>
                                <a:pt x="1413" y="577"/>
                                <a:pt x="1373" y="359"/>
                                <a:pt x="1254" y="219"/>
                              </a:cubicBezTo>
                              <a:cubicBezTo>
                                <a:pt x="1135" y="80"/>
                                <a:pt x="956" y="0"/>
                                <a:pt x="737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231F20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100" name="Shape 100"/>
                        <xdr:cNvSpPr/>
                      </xdr:nvSpPr>
                      <xdr:spPr>
                        <a:xfrm>
                          <a:off x="2906350" y="1121350"/>
                          <a:ext cx="24400" cy="41800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976" h="1672" extrusionOk="0">
                              <a:moveTo>
                                <a:pt x="836" y="0"/>
                              </a:moveTo>
                              <a:cubicBezTo>
                                <a:pt x="737" y="0"/>
                                <a:pt x="657" y="20"/>
                                <a:pt x="577" y="60"/>
                              </a:cubicBezTo>
                              <a:cubicBezTo>
                                <a:pt x="498" y="100"/>
                                <a:pt x="438" y="160"/>
                                <a:pt x="378" y="239"/>
                              </a:cubicBezTo>
                              <a:lnTo>
                                <a:pt x="359" y="239"/>
                              </a:lnTo>
                              <a:lnTo>
                                <a:pt x="339" y="20"/>
                              </a:lnTo>
                              <a:lnTo>
                                <a:pt x="0" y="20"/>
                              </a:lnTo>
                              <a:lnTo>
                                <a:pt x="0" y="1671"/>
                              </a:lnTo>
                              <a:lnTo>
                                <a:pt x="398" y="1671"/>
                              </a:lnTo>
                              <a:lnTo>
                                <a:pt x="398" y="557"/>
                              </a:lnTo>
                              <a:cubicBezTo>
                                <a:pt x="438" y="498"/>
                                <a:pt x="498" y="438"/>
                                <a:pt x="577" y="418"/>
                              </a:cubicBezTo>
                              <a:cubicBezTo>
                                <a:pt x="657" y="378"/>
                                <a:pt x="737" y="359"/>
                                <a:pt x="816" y="359"/>
                              </a:cubicBezTo>
                              <a:cubicBezTo>
                                <a:pt x="876" y="359"/>
                                <a:pt x="935" y="378"/>
                                <a:pt x="975" y="378"/>
                              </a:cubicBezTo>
                              <a:lnTo>
                                <a:pt x="975" y="20"/>
                              </a:lnTo>
                              <a:cubicBezTo>
                                <a:pt x="916" y="20"/>
                                <a:pt x="876" y="0"/>
                                <a:pt x="836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231F20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101" name="Shape 101"/>
                        <xdr:cNvSpPr/>
                      </xdr:nvSpPr>
                      <xdr:spPr>
                        <a:xfrm>
                          <a:off x="2935200" y="1104450"/>
                          <a:ext cx="12450" cy="58700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498" h="2348" extrusionOk="0">
                              <a:moveTo>
                                <a:pt x="239" y="0"/>
                              </a:moveTo>
                              <a:cubicBezTo>
                                <a:pt x="159" y="0"/>
                                <a:pt x="100" y="20"/>
                                <a:pt x="60" y="40"/>
                              </a:cubicBezTo>
                              <a:cubicBezTo>
                                <a:pt x="20" y="80"/>
                                <a:pt x="0" y="139"/>
                                <a:pt x="0" y="199"/>
                              </a:cubicBezTo>
                              <a:cubicBezTo>
                                <a:pt x="0" y="279"/>
                                <a:pt x="20" y="338"/>
                                <a:pt x="60" y="358"/>
                              </a:cubicBezTo>
                              <a:cubicBezTo>
                                <a:pt x="100" y="398"/>
                                <a:pt x="159" y="418"/>
                                <a:pt x="239" y="418"/>
                              </a:cubicBezTo>
                              <a:cubicBezTo>
                                <a:pt x="319" y="418"/>
                                <a:pt x="378" y="398"/>
                                <a:pt x="438" y="358"/>
                              </a:cubicBezTo>
                              <a:cubicBezTo>
                                <a:pt x="478" y="338"/>
                                <a:pt x="498" y="279"/>
                                <a:pt x="498" y="199"/>
                              </a:cubicBezTo>
                              <a:cubicBezTo>
                                <a:pt x="498" y="139"/>
                                <a:pt x="478" y="80"/>
                                <a:pt x="438" y="40"/>
                              </a:cubicBezTo>
                              <a:cubicBezTo>
                                <a:pt x="398" y="20"/>
                                <a:pt x="319" y="0"/>
                                <a:pt x="239" y="0"/>
                              </a:cubicBezTo>
                              <a:close/>
                              <a:moveTo>
                                <a:pt x="40" y="696"/>
                              </a:moveTo>
                              <a:lnTo>
                                <a:pt x="40" y="2347"/>
                              </a:lnTo>
                              <a:lnTo>
                                <a:pt x="438" y="2347"/>
                              </a:lnTo>
                              <a:lnTo>
                                <a:pt x="438" y="696"/>
                              </a:lnTo>
                              <a:close/>
                            </a:path>
                          </a:pathLst>
                        </a:custGeom>
                        <a:solidFill>
                          <a:srgbClr val="231F20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102" name="Shape 102"/>
                        <xdr:cNvSpPr/>
                      </xdr:nvSpPr>
                      <xdr:spPr>
                        <a:xfrm>
                          <a:off x="2954100" y="1121350"/>
                          <a:ext cx="38300" cy="42300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1532" h="1692" extrusionOk="0">
                              <a:moveTo>
                                <a:pt x="756" y="319"/>
                              </a:moveTo>
                              <a:cubicBezTo>
                                <a:pt x="875" y="319"/>
                                <a:pt x="975" y="359"/>
                                <a:pt x="1035" y="438"/>
                              </a:cubicBezTo>
                              <a:cubicBezTo>
                                <a:pt x="1094" y="518"/>
                                <a:pt x="1134" y="657"/>
                                <a:pt x="1134" y="856"/>
                              </a:cubicBezTo>
                              <a:cubicBezTo>
                                <a:pt x="1134" y="1055"/>
                                <a:pt x="1094" y="1194"/>
                                <a:pt x="1035" y="1274"/>
                              </a:cubicBezTo>
                              <a:cubicBezTo>
                                <a:pt x="975" y="1353"/>
                                <a:pt x="875" y="1393"/>
                                <a:pt x="756" y="1393"/>
                              </a:cubicBezTo>
                              <a:cubicBezTo>
                                <a:pt x="677" y="1393"/>
                                <a:pt x="617" y="1373"/>
                                <a:pt x="557" y="1353"/>
                              </a:cubicBezTo>
                              <a:cubicBezTo>
                                <a:pt x="498" y="1313"/>
                                <a:pt x="458" y="1254"/>
                                <a:pt x="438" y="1174"/>
                              </a:cubicBezTo>
                              <a:cubicBezTo>
                                <a:pt x="398" y="1095"/>
                                <a:pt x="398" y="995"/>
                                <a:pt x="398" y="856"/>
                              </a:cubicBezTo>
                              <a:cubicBezTo>
                                <a:pt x="398" y="657"/>
                                <a:pt x="418" y="518"/>
                                <a:pt x="478" y="438"/>
                              </a:cubicBezTo>
                              <a:cubicBezTo>
                                <a:pt x="537" y="359"/>
                                <a:pt x="637" y="319"/>
                                <a:pt x="756" y="319"/>
                              </a:cubicBezTo>
                              <a:close/>
                              <a:moveTo>
                                <a:pt x="756" y="0"/>
                              </a:moveTo>
                              <a:cubicBezTo>
                                <a:pt x="517" y="0"/>
                                <a:pt x="338" y="80"/>
                                <a:pt x="199" y="219"/>
                              </a:cubicBezTo>
                              <a:cubicBezTo>
                                <a:pt x="60" y="359"/>
                                <a:pt x="0" y="577"/>
                                <a:pt x="0" y="856"/>
                              </a:cubicBezTo>
                              <a:cubicBezTo>
                                <a:pt x="0" y="1134"/>
                                <a:pt x="60" y="1353"/>
                                <a:pt x="199" y="1492"/>
                              </a:cubicBezTo>
                              <a:cubicBezTo>
                                <a:pt x="338" y="1632"/>
                                <a:pt x="517" y="1691"/>
                                <a:pt x="756" y="1691"/>
                              </a:cubicBezTo>
                              <a:cubicBezTo>
                                <a:pt x="915" y="1691"/>
                                <a:pt x="1055" y="1671"/>
                                <a:pt x="1174" y="1612"/>
                              </a:cubicBezTo>
                              <a:cubicBezTo>
                                <a:pt x="1293" y="1552"/>
                                <a:pt x="1373" y="1453"/>
                                <a:pt x="1432" y="1313"/>
                              </a:cubicBezTo>
                              <a:cubicBezTo>
                                <a:pt x="1492" y="1194"/>
                                <a:pt x="1532" y="1035"/>
                                <a:pt x="1532" y="856"/>
                              </a:cubicBezTo>
                              <a:cubicBezTo>
                                <a:pt x="1532" y="557"/>
                                <a:pt x="1452" y="359"/>
                                <a:pt x="1333" y="219"/>
                              </a:cubicBezTo>
                              <a:cubicBezTo>
                                <a:pt x="1194" y="80"/>
                                <a:pt x="1015" y="0"/>
                                <a:pt x="756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231F20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103" name="Shape 103"/>
                        <xdr:cNvSpPr/>
                      </xdr:nvSpPr>
                      <xdr:spPr>
                        <a:xfrm>
                          <a:off x="3016750" y="1102450"/>
                          <a:ext cx="37325" cy="61200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1493" h="2448" extrusionOk="0">
                              <a:moveTo>
                                <a:pt x="876" y="1055"/>
                              </a:moveTo>
                              <a:cubicBezTo>
                                <a:pt x="956" y="1055"/>
                                <a:pt x="1035" y="1075"/>
                                <a:pt x="1095" y="1075"/>
                              </a:cubicBezTo>
                              <a:lnTo>
                                <a:pt x="1095" y="1990"/>
                              </a:lnTo>
                              <a:cubicBezTo>
                                <a:pt x="1055" y="2030"/>
                                <a:pt x="1015" y="2069"/>
                                <a:pt x="956" y="2089"/>
                              </a:cubicBezTo>
                              <a:cubicBezTo>
                                <a:pt x="896" y="2109"/>
                                <a:pt x="836" y="2129"/>
                                <a:pt x="776" y="2129"/>
                              </a:cubicBezTo>
                              <a:cubicBezTo>
                                <a:pt x="657" y="2129"/>
                                <a:pt x="558" y="2089"/>
                                <a:pt x="498" y="2010"/>
                              </a:cubicBezTo>
                              <a:cubicBezTo>
                                <a:pt x="438" y="1930"/>
                                <a:pt x="399" y="1791"/>
                                <a:pt x="399" y="1612"/>
                              </a:cubicBezTo>
                              <a:cubicBezTo>
                                <a:pt x="399" y="1413"/>
                                <a:pt x="438" y="1274"/>
                                <a:pt x="518" y="1194"/>
                              </a:cubicBezTo>
                              <a:cubicBezTo>
                                <a:pt x="597" y="1095"/>
                                <a:pt x="717" y="1055"/>
                                <a:pt x="876" y="1055"/>
                              </a:cubicBezTo>
                              <a:close/>
                              <a:moveTo>
                                <a:pt x="1095" y="1"/>
                              </a:moveTo>
                              <a:lnTo>
                                <a:pt x="1095" y="776"/>
                              </a:lnTo>
                              <a:cubicBezTo>
                                <a:pt x="1015" y="756"/>
                                <a:pt x="936" y="756"/>
                                <a:pt x="876" y="756"/>
                              </a:cubicBezTo>
                              <a:cubicBezTo>
                                <a:pt x="597" y="756"/>
                                <a:pt x="379" y="836"/>
                                <a:pt x="219" y="975"/>
                              </a:cubicBezTo>
                              <a:cubicBezTo>
                                <a:pt x="80" y="1134"/>
                                <a:pt x="1" y="1353"/>
                                <a:pt x="1" y="1632"/>
                              </a:cubicBezTo>
                              <a:cubicBezTo>
                                <a:pt x="1" y="1831"/>
                                <a:pt x="40" y="1990"/>
                                <a:pt x="100" y="2109"/>
                              </a:cubicBezTo>
                              <a:cubicBezTo>
                                <a:pt x="160" y="2229"/>
                                <a:pt x="239" y="2308"/>
                                <a:pt x="339" y="2368"/>
                              </a:cubicBezTo>
                              <a:cubicBezTo>
                                <a:pt x="438" y="2427"/>
                                <a:pt x="538" y="2447"/>
                                <a:pt x="677" y="2447"/>
                              </a:cubicBezTo>
                              <a:cubicBezTo>
                                <a:pt x="776" y="2447"/>
                                <a:pt x="856" y="2447"/>
                                <a:pt x="916" y="2408"/>
                              </a:cubicBezTo>
                              <a:cubicBezTo>
                                <a:pt x="995" y="2368"/>
                                <a:pt x="1055" y="2308"/>
                                <a:pt x="1115" y="2248"/>
                              </a:cubicBezTo>
                              <a:lnTo>
                                <a:pt x="1135" y="2248"/>
                              </a:lnTo>
                              <a:lnTo>
                                <a:pt x="1154" y="2427"/>
                              </a:lnTo>
                              <a:lnTo>
                                <a:pt x="1493" y="2427"/>
                              </a:lnTo>
                              <a:lnTo>
                                <a:pt x="1493" y="1"/>
                              </a:lnTo>
                              <a:close/>
                            </a:path>
                          </a:pathLst>
                        </a:custGeom>
                        <a:solidFill>
                          <a:srgbClr val="231F20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104" name="Shape 104"/>
                        <xdr:cNvSpPr/>
                      </xdr:nvSpPr>
                      <xdr:spPr>
                        <a:xfrm>
                          <a:off x="3061525" y="1121350"/>
                          <a:ext cx="35325" cy="42800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1413" h="1712" extrusionOk="0">
                              <a:moveTo>
                                <a:pt x="736" y="259"/>
                              </a:moveTo>
                              <a:cubicBezTo>
                                <a:pt x="836" y="259"/>
                                <a:pt x="915" y="299"/>
                                <a:pt x="975" y="378"/>
                              </a:cubicBezTo>
                              <a:cubicBezTo>
                                <a:pt x="1034" y="438"/>
                                <a:pt x="1054" y="557"/>
                                <a:pt x="1054" y="737"/>
                              </a:cubicBezTo>
                              <a:lnTo>
                                <a:pt x="398" y="737"/>
                              </a:lnTo>
                              <a:cubicBezTo>
                                <a:pt x="418" y="557"/>
                                <a:pt x="438" y="438"/>
                                <a:pt x="497" y="378"/>
                              </a:cubicBezTo>
                              <a:cubicBezTo>
                                <a:pt x="557" y="299"/>
                                <a:pt x="637" y="259"/>
                                <a:pt x="736" y="259"/>
                              </a:cubicBezTo>
                              <a:close/>
                              <a:moveTo>
                                <a:pt x="736" y="0"/>
                              </a:moveTo>
                              <a:cubicBezTo>
                                <a:pt x="577" y="0"/>
                                <a:pt x="458" y="40"/>
                                <a:pt x="338" y="100"/>
                              </a:cubicBezTo>
                              <a:cubicBezTo>
                                <a:pt x="239" y="160"/>
                                <a:pt x="159" y="259"/>
                                <a:pt x="99" y="378"/>
                              </a:cubicBezTo>
                              <a:cubicBezTo>
                                <a:pt x="40" y="518"/>
                                <a:pt x="0" y="677"/>
                                <a:pt x="0" y="856"/>
                              </a:cubicBezTo>
                              <a:cubicBezTo>
                                <a:pt x="0" y="1055"/>
                                <a:pt x="40" y="1214"/>
                                <a:pt x="99" y="1333"/>
                              </a:cubicBezTo>
                              <a:cubicBezTo>
                                <a:pt x="159" y="1473"/>
                                <a:pt x="259" y="1552"/>
                                <a:pt x="378" y="1612"/>
                              </a:cubicBezTo>
                              <a:cubicBezTo>
                                <a:pt x="517" y="1671"/>
                                <a:pt x="676" y="1711"/>
                                <a:pt x="875" y="1711"/>
                              </a:cubicBezTo>
                              <a:cubicBezTo>
                                <a:pt x="1015" y="1711"/>
                                <a:pt x="1174" y="1691"/>
                                <a:pt x="1333" y="1652"/>
                              </a:cubicBezTo>
                              <a:lnTo>
                                <a:pt x="1333" y="1353"/>
                              </a:lnTo>
                              <a:cubicBezTo>
                                <a:pt x="1174" y="1373"/>
                                <a:pt x="1034" y="1393"/>
                                <a:pt x="915" y="1393"/>
                              </a:cubicBezTo>
                              <a:cubicBezTo>
                                <a:pt x="796" y="1393"/>
                                <a:pt x="696" y="1393"/>
                                <a:pt x="637" y="1353"/>
                              </a:cubicBezTo>
                              <a:cubicBezTo>
                                <a:pt x="557" y="1333"/>
                                <a:pt x="497" y="1294"/>
                                <a:pt x="477" y="1214"/>
                              </a:cubicBezTo>
                              <a:cubicBezTo>
                                <a:pt x="438" y="1154"/>
                                <a:pt x="418" y="1075"/>
                                <a:pt x="418" y="975"/>
                              </a:cubicBezTo>
                              <a:lnTo>
                                <a:pt x="1412" y="975"/>
                              </a:lnTo>
                              <a:lnTo>
                                <a:pt x="1412" y="856"/>
                              </a:lnTo>
                              <a:cubicBezTo>
                                <a:pt x="1412" y="577"/>
                                <a:pt x="1373" y="359"/>
                                <a:pt x="1253" y="219"/>
                              </a:cubicBezTo>
                              <a:cubicBezTo>
                                <a:pt x="1134" y="80"/>
                                <a:pt x="955" y="0"/>
                                <a:pt x="736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231F20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105" name="Shape 105"/>
                        <xdr:cNvSpPr/>
                      </xdr:nvSpPr>
                      <xdr:spPr>
                        <a:xfrm>
                          <a:off x="3123675" y="1107425"/>
                          <a:ext cx="37825" cy="55725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1513" h="2229" extrusionOk="0">
                              <a:moveTo>
                                <a:pt x="1" y="0"/>
                              </a:moveTo>
                              <a:lnTo>
                                <a:pt x="1" y="2228"/>
                              </a:lnTo>
                              <a:lnTo>
                                <a:pt x="1512" y="2228"/>
                              </a:lnTo>
                              <a:lnTo>
                                <a:pt x="1512" y="1910"/>
                              </a:lnTo>
                              <a:lnTo>
                                <a:pt x="398" y="1910"/>
                              </a:lnTo>
                              <a:lnTo>
                                <a:pt x="398" y="1254"/>
                              </a:lnTo>
                              <a:lnTo>
                                <a:pt x="1353" y="1254"/>
                              </a:lnTo>
                              <a:lnTo>
                                <a:pt x="1353" y="916"/>
                              </a:lnTo>
                              <a:lnTo>
                                <a:pt x="398" y="916"/>
                              </a:lnTo>
                              <a:lnTo>
                                <a:pt x="398" y="319"/>
                              </a:lnTo>
                              <a:lnTo>
                                <a:pt x="1512" y="319"/>
                              </a:lnTo>
                              <a:lnTo>
                                <a:pt x="1512" y="0"/>
                              </a:lnTo>
                              <a:close/>
                            </a:path>
                          </a:pathLst>
                        </a:custGeom>
                        <a:solidFill>
                          <a:srgbClr val="231F20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106" name="Shape 106"/>
                        <xdr:cNvSpPr/>
                      </xdr:nvSpPr>
                      <xdr:spPr>
                        <a:xfrm>
                          <a:off x="3165950" y="1121350"/>
                          <a:ext cx="30850" cy="42300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1234" h="1692" extrusionOk="0">
                              <a:moveTo>
                                <a:pt x="876" y="0"/>
                              </a:moveTo>
                              <a:cubicBezTo>
                                <a:pt x="577" y="0"/>
                                <a:pt x="378" y="60"/>
                                <a:pt x="219" y="199"/>
                              </a:cubicBezTo>
                              <a:cubicBezTo>
                                <a:pt x="80" y="339"/>
                                <a:pt x="0" y="557"/>
                                <a:pt x="0" y="856"/>
                              </a:cubicBezTo>
                              <a:cubicBezTo>
                                <a:pt x="0" y="1134"/>
                                <a:pt x="80" y="1353"/>
                                <a:pt x="219" y="1492"/>
                              </a:cubicBezTo>
                              <a:cubicBezTo>
                                <a:pt x="359" y="1632"/>
                                <a:pt x="557" y="1691"/>
                                <a:pt x="816" y="1691"/>
                              </a:cubicBezTo>
                              <a:cubicBezTo>
                                <a:pt x="955" y="1691"/>
                                <a:pt x="1095" y="1671"/>
                                <a:pt x="1234" y="1632"/>
                              </a:cubicBezTo>
                              <a:lnTo>
                                <a:pt x="1234" y="1313"/>
                              </a:lnTo>
                              <a:cubicBezTo>
                                <a:pt x="1154" y="1333"/>
                                <a:pt x="1095" y="1353"/>
                                <a:pt x="1035" y="1373"/>
                              </a:cubicBezTo>
                              <a:lnTo>
                                <a:pt x="876" y="1373"/>
                              </a:lnTo>
                              <a:cubicBezTo>
                                <a:pt x="717" y="1373"/>
                                <a:pt x="597" y="1333"/>
                                <a:pt x="518" y="1254"/>
                              </a:cubicBezTo>
                              <a:cubicBezTo>
                                <a:pt x="458" y="1174"/>
                                <a:pt x="418" y="1035"/>
                                <a:pt x="418" y="856"/>
                              </a:cubicBezTo>
                              <a:cubicBezTo>
                                <a:pt x="418" y="717"/>
                                <a:pt x="438" y="617"/>
                                <a:pt x="458" y="538"/>
                              </a:cubicBezTo>
                              <a:cubicBezTo>
                                <a:pt x="498" y="458"/>
                                <a:pt x="557" y="418"/>
                                <a:pt x="637" y="378"/>
                              </a:cubicBezTo>
                              <a:cubicBezTo>
                                <a:pt x="717" y="339"/>
                                <a:pt x="796" y="319"/>
                                <a:pt x="916" y="319"/>
                              </a:cubicBezTo>
                              <a:cubicBezTo>
                                <a:pt x="1015" y="319"/>
                                <a:pt x="1114" y="339"/>
                                <a:pt x="1234" y="359"/>
                              </a:cubicBezTo>
                              <a:lnTo>
                                <a:pt x="1234" y="40"/>
                              </a:lnTo>
                              <a:cubicBezTo>
                                <a:pt x="1114" y="20"/>
                                <a:pt x="995" y="0"/>
                                <a:pt x="876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231F20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107" name="Shape 107"/>
                        <xdr:cNvSpPr/>
                      </xdr:nvSpPr>
                      <xdr:spPr>
                        <a:xfrm>
                          <a:off x="3200750" y="1121350"/>
                          <a:ext cx="38325" cy="42300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1533" h="1692" extrusionOk="0">
                              <a:moveTo>
                                <a:pt x="757" y="319"/>
                              </a:moveTo>
                              <a:cubicBezTo>
                                <a:pt x="876" y="319"/>
                                <a:pt x="976" y="359"/>
                                <a:pt x="1035" y="438"/>
                              </a:cubicBezTo>
                              <a:cubicBezTo>
                                <a:pt x="1095" y="518"/>
                                <a:pt x="1135" y="657"/>
                                <a:pt x="1135" y="856"/>
                              </a:cubicBezTo>
                              <a:cubicBezTo>
                                <a:pt x="1135" y="1055"/>
                                <a:pt x="1095" y="1194"/>
                                <a:pt x="1035" y="1274"/>
                              </a:cubicBezTo>
                              <a:cubicBezTo>
                                <a:pt x="976" y="1353"/>
                                <a:pt x="896" y="1393"/>
                                <a:pt x="757" y="1393"/>
                              </a:cubicBezTo>
                              <a:cubicBezTo>
                                <a:pt x="677" y="1393"/>
                                <a:pt x="618" y="1373"/>
                                <a:pt x="558" y="1353"/>
                              </a:cubicBezTo>
                              <a:cubicBezTo>
                                <a:pt x="498" y="1313"/>
                                <a:pt x="458" y="1254"/>
                                <a:pt x="439" y="1174"/>
                              </a:cubicBezTo>
                              <a:cubicBezTo>
                                <a:pt x="419" y="1095"/>
                                <a:pt x="399" y="995"/>
                                <a:pt x="399" y="856"/>
                              </a:cubicBezTo>
                              <a:cubicBezTo>
                                <a:pt x="399" y="657"/>
                                <a:pt x="419" y="518"/>
                                <a:pt x="498" y="438"/>
                              </a:cubicBezTo>
                              <a:cubicBezTo>
                                <a:pt x="558" y="359"/>
                                <a:pt x="638" y="319"/>
                                <a:pt x="757" y="319"/>
                              </a:cubicBezTo>
                              <a:close/>
                              <a:moveTo>
                                <a:pt x="757" y="0"/>
                              </a:moveTo>
                              <a:cubicBezTo>
                                <a:pt x="518" y="0"/>
                                <a:pt x="339" y="80"/>
                                <a:pt x="200" y="219"/>
                              </a:cubicBezTo>
                              <a:cubicBezTo>
                                <a:pt x="61" y="359"/>
                                <a:pt x="1" y="577"/>
                                <a:pt x="1" y="856"/>
                              </a:cubicBezTo>
                              <a:cubicBezTo>
                                <a:pt x="1" y="1134"/>
                                <a:pt x="61" y="1353"/>
                                <a:pt x="200" y="1492"/>
                              </a:cubicBezTo>
                              <a:cubicBezTo>
                                <a:pt x="339" y="1632"/>
                                <a:pt x="518" y="1691"/>
                                <a:pt x="757" y="1691"/>
                              </a:cubicBezTo>
                              <a:cubicBezTo>
                                <a:pt x="916" y="1691"/>
                                <a:pt x="1055" y="1671"/>
                                <a:pt x="1175" y="1612"/>
                              </a:cubicBezTo>
                              <a:cubicBezTo>
                                <a:pt x="1294" y="1552"/>
                                <a:pt x="1374" y="1453"/>
                                <a:pt x="1433" y="1313"/>
                              </a:cubicBezTo>
                              <a:cubicBezTo>
                                <a:pt x="1493" y="1194"/>
                                <a:pt x="1533" y="1035"/>
                                <a:pt x="1533" y="856"/>
                              </a:cubicBezTo>
                              <a:cubicBezTo>
                                <a:pt x="1533" y="557"/>
                                <a:pt x="1453" y="359"/>
                                <a:pt x="1334" y="219"/>
                              </a:cubicBezTo>
                              <a:cubicBezTo>
                                <a:pt x="1195" y="80"/>
                                <a:pt x="1015" y="0"/>
                                <a:pt x="757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231F20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108" name="Shape 108"/>
                        <xdr:cNvSpPr/>
                      </xdr:nvSpPr>
                      <xdr:spPr>
                        <a:xfrm>
                          <a:off x="3246525" y="1121350"/>
                          <a:ext cx="35825" cy="41800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1433" h="1672" extrusionOk="0">
                              <a:moveTo>
                                <a:pt x="875" y="0"/>
                              </a:moveTo>
                              <a:cubicBezTo>
                                <a:pt x="776" y="0"/>
                                <a:pt x="696" y="20"/>
                                <a:pt x="597" y="60"/>
                              </a:cubicBezTo>
                              <a:cubicBezTo>
                                <a:pt x="517" y="80"/>
                                <a:pt x="438" y="140"/>
                                <a:pt x="378" y="199"/>
                              </a:cubicBezTo>
                              <a:lnTo>
                                <a:pt x="358" y="199"/>
                              </a:lnTo>
                              <a:lnTo>
                                <a:pt x="338" y="20"/>
                              </a:lnTo>
                              <a:lnTo>
                                <a:pt x="0" y="20"/>
                              </a:lnTo>
                              <a:lnTo>
                                <a:pt x="0" y="1671"/>
                              </a:lnTo>
                              <a:lnTo>
                                <a:pt x="398" y="1671"/>
                              </a:lnTo>
                              <a:lnTo>
                                <a:pt x="398" y="518"/>
                              </a:lnTo>
                              <a:cubicBezTo>
                                <a:pt x="438" y="458"/>
                                <a:pt x="497" y="418"/>
                                <a:pt x="557" y="378"/>
                              </a:cubicBezTo>
                              <a:cubicBezTo>
                                <a:pt x="637" y="359"/>
                                <a:pt x="696" y="339"/>
                                <a:pt x="756" y="339"/>
                              </a:cubicBezTo>
                              <a:cubicBezTo>
                                <a:pt x="855" y="339"/>
                                <a:pt x="915" y="359"/>
                                <a:pt x="955" y="418"/>
                              </a:cubicBezTo>
                              <a:cubicBezTo>
                                <a:pt x="1015" y="458"/>
                                <a:pt x="1035" y="538"/>
                                <a:pt x="1035" y="637"/>
                              </a:cubicBezTo>
                              <a:lnTo>
                                <a:pt x="1035" y="1671"/>
                              </a:lnTo>
                              <a:lnTo>
                                <a:pt x="1432" y="1671"/>
                              </a:lnTo>
                              <a:lnTo>
                                <a:pt x="1432" y="617"/>
                              </a:lnTo>
                              <a:cubicBezTo>
                                <a:pt x="1432" y="418"/>
                                <a:pt x="1373" y="259"/>
                                <a:pt x="1273" y="160"/>
                              </a:cubicBezTo>
                              <a:cubicBezTo>
                                <a:pt x="1174" y="60"/>
                                <a:pt x="1054" y="0"/>
                                <a:pt x="875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231F20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109" name="Shape 109"/>
                        <xdr:cNvSpPr/>
                      </xdr:nvSpPr>
                      <xdr:spPr>
                        <a:xfrm>
                          <a:off x="3289775" y="1121350"/>
                          <a:ext cx="38325" cy="42300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1533" h="1692" extrusionOk="0">
                              <a:moveTo>
                                <a:pt x="757" y="319"/>
                              </a:moveTo>
                              <a:cubicBezTo>
                                <a:pt x="876" y="319"/>
                                <a:pt x="976" y="359"/>
                                <a:pt x="1035" y="438"/>
                              </a:cubicBezTo>
                              <a:cubicBezTo>
                                <a:pt x="1095" y="518"/>
                                <a:pt x="1135" y="657"/>
                                <a:pt x="1135" y="856"/>
                              </a:cubicBezTo>
                              <a:cubicBezTo>
                                <a:pt x="1135" y="1055"/>
                                <a:pt x="1095" y="1194"/>
                                <a:pt x="1035" y="1274"/>
                              </a:cubicBezTo>
                              <a:cubicBezTo>
                                <a:pt x="976" y="1353"/>
                                <a:pt x="876" y="1393"/>
                                <a:pt x="757" y="1393"/>
                              </a:cubicBezTo>
                              <a:cubicBezTo>
                                <a:pt x="677" y="1393"/>
                                <a:pt x="617" y="1373"/>
                                <a:pt x="558" y="1353"/>
                              </a:cubicBezTo>
                              <a:cubicBezTo>
                                <a:pt x="518" y="1313"/>
                                <a:pt x="478" y="1254"/>
                                <a:pt x="438" y="1174"/>
                              </a:cubicBezTo>
                              <a:cubicBezTo>
                                <a:pt x="419" y="1095"/>
                                <a:pt x="399" y="995"/>
                                <a:pt x="399" y="856"/>
                              </a:cubicBezTo>
                              <a:cubicBezTo>
                                <a:pt x="399" y="657"/>
                                <a:pt x="419" y="518"/>
                                <a:pt x="498" y="438"/>
                              </a:cubicBezTo>
                              <a:cubicBezTo>
                                <a:pt x="558" y="359"/>
                                <a:pt x="637" y="319"/>
                                <a:pt x="757" y="319"/>
                              </a:cubicBezTo>
                              <a:close/>
                              <a:moveTo>
                                <a:pt x="757" y="0"/>
                              </a:moveTo>
                              <a:cubicBezTo>
                                <a:pt x="518" y="0"/>
                                <a:pt x="339" y="80"/>
                                <a:pt x="200" y="219"/>
                              </a:cubicBezTo>
                              <a:cubicBezTo>
                                <a:pt x="60" y="359"/>
                                <a:pt x="1" y="577"/>
                                <a:pt x="1" y="856"/>
                              </a:cubicBezTo>
                              <a:cubicBezTo>
                                <a:pt x="1" y="1134"/>
                                <a:pt x="60" y="1353"/>
                                <a:pt x="200" y="1492"/>
                              </a:cubicBezTo>
                              <a:cubicBezTo>
                                <a:pt x="339" y="1632"/>
                                <a:pt x="518" y="1691"/>
                                <a:pt x="757" y="1691"/>
                              </a:cubicBezTo>
                              <a:cubicBezTo>
                                <a:pt x="916" y="1691"/>
                                <a:pt x="1055" y="1671"/>
                                <a:pt x="1174" y="1612"/>
                              </a:cubicBezTo>
                              <a:cubicBezTo>
                                <a:pt x="1294" y="1552"/>
                                <a:pt x="1373" y="1453"/>
                                <a:pt x="1433" y="1313"/>
                              </a:cubicBezTo>
                              <a:cubicBezTo>
                                <a:pt x="1493" y="1194"/>
                                <a:pt x="1532" y="1035"/>
                                <a:pt x="1532" y="856"/>
                              </a:cubicBezTo>
                              <a:cubicBezTo>
                                <a:pt x="1532" y="557"/>
                                <a:pt x="1453" y="359"/>
                                <a:pt x="1334" y="219"/>
                              </a:cubicBezTo>
                              <a:cubicBezTo>
                                <a:pt x="1194" y="80"/>
                                <a:pt x="1015" y="0"/>
                                <a:pt x="757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231F20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110" name="Shape 110"/>
                        <xdr:cNvSpPr/>
                      </xdr:nvSpPr>
                      <xdr:spPr>
                        <a:xfrm>
                          <a:off x="3335525" y="1121350"/>
                          <a:ext cx="57225" cy="41800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2289" h="1672" extrusionOk="0">
                              <a:moveTo>
                                <a:pt x="836" y="0"/>
                              </a:moveTo>
                              <a:cubicBezTo>
                                <a:pt x="757" y="0"/>
                                <a:pt x="657" y="20"/>
                                <a:pt x="578" y="40"/>
                              </a:cubicBezTo>
                              <a:cubicBezTo>
                                <a:pt x="518" y="80"/>
                                <a:pt x="439" y="120"/>
                                <a:pt x="379" y="199"/>
                              </a:cubicBezTo>
                              <a:lnTo>
                                <a:pt x="359" y="199"/>
                              </a:lnTo>
                              <a:lnTo>
                                <a:pt x="339" y="20"/>
                              </a:lnTo>
                              <a:lnTo>
                                <a:pt x="1" y="20"/>
                              </a:lnTo>
                              <a:lnTo>
                                <a:pt x="1" y="1671"/>
                              </a:lnTo>
                              <a:lnTo>
                                <a:pt x="399" y="1671"/>
                              </a:lnTo>
                              <a:lnTo>
                                <a:pt x="399" y="518"/>
                              </a:lnTo>
                              <a:cubicBezTo>
                                <a:pt x="439" y="458"/>
                                <a:pt x="498" y="418"/>
                                <a:pt x="538" y="378"/>
                              </a:cubicBezTo>
                              <a:cubicBezTo>
                                <a:pt x="598" y="359"/>
                                <a:pt x="657" y="339"/>
                                <a:pt x="717" y="339"/>
                              </a:cubicBezTo>
                              <a:cubicBezTo>
                                <a:pt x="797" y="339"/>
                                <a:pt x="856" y="359"/>
                                <a:pt x="896" y="418"/>
                              </a:cubicBezTo>
                              <a:cubicBezTo>
                                <a:pt x="936" y="458"/>
                                <a:pt x="956" y="538"/>
                                <a:pt x="956" y="637"/>
                              </a:cubicBezTo>
                              <a:lnTo>
                                <a:pt x="956" y="1671"/>
                              </a:lnTo>
                              <a:lnTo>
                                <a:pt x="1354" y="1671"/>
                              </a:lnTo>
                              <a:lnTo>
                                <a:pt x="1354" y="617"/>
                              </a:lnTo>
                              <a:cubicBezTo>
                                <a:pt x="1354" y="557"/>
                                <a:pt x="1354" y="518"/>
                                <a:pt x="1354" y="498"/>
                              </a:cubicBezTo>
                              <a:cubicBezTo>
                                <a:pt x="1393" y="438"/>
                                <a:pt x="1433" y="398"/>
                                <a:pt x="1493" y="378"/>
                              </a:cubicBezTo>
                              <a:cubicBezTo>
                                <a:pt x="1533" y="359"/>
                                <a:pt x="1592" y="339"/>
                                <a:pt x="1652" y="339"/>
                              </a:cubicBezTo>
                              <a:cubicBezTo>
                                <a:pt x="1732" y="339"/>
                                <a:pt x="1791" y="359"/>
                                <a:pt x="1831" y="418"/>
                              </a:cubicBezTo>
                              <a:cubicBezTo>
                                <a:pt x="1871" y="458"/>
                                <a:pt x="1891" y="538"/>
                                <a:pt x="1891" y="637"/>
                              </a:cubicBezTo>
                              <a:lnTo>
                                <a:pt x="1891" y="1671"/>
                              </a:lnTo>
                              <a:lnTo>
                                <a:pt x="2289" y="1671"/>
                              </a:lnTo>
                              <a:lnTo>
                                <a:pt x="2289" y="617"/>
                              </a:lnTo>
                              <a:cubicBezTo>
                                <a:pt x="2289" y="418"/>
                                <a:pt x="2249" y="259"/>
                                <a:pt x="2149" y="160"/>
                              </a:cubicBezTo>
                              <a:cubicBezTo>
                                <a:pt x="2050" y="60"/>
                                <a:pt x="1930" y="0"/>
                                <a:pt x="1751" y="0"/>
                              </a:cubicBezTo>
                              <a:cubicBezTo>
                                <a:pt x="1672" y="0"/>
                                <a:pt x="1592" y="20"/>
                                <a:pt x="1493" y="60"/>
                              </a:cubicBezTo>
                              <a:cubicBezTo>
                                <a:pt x="1413" y="80"/>
                                <a:pt x="1334" y="140"/>
                                <a:pt x="1254" y="219"/>
                              </a:cubicBezTo>
                              <a:cubicBezTo>
                                <a:pt x="1214" y="140"/>
                                <a:pt x="1155" y="80"/>
                                <a:pt x="1095" y="60"/>
                              </a:cubicBezTo>
                              <a:cubicBezTo>
                                <a:pt x="1015" y="20"/>
                                <a:pt x="936" y="0"/>
                                <a:pt x="836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231F20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111" name="Shape 111"/>
                        <xdr:cNvSpPr/>
                      </xdr:nvSpPr>
                      <xdr:spPr>
                        <a:xfrm>
                          <a:off x="3402175" y="1102450"/>
                          <a:ext cx="19425" cy="60700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777" h="2428" extrusionOk="0">
                              <a:moveTo>
                                <a:pt x="359" y="1"/>
                              </a:moveTo>
                              <a:lnTo>
                                <a:pt x="20" y="558"/>
                              </a:lnTo>
                              <a:lnTo>
                                <a:pt x="378" y="558"/>
                              </a:lnTo>
                              <a:lnTo>
                                <a:pt x="776" y="1"/>
                              </a:lnTo>
                              <a:close/>
                              <a:moveTo>
                                <a:pt x="1" y="776"/>
                              </a:moveTo>
                              <a:lnTo>
                                <a:pt x="1" y="2427"/>
                              </a:lnTo>
                              <a:lnTo>
                                <a:pt x="398" y="2427"/>
                              </a:lnTo>
                              <a:lnTo>
                                <a:pt x="398" y="776"/>
                              </a:lnTo>
                              <a:close/>
                            </a:path>
                          </a:pathLst>
                        </a:custGeom>
                        <a:solidFill>
                          <a:srgbClr val="231F20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  <xdr:sp macro="" textlink="">
                      <xdr:nvSpPr>
                        <xdr:cNvPr id="112" name="Shape 112"/>
                        <xdr:cNvSpPr/>
                      </xdr:nvSpPr>
                      <xdr:spPr>
                        <a:xfrm>
                          <a:off x="3420075" y="1121350"/>
                          <a:ext cx="33350" cy="42300"/>
                        </a:xfrm>
                        <a:custGeom>
                          <a:avLst/>
                          <a:gdLst/>
                          <a:ahLst/>
                          <a:cxnLst/>
                          <a:rect l="l" t="t" r="r" b="b"/>
                          <a:pathLst>
                            <a:path w="1334" h="1692" extrusionOk="0">
                              <a:moveTo>
                                <a:pt x="955" y="935"/>
                              </a:moveTo>
                              <a:lnTo>
                                <a:pt x="955" y="1274"/>
                              </a:lnTo>
                              <a:cubicBezTo>
                                <a:pt x="916" y="1333"/>
                                <a:pt x="856" y="1373"/>
                                <a:pt x="796" y="1393"/>
                              </a:cubicBezTo>
                              <a:cubicBezTo>
                                <a:pt x="757" y="1413"/>
                                <a:pt x="697" y="1413"/>
                                <a:pt x="637" y="1413"/>
                              </a:cubicBezTo>
                              <a:cubicBezTo>
                                <a:pt x="558" y="1413"/>
                                <a:pt x="498" y="1413"/>
                                <a:pt x="458" y="1373"/>
                              </a:cubicBezTo>
                              <a:cubicBezTo>
                                <a:pt x="398" y="1333"/>
                                <a:pt x="379" y="1274"/>
                                <a:pt x="379" y="1194"/>
                              </a:cubicBezTo>
                              <a:cubicBezTo>
                                <a:pt x="379" y="1134"/>
                                <a:pt x="418" y="1075"/>
                                <a:pt x="458" y="1035"/>
                              </a:cubicBezTo>
                              <a:cubicBezTo>
                                <a:pt x="498" y="995"/>
                                <a:pt x="578" y="975"/>
                                <a:pt x="677" y="955"/>
                              </a:cubicBezTo>
                              <a:lnTo>
                                <a:pt x="955" y="935"/>
                              </a:lnTo>
                              <a:close/>
                              <a:moveTo>
                                <a:pt x="617" y="0"/>
                              </a:moveTo>
                              <a:cubicBezTo>
                                <a:pt x="538" y="0"/>
                                <a:pt x="458" y="20"/>
                                <a:pt x="359" y="20"/>
                              </a:cubicBezTo>
                              <a:cubicBezTo>
                                <a:pt x="279" y="40"/>
                                <a:pt x="200" y="60"/>
                                <a:pt x="120" y="80"/>
                              </a:cubicBezTo>
                              <a:lnTo>
                                <a:pt x="120" y="378"/>
                              </a:lnTo>
                              <a:cubicBezTo>
                                <a:pt x="180" y="359"/>
                                <a:pt x="259" y="339"/>
                                <a:pt x="339" y="319"/>
                              </a:cubicBezTo>
                              <a:lnTo>
                                <a:pt x="558" y="319"/>
                              </a:lnTo>
                              <a:cubicBezTo>
                                <a:pt x="657" y="319"/>
                                <a:pt x="737" y="319"/>
                                <a:pt x="796" y="339"/>
                              </a:cubicBezTo>
                              <a:cubicBezTo>
                                <a:pt x="836" y="359"/>
                                <a:pt x="876" y="398"/>
                                <a:pt x="916" y="438"/>
                              </a:cubicBezTo>
                              <a:cubicBezTo>
                                <a:pt x="936" y="498"/>
                                <a:pt x="955" y="557"/>
                                <a:pt x="955" y="637"/>
                              </a:cubicBezTo>
                              <a:lnTo>
                                <a:pt x="955" y="697"/>
                              </a:lnTo>
                              <a:lnTo>
                                <a:pt x="637" y="737"/>
                              </a:lnTo>
                              <a:cubicBezTo>
                                <a:pt x="418" y="756"/>
                                <a:pt x="259" y="796"/>
                                <a:pt x="140" y="876"/>
                              </a:cubicBezTo>
                              <a:cubicBezTo>
                                <a:pt x="40" y="955"/>
                                <a:pt x="1" y="1075"/>
                                <a:pt x="1" y="1234"/>
                              </a:cubicBezTo>
                              <a:cubicBezTo>
                                <a:pt x="1" y="1333"/>
                                <a:pt x="21" y="1413"/>
                                <a:pt x="60" y="1492"/>
                              </a:cubicBezTo>
                              <a:cubicBezTo>
                                <a:pt x="100" y="1552"/>
                                <a:pt x="160" y="1612"/>
                                <a:pt x="239" y="1652"/>
                              </a:cubicBezTo>
                              <a:cubicBezTo>
                                <a:pt x="319" y="1671"/>
                                <a:pt x="398" y="1691"/>
                                <a:pt x="518" y="1691"/>
                              </a:cubicBezTo>
                              <a:cubicBezTo>
                                <a:pt x="597" y="1691"/>
                                <a:pt x="697" y="1691"/>
                                <a:pt x="776" y="1652"/>
                              </a:cubicBezTo>
                              <a:cubicBezTo>
                                <a:pt x="856" y="1612"/>
                                <a:pt x="916" y="1572"/>
                                <a:pt x="955" y="1512"/>
                              </a:cubicBezTo>
                              <a:lnTo>
                                <a:pt x="975" y="1512"/>
                              </a:lnTo>
                              <a:lnTo>
                                <a:pt x="1015" y="1671"/>
                              </a:lnTo>
                              <a:lnTo>
                                <a:pt x="1333" y="1671"/>
                              </a:lnTo>
                              <a:lnTo>
                                <a:pt x="1333" y="657"/>
                              </a:lnTo>
                              <a:cubicBezTo>
                                <a:pt x="1333" y="498"/>
                                <a:pt x="1314" y="359"/>
                                <a:pt x="1254" y="279"/>
                              </a:cubicBezTo>
                              <a:cubicBezTo>
                                <a:pt x="1214" y="180"/>
                                <a:pt x="1135" y="100"/>
                                <a:pt x="1035" y="60"/>
                              </a:cubicBezTo>
                              <a:cubicBezTo>
                                <a:pt x="936" y="20"/>
                                <a:pt x="796" y="0"/>
                                <a:pt x="617" y="0"/>
                              </a:cubicBezTo>
                              <a:close/>
                            </a:path>
                          </a:pathLst>
                        </a:custGeom>
                        <a:solidFill>
                          <a:srgbClr val="231F20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marR="0" lvl="0" indent="0" algn="l" rtl="0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400"/>
                            <a:buFont typeface="Arial"/>
                            <a:buNone/>
                          </a:pPr>
                          <a:endParaRPr sz="1400" b="0" i="0" u="none" strike="noStrike" cap="non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/>
  </sheetViews>
  <sheetFormatPr baseColWidth="10" defaultColWidth="14.453125" defaultRowHeight="15" customHeight="1"/>
  <cols>
    <col min="1" max="1" width="8.54296875" customWidth="1"/>
    <col min="2" max="5" width="11.08984375" customWidth="1"/>
    <col min="6" max="6" width="17" customWidth="1"/>
    <col min="7" max="22" width="11.08984375" customWidth="1"/>
  </cols>
  <sheetData>
    <row r="1" spans="1:26" ht="22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2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2.5" customHeight="1">
      <c r="A3" s="2"/>
      <c r="B3" s="3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9.25" customHeight="1">
      <c r="A4" s="4"/>
      <c r="B4" s="5" t="s">
        <v>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>
      <c r="A5" s="1"/>
      <c r="B5" s="6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>
      <c r="A6" s="2"/>
      <c r="B6" s="7" t="s">
        <v>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2.5" customHeight="1">
      <c r="A7" s="1"/>
      <c r="B7" s="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2.5" customHeight="1">
      <c r="A8" s="9"/>
      <c r="B8" s="10" t="s">
        <v>3</v>
      </c>
      <c r="C8" s="11"/>
      <c r="D8" s="11"/>
      <c r="E8" s="11"/>
      <c r="F8" s="11"/>
      <c r="G8" s="11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22.5" customHeight="1">
      <c r="A9" s="1"/>
      <c r="B9" s="10" t="s">
        <v>4</v>
      </c>
      <c r="C9" s="11"/>
      <c r="D9" s="12"/>
      <c r="E9" s="12"/>
      <c r="F9" s="12"/>
      <c r="G9" s="1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2.5" customHeight="1">
      <c r="A10" s="1"/>
      <c r="B10" s="10" t="s">
        <v>5</v>
      </c>
      <c r="C10" s="11"/>
      <c r="D10" s="12"/>
      <c r="E10" s="12"/>
      <c r="F10" s="12"/>
      <c r="G10" s="13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>
      <c r="A11" s="1"/>
      <c r="B11" s="10" t="s">
        <v>6</v>
      </c>
      <c r="C11" s="14"/>
      <c r="D11" s="12"/>
      <c r="E11" s="12"/>
      <c r="F11" s="12"/>
      <c r="G11" s="13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2.5" customHeight="1">
      <c r="A12" s="1"/>
      <c r="B12" s="10" t="s">
        <v>7</v>
      </c>
      <c r="C12" s="11"/>
      <c r="D12" s="12"/>
      <c r="E12" s="12"/>
      <c r="F12" s="12"/>
      <c r="G12" s="13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2.5" customHeight="1">
      <c r="A13" s="1"/>
      <c r="B13" s="12"/>
      <c r="C13" s="12"/>
      <c r="D13" s="12"/>
      <c r="E13" s="12"/>
      <c r="F13" s="12"/>
      <c r="G13" s="13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2.5" customHeight="1">
      <c r="A14" s="1"/>
      <c r="B14" s="156"/>
      <c r="C14" s="157"/>
      <c r="D14" s="157"/>
      <c r="E14" s="157"/>
      <c r="F14" s="157"/>
      <c r="G14" s="157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2.5" customHeight="1">
      <c r="A15" s="1"/>
      <c r="B15" s="12"/>
      <c r="C15" s="12"/>
      <c r="D15" s="12"/>
      <c r="E15" s="12"/>
      <c r="F15" s="12"/>
      <c r="G15" s="12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2.5" customHeight="1">
      <c r="A16" s="1"/>
      <c r="B16" s="15"/>
      <c r="C16" s="15"/>
      <c r="D16" s="15"/>
      <c r="E16" s="15"/>
      <c r="F16" s="15"/>
      <c r="G16" s="1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2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2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2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2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2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2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2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2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2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2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2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2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2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2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2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2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2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2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2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2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2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2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2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2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2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2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2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2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2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2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2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2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2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2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2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2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2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2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2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2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2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2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2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2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2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2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2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2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2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2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2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2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2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2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2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2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2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2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2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2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2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2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2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2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2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2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2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2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2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2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2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2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2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2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2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2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2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2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2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2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2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2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2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2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2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2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2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2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2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2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2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2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2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2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2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2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2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2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2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2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2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2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2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2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2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2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2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2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2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2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2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2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2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2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2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2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2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2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2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2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2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2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2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2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2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2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2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2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2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2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2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2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2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2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2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2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2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2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2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2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2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2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2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2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2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2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2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2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2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2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2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2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2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2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2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2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2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2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2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2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2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2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2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2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2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2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2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2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2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2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2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2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2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2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2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2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2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2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2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2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2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2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2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2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2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2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2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2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2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2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2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2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2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2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2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2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2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2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2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2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2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2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2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2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4:G14"/>
  </mergeCells>
  <hyperlinks>
    <hyperlink ref="B8" location="Bonos!A1" display="1. Bonos"/>
    <hyperlink ref="B9" location="Letras!A1" display="2. Letras"/>
    <hyperlink ref="B10" location="'Letras ISP'!A1" display="3. Letras intra sector público"/>
    <hyperlink ref="B11" location="'Otras Operaciones'!A1" display="4. Canje y Conversiones"/>
    <hyperlink ref="B12" location="'Canjes- Conversiones'!A1" display="5. Otras Operaciones"/>
  </hyperlink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8"/>
  <sheetViews>
    <sheetView showGridLines="0" tabSelected="1" zoomScale="85" zoomScaleNormal="85" workbookViewId="0">
      <pane ySplit="3" topLeftCell="A4" activePane="bottomLeft" state="frozen"/>
      <selection pane="bottomLeft"/>
    </sheetView>
  </sheetViews>
  <sheetFormatPr baseColWidth="10" defaultColWidth="14.453125" defaultRowHeight="15" customHeight="1"/>
  <cols>
    <col min="1" max="1" width="26.54296875" customWidth="1"/>
    <col min="2" max="2" width="16.81640625" customWidth="1"/>
    <col min="3" max="3" width="18.81640625" customWidth="1"/>
    <col min="4" max="4" width="33.7265625" customWidth="1"/>
    <col min="5" max="5" width="23.08984375" customWidth="1"/>
    <col min="6" max="6" width="15.08984375" customWidth="1"/>
    <col min="7" max="7" width="17.453125" customWidth="1"/>
    <col min="8" max="8" width="18.54296875" customWidth="1"/>
    <col min="9" max="9" width="19.08984375" customWidth="1"/>
    <col min="10" max="10" width="13.54296875" customWidth="1"/>
    <col min="11" max="12" width="12.54296875" customWidth="1"/>
    <col min="13" max="13" width="10.08984375" customWidth="1"/>
    <col min="14" max="14" width="27.08984375" customWidth="1"/>
    <col min="15" max="17" width="11.54296875" customWidth="1"/>
  </cols>
  <sheetData>
    <row r="1" spans="1:17" ht="49.5" customHeight="1">
      <c r="A1" s="16" t="s">
        <v>8</v>
      </c>
      <c r="B1" s="17"/>
      <c r="C1" s="17"/>
      <c r="D1" s="18"/>
      <c r="E1" s="18"/>
      <c r="F1" s="18"/>
      <c r="G1" s="18"/>
      <c r="H1" s="17"/>
      <c r="I1" s="18"/>
      <c r="J1" s="18"/>
      <c r="K1" s="18"/>
      <c r="L1" s="18"/>
      <c r="M1" s="158" t="s">
        <v>9</v>
      </c>
      <c r="N1" s="157"/>
      <c r="O1" s="18"/>
      <c r="P1" s="18"/>
      <c r="Q1" s="18"/>
    </row>
    <row r="2" spans="1:17" ht="15.75" customHeight="1">
      <c r="A2" s="19"/>
      <c r="B2" s="20"/>
      <c r="C2" s="20"/>
      <c r="D2" s="19"/>
      <c r="E2" s="19"/>
      <c r="F2" s="19"/>
      <c r="G2" s="19"/>
      <c r="H2" s="21"/>
      <c r="I2" s="19"/>
      <c r="J2" s="19"/>
      <c r="K2" s="19"/>
      <c r="L2" s="19"/>
      <c r="M2" s="19"/>
      <c r="N2" s="19"/>
      <c r="O2" s="19"/>
      <c r="P2" s="19"/>
      <c r="Q2" s="19"/>
    </row>
    <row r="3" spans="1:17" ht="34.5">
      <c r="A3" s="22" t="s">
        <v>10</v>
      </c>
      <c r="B3" s="23" t="s">
        <v>11</v>
      </c>
      <c r="C3" s="23" t="s">
        <v>12</v>
      </c>
      <c r="D3" s="22" t="s">
        <v>13</v>
      </c>
      <c r="E3" s="22" t="s">
        <v>14</v>
      </c>
      <c r="F3" s="22" t="s">
        <v>15</v>
      </c>
      <c r="G3" s="24" t="s">
        <v>16</v>
      </c>
      <c r="H3" s="23" t="s">
        <v>17</v>
      </c>
      <c r="I3" s="22" t="s">
        <v>18</v>
      </c>
      <c r="J3" s="22" t="s">
        <v>19</v>
      </c>
      <c r="K3" s="22" t="s">
        <v>20</v>
      </c>
      <c r="L3" s="22" t="s">
        <v>21</v>
      </c>
      <c r="M3" s="22" t="s">
        <v>22</v>
      </c>
      <c r="N3" s="22" t="s">
        <v>23</v>
      </c>
      <c r="O3" s="25"/>
      <c r="P3" s="25"/>
      <c r="Q3" s="25"/>
    </row>
    <row r="4" spans="1:17" ht="23.25" customHeight="1">
      <c r="A4" s="26" t="s">
        <v>24</v>
      </c>
      <c r="B4" s="27">
        <v>45432</v>
      </c>
      <c r="C4" s="27">
        <v>46477</v>
      </c>
      <c r="D4" s="26" t="s">
        <v>25</v>
      </c>
      <c r="E4" s="26" t="s">
        <v>26</v>
      </c>
      <c r="F4" s="26" t="s">
        <v>27</v>
      </c>
      <c r="G4" s="26" t="s">
        <v>28</v>
      </c>
      <c r="H4" s="27">
        <v>45674</v>
      </c>
      <c r="I4" s="28">
        <v>179632.09713499999</v>
      </c>
      <c r="J4" s="28">
        <v>218450.59332587346</v>
      </c>
      <c r="K4" s="28">
        <v>1216.0999999999999</v>
      </c>
      <c r="L4" s="29">
        <v>2.2055555555555557</v>
      </c>
      <c r="M4" s="26" t="s">
        <v>29</v>
      </c>
      <c r="N4" s="26" t="s">
        <v>30</v>
      </c>
      <c r="O4" s="30"/>
      <c r="P4" s="30"/>
      <c r="Q4" s="30"/>
    </row>
    <row r="5" spans="1:17" ht="23.25" customHeight="1">
      <c r="A5" s="26" t="s">
        <v>31</v>
      </c>
      <c r="B5" s="27">
        <v>45674</v>
      </c>
      <c r="C5" s="27">
        <v>46203</v>
      </c>
      <c r="D5" s="26" t="s">
        <v>32</v>
      </c>
      <c r="E5" s="26" t="s">
        <v>26</v>
      </c>
      <c r="F5" s="26" t="s">
        <v>27</v>
      </c>
      <c r="G5" s="26" t="s">
        <v>33</v>
      </c>
      <c r="H5" s="27">
        <v>45674</v>
      </c>
      <c r="I5" s="122">
        <v>1509151.413155</v>
      </c>
      <c r="J5" s="28">
        <v>1509151.413155</v>
      </c>
      <c r="K5" s="28">
        <v>1000</v>
      </c>
      <c r="L5" s="29">
        <v>1.4527777777777777</v>
      </c>
      <c r="M5" s="26" t="s">
        <v>29</v>
      </c>
      <c r="N5" s="26">
        <v>3</v>
      </c>
      <c r="O5" s="30"/>
      <c r="P5" s="30"/>
      <c r="Q5" s="30"/>
    </row>
    <row r="6" spans="1:17" ht="23.25" customHeight="1">
      <c r="A6" s="26" t="s">
        <v>24</v>
      </c>
      <c r="B6" s="27">
        <v>45432</v>
      </c>
      <c r="C6" s="27">
        <v>46477</v>
      </c>
      <c r="D6" s="26" t="s">
        <v>25</v>
      </c>
      <c r="E6" s="26" t="s">
        <v>26</v>
      </c>
      <c r="F6" s="26" t="s">
        <v>27</v>
      </c>
      <c r="G6" s="26" t="s">
        <v>28</v>
      </c>
      <c r="H6" s="27">
        <v>45688</v>
      </c>
      <c r="I6" s="28">
        <v>424857.971792</v>
      </c>
      <c r="J6" s="28">
        <v>523425.02124774404</v>
      </c>
      <c r="K6" s="28">
        <v>1232</v>
      </c>
      <c r="L6" s="29">
        <v>2.1666666666666665</v>
      </c>
      <c r="M6" s="26" t="s">
        <v>29</v>
      </c>
      <c r="N6" s="26" t="s">
        <v>30</v>
      </c>
      <c r="O6" s="30"/>
      <c r="P6" s="30"/>
      <c r="Q6" s="30"/>
    </row>
    <row r="7" spans="1:17" ht="23.25" customHeight="1">
      <c r="A7" s="114" t="s">
        <v>34</v>
      </c>
      <c r="B7" s="27">
        <v>45688</v>
      </c>
      <c r="C7" s="27">
        <v>46402</v>
      </c>
      <c r="D7" s="26" t="s">
        <v>35</v>
      </c>
      <c r="E7" s="26" t="s">
        <v>26</v>
      </c>
      <c r="F7" s="26" t="s">
        <v>27</v>
      </c>
      <c r="G7" s="26" t="s">
        <v>33</v>
      </c>
      <c r="H7" s="27">
        <v>45688</v>
      </c>
      <c r="I7" s="28">
        <v>4362025.8149819998</v>
      </c>
      <c r="J7" s="28">
        <v>4362025.8149819998</v>
      </c>
      <c r="K7" s="28">
        <v>1000</v>
      </c>
      <c r="L7" s="29">
        <v>1.9583333333333299</v>
      </c>
      <c r="M7" s="26" t="s">
        <v>29</v>
      </c>
      <c r="N7" s="26">
        <v>6</v>
      </c>
      <c r="O7" s="30"/>
      <c r="P7" s="30"/>
      <c r="Q7" s="30"/>
    </row>
    <row r="8" spans="1:17" ht="23.25" customHeight="1">
      <c r="A8" s="26" t="s">
        <v>36</v>
      </c>
      <c r="B8" s="27">
        <v>45625</v>
      </c>
      <c r="C8" s="27">
        <v>46066</v>
      </c>
      <c r="D8" s="26" t="s">
        <v>37</v>
      </c>
      <c r="E8" s="26" t="s">
        <v>26</v>
      </c>
      <c r="F8" s="26" t="s">
        <v>27</v>
      </c>
      <c r="G8" s="26" t="s">
        <v>33</v>
      </c>
      <c r="H8" s="27">
        <v>45702</v>
      </c>
      <c r="I8" s="28">
        <v>253732.911655</v>
      </c>
      <c r="J8" s="28">
        <f>+(I8*K8)/1000</f>
        <v>280121.13446711999</v>
      </c>
      <c r="K8" s="28">
        <v>1104</v>
      </c>
      <c r="L8" s="29">
        <v>0.99722222222222223</v>
      </c>
      <c r="M8" s="26" t="s">
        <v>29</v>
      </c>
      <c r="N8" s="26" t="s">
        <v>38</v>
      </c>
      <c r="O8" s="30"/>
      <c r="P8" s="30"/>
      <c r="Q8" s="30"/>
    </row>
    <row r="9" spans="1:17" ht="23.25" customHeight="1">
      <c r="A9" s="26" t="s">
        <v>24</v>
      </c>
      <c r="B9" s="27">
        <v>45432</v>
      </c>
      <c r="C9" s="27">
        <v>46477</v>
      </c>
      <c r="D9" s="26" t="s">
        <v>25</v>
      </c>
      <c r="E9" s="26" t="s">
        <v>26</v>
      </c>
      <c r="F9" s="26" t="s">
        <v>27</v>
      </c>
      <c r="G9" s="26" t="s">
        <v>28</v>
      </c>
      <c r="H9" s="27">
        <v>45702</v>
      </c>
      <c r="I9" s="28">
        <v>352648.81166599999</v>
      </c>
      <c r="J9" s="28">
        <v>436226.58003084199</v>
      </c>
      <c r="K9" s="28">
        <v>1237</v>
      </c>
      <c r="L9" s="29">
        <v>2.1305555555555555</v>
      </c>
      <c r="M9" s="26" t="s">
        <v>29</v>
      </c>
      <c r="N9" s="26" t="s">
        <v>30</v>
      </c>
      <c r="O9" s="30"/>
      <c r="P9" s="30"/>
      <c r="Q9" s="30"/>
    </row>
    <row r="10" spans="1:17" ht="23.25" customHeight="1">
      <c r="A10" s="31" t="s">
        <v>39</v>
      </c>
      <c r="B10" s="27">
        <v>45596</v>
      </c>
      <c r="C10" s="27">
        <v>45807</v>
      </c>
      <c r="D10" s="26" t="s">
        <v>25</v>
      </c>
      <c r="E10" s="26" t="s">
        <v>26</v>
      </c>
      <c r="F10" s="26" t="s">
        <v>27</v>
      </c>
      <c r="G10" s="26" t="s">
        <v>28</v>
      </c>
      <c r="H10" s="27">
        <v>45716</v>
      </c>
      <c r="I10" s="28">
        <v>872186.23585199995</v>
      </c>
      <c r="J10" s="28">
        <v>959404.85943720001</v>
      </c>
      <c r="K10" s="28">
        <v>1100</v>
      </c>
      <c r="L10" s="29">
        <v>0.25</v>
      </c>
      <c r="M10" s="26" t="s">
        <v>29</v>
      </c>
      <c r="N10" s="26">
        <v>9</v>
      </c>
      <c r="O10" s="30"/>
      <c r="P10" s="30"/>
      <c r="Q10" s="30"/>
    </row>
    <row r="11" spans="1:17" s="121" customFormat="1" ht="23.25" customHeight="1">
      <c r="A11" s="114" t="s">
        <v>40</v>
      </c>
      <c r="B11" s="117">
        <v>45596</v>
      </c>
      <c r="C11" s="117">
        <v>45961</v>
      </c>
      <c r="D11" s="114" t="s">
        <v>25</v>
      </c>
      <c r="E11" s="114" t="s">
        <v>26</v>
      </c>
      <c r="F11" s="114" t="s">
        <v>27</v>
      </c>
      <c r="G11" s="114" t="s">
        <v>28</v>
      </c>
      <c r="H11" s="117">
        <v>45730</v>
      </c>
      <c r="I11" s="122">
        <v>55955.458059999997</v>
      </c>
      <c r="J11" s="122">
        <v>59592.562833899996</v>
      </c>
      <c r="K11" s="122">
        <v>1065</v>
      </c>
      <c r="L11" s="118">
        <v>0.63055555555555554</v>
      </c>
      <c r="M11" s="114" t="s">
        <v>29</v>
      </c>
      <c r="N11" s="114">
        <v>11</v>
      </c>
      <c r="O11" s="129"/>
      <c r="P11" s="129"/>
      <c r="Q11" s="129"/>
    </row>
    <row r="12" spans="1:17" s="121" customFormat="1" ht="23.25" customHeight="1">
      <c r="A12" s="114" t="s">
        <v>24</v>
      </c>
      <c r="B12" s="117">
        <v>45432</v>
      </c>
      <c r="C12" s="117">
        <v>46477</v>
      </c>
      <c r="D12" s="114" t="s">
        <v>25</v>
      </c>
      <c r="E12" s="114" t="s">
        <v>26</v>
      </c>
      <c r="F12" s="114" t="s">
        <v>27</v>
      </c>
      <c r="G12" s="114" t="s">
        <v>28</v>
      </c>
      <c r="H12" s="117">
        <v>45730</v>
      </c>
      <c r="I12" s="122">
        <v>118048.469621</v>
      </c>
      <c r="J12" s="122">
        <v>143428.89058951501</v>
      </c>
      <c r="K12" s="122">
        <v>1215</v>
      </c>
      <c r="L12" s="118">
        <v>2.0472222222222221</v>
      </c>
      <c r="M12" s="114" t="s">
        <v>29</v>
      </c>
      <c r="N12" s="114" t="s">
        <v>30</v>
      </c>
      <c r="O12" s="129"/>
      <c r="P12" s="129"/>
      <c r="Q12" s="129"/>
    </row>
    <row r="13" spans="1:17" s="121" customFormat="1" ht="23.25" customHeight="1">
      <c r="A13" s="114" t="s">
        <v>41</v>
      </c>
      <c r="B13" s="117">
        <v>45642</v>
      </c>
      <c r="C13" s="117">
        <v>46052</v>
      </c>
      <c r="D13" s="114" t="s">
        <v>42</v>
      </c>
      <c r="E13" s="114" t="s">
        <v>26</v>
      </c>
      <c r="F13" s="114" t="s">
        <v>27</v>
      </c>
      <c r="G13" s="114" t="s">
        <v>33</v>
      </c>
      <c r="H13" s="117">
        <v>45730</v>
      </c>
      <c r="I13" s="122">
        <v>133774.863473</v>
      </c>
      <c r="J13" s="122">
        <v>146165.09132786925</v>
      </c>
      <c r="K13" s="122">
        <v>1092.6199999999999</v>
      </c>
      <c r="L13" s="118">
        <v>0.87777777777777777</v>
      </c>
      <c r="M13" s="114" t="s">
        <v>29</v>
      </c>
      <c r="N13" s="114" t="s">
        <v>43</v>
      </c>
      <c r="O13" s="129"/>
      <c r="P13" s="129"/>
      <c r="Q13" s="129"/>
    </row>
    <row r="14" spans="1:17" s="121" customFormat="1" ht="23.25" customHeight="1">
      <c r="A14" s="114" t="s">
        <v>40</v>
      </c>
      <c r="B14" s="117">
        <v>45596</v>
      </c>
      <c r="C14" s="117">
        <v>45961</v>
      </c>
      <c r="D14" s="114" t="s">
        <v>25</v>
      </c>
      <c r="E14" s="114" t="s">
        <v>26</v>
      </c>
      <c r="F14" s="114" t="s">
        <v>27</v>
      </c>
      <c r="G14" s="114" t="s">
        <v>28</v>
      </c>
      <c r="H14" s="117">
        <v>45747</v>
      </c>
      <c r="I14" s="122">
        <v>94477.156203000006</v>
      </c>
      <c r="J14" s="122">
        <v>102980.10026127</v>
      </c>
      <c r="K14" s="122">
        <v>1090</v>
      </c>
      <c r="L14" s="118">
        <v>0.58333333333333337</v>
      </c>
      <c r="M14" s="114" t="s">
        <v>29</v>
      </c>
      <c r="N14" s="114">
        <v>15</v>
      </c>
      <c r="O14" s="129"/>
      <c r="P14" s="129"/>
      <c r="Q14" s="129"/>
    </row>
    <row r="15" spans="1:17" s="121" customFormat="1" ht="23.25" customHeight="1">
      <c r="A15" s="114" t="s">
        <v>24</v>
      </c>
      <c r="B15" s="117">
        <v>45432</v>
      </c>
      <c r="C15" s="117">
        <v>46477</v>
      </c>
      <c r="D15" s="114" t="s">
        <v>25</v>
      </c>
      <c r="E15" s="114" t="s">
        <v>26</v>
      </c>
      <c r="F15" s="114" t="s">
        <v>27</v>
      </c>
      <c r="G15" s="114" t="s">
        <v>28</v>
      </c>
      <c r="H15" s="117">
        <v>45747</v>
      </c>
      <c r="I15" s="122">
        <v>82496.756410999995</v>
      </c>
      <c r="J15" s="122">
        <v>101388.513629119</v>
      </c>
      <c r="K15" s="122">
        <v>1229</v>
      </c>
      <c r="L15" s="118">
        <v>2</v>
      </c>
      <c r="M15" s="114" t="s">
        <v>29</v>
      </c>
      <c r="N15" s="114" t="s">
        <v>30</v>
      </c>
      <c r="O15" s="129"/>
      <c r="P15" s="129"/>
      <c r="Q15" s="129"/>
    </row>
    <row r="16" spans="1:17" s="121" customFormat="1" ht="23.25" customHeight="1">
      <c r="A16" s="114" t="s">
        <v>44</v>
      </c>
      <c r="B16" s="117">
        <v>45350</v>
      </c>
      <c r="C16" s="117">
        <v>45838</v>
      </c>
      <c r="D16" s="114" t="s">
        <v>25</v>
      </c>
      <c r="E16" s="114" t="s">
        <v>26</v>
      </c>
      <c r="F16" s="114" t="s">
        <v>45</v>
      </c>
      <c r="G16" s="114" t="s">
        <v>46</v>
      </c>
      <c r="H16" s="117">
        <v>45747</v>
      </c>
      <c r="I16" s="122">
        <v>329.757654</v>
      </c>
      <c r="J16" s="122">
        <v>331.40644227000001</v>
      </c>
      <c r="K16" s="122">
        <v>1005</v>
      </c>
      <c r="L16" s="118">
        <v>0.25</v>
      </c>
      <c r="M16" s="114" t="s">
        <v>29</v>
      </c>
      <c r="N16" s="114">
        <v>15</v>
      </c>
      <c r="O16" s="129"/>
      <c r="P16" s="129"/>
      <c r="Q16" s="129"/>
    </row>
    <row r="17" spans="1:17" s="121" customFormat="1" ht="23.25" customHeight="1">
      <c r="A17" s="114" t="s">
        <v>40</v>
      </c>
      <c r="B17" s="117">
        <v>45596</v>
      </c>
      <c r="C17" s="117">
        <v>45961</v>
      </c>
      <c r="D17" s="114" t="s">
        <v>25</v>
      </c>
      <c r="E17" s="114" t="s">
        <v>26</v>
      </c>
      <c r="F17" s="114" t="s">
        <v>27</v>
      </c>
      <c r="G17" s="114" t="s">
        <v>28</v>
      </c>
      <c r="H17" s="117">
        <v>45763</v>
      </c>
      <c r="I17" s="122">
        <v>209601.516412</v>
      </c>
      <c r="J17" s="122">
        <v>241041.74387380001</v>
      </c>
      <c r="K17" s="122">
        <v>1150</v>
      </c>
      <c r="L17" s="118">
        <v>0.54166666666666663</v>
      </c>
      <c r="M17" s="114" t="s">
        <v>29</v>
      </c>
      <c r="N17" s="114">
        <v>16</v>
      </c>
      <c r="O17" s="129"/>
      <c r="P17" s="129"/>
      <c r="Q17" s="129"/>
    </row>
    <row r="18" spans="1:17" s="121" customFormat="1" ht="23.25" customHeight="1">
      <c r="A18" s="114" t="s">
        <v>47</v>
      </c>
      <c r="B18" s="117">
        <v>45596</v>
      </c>
      <c r="C18" s="117">
        <v>46325</v>
      </c>
      <c r="D18" s="114" t="s">
        <v>25</v>
      </c>
      <c r="E18" s="114" t="s">
        <v>26</v>
      </c>
      <c r="F18" s="114" t="s">
        <v>27</v>
      </c>
      <c r="G18" s="114" t="s">
        <v>28</v>
      </c>
      <c r="H18" s="117">
        <v>45763</v>
      </c>
      <c r="I18" s="122">
        <v>279024.19182100001</v>
      </c>
      <c r="J18" s="122">
        <v>281814.43373921001</v>
      </c>
      <c r="K18" s="122">
        <v>1010</v>
      </c>
      <c r="L18" s="118">
        <v>1.5388888888888888</v>
      </c>
      <c r="M18" s="114" t="s">
        <v>29</v>
      </c>
      <c r="N18" s="114" t="s">
        <v>48</v>
      </c>
      <c r="O18" s="129"/>
      <c r="P18" s="129"/>
      <c r="Q18" s="129"/>
    </row>
    <row r="19" spans="1:17" s="121" customFormat="1" ht="23.25" customHeight="1">
      <c r="A19" s="114" t="s">
        <v>49</v>
      </c>
      <c r="B19" s="117">
        <v>45579</v>
      </c>
      <c r="C19" s="117">
        <v>45947</v>
      </c>
      <c r="D19" s="114" t="s">
        <v>50</v>
      </c>
      <c r="E19" s="115" t="s">
        <v>26</v>
      </c>
      <c r="F19" s="114" t="s">
        <v>27</v>
      </c>
      <c r="G19" s="114" t="s">
        <v>33</v>
      </c>
      <c r="H19" s="117">
        <v>45775</v>
      </c>
      <c r="I19" s="122">
        <v>774644.96089600003</v>
      </c>
      <c r="J19" s="122">
        <v>1058552</v>
      </c>
      <c r="K19" s="122">
        <f>+J19/I19*1000</f>
        <v>1366.4995622970507</v>
      </c>
      <c r="L19" s="118">
        <v>0.46944444444444444</v>
      </c>
      <c r="M19" s="114" t="s">
        <v>29</v>
      </c>
      <c r="N19" s="114" t="s">
        <v>51</v>
      </c>
      <c r="O19" s="129"/>
      <c r="P19" s="129"/>
      <c r="Q19" s="129"/>
    </row>
    <row r="20" spans="1:17" s="121" customFormat="1" ht="23.25" customHeight="1">
      <c r="A20" s="114" t="s">
        <v>41</v>
      </c>
      <c r="B20" s="117">
        <v>45642</v>
      </c>
      <c r="C20" s="117">
        <v>46052</v>
      </c>
      <c r="D20" s="114" t="s">
        <v>42</v>
      </c>
      <c r="E20" s="114" t="s">
        <v>26</v>
      </c>
      <c r="F20" s="114" t="s">
        <v>27</v>
      </c>
      <c r="G20" s="114" t="s">
        <v>33</v>
      </c>
      <c r="H20" s="117">
        <v>45775</v>
      </c>
      <c r="I20" s="122">
        <v>807778.27817299997</v>
      </c>
      <c r="J20" s="122">
        <v>905495.21648358775</v>
      </c>
      <c r="K20" s="122">
        <v>1120.97</v>
      </c>
      <c r="L20" s="118">
        <v>0.75555555555555554</v>
      </c>
      <c r="M20" s="114" t="s">
        <v>29</v>
      </c>
      <c r="N20" s="114" t="s">
        <v>43</v>
      </c>
      <c r="O20" s="129"/>
      <c r="P20" s="129"/>
      <c r="Q20" s="129"/>
    </row>
    <row r="21" spans="1:17" s="121" customFormat="1" ht="23.25" customHeight="1">
      <c r="A21" s="114" t="s">
        <v>34</v>
      </c>
      <c r="B21" s="117">
        <v>45688</v>
      </c>
      <c r="C21" s="117">
        <v>46402</v>
      </c>
      <c r="D21" s="114" t="s">
        <v>35</v>
      </c>
      <c r="E21" s="114" t="s">
        <v>26</v>
      </c>
      <c r="F21" s="114" t="s">
        <v>27</v>
      </c>
      <c r="G21" s="114" t="s">
        <v>33</v>
      </c>
      <c r="H21" s="117">
        <v>45775</v>
      </c>
      <c r="I21" s="122">
        <v>4306.59573</v>
      </c>
      <c r="J21" s="122">
        <v>4360.4281766250006</v>
      </c>
      <c r="K21" s="122">
        <v>1012.5</v>
      </c>
      <c r="L21" s="118">
        <v>1.7138888888888888</v>
      </c>
      <c r="M21" s="114" t="s">
        <v>29</v>
      </c>
      <c r="N21" s="114" t="s">
        <v>52</v>
      </c>
      <c r="O21" s="129"/>
      <c r="P21" s="129"/>
      <c r="Q21" s="129"/>
    </row>
    <row r="22" spans="1:17" s="121" customFormat="1" ht="23.25" customHeight="1">
      <c r="A22" s="114" t="s">
        <v>40</v>
      </c>
      <c r="B22" s="117">
        <v>45596</v>
      </c>
      <c r="C22" s="117">
        <v>45961</v>
      </c>
      <c r="D22" s="114" t="s">
        <v>25</v>
      </c>
      <c r="E22" s="114" t="s">
        <v>26</v>
      </c>
      <c r="F22" s="114" t="s">
        <v>27</v>
      </c>
      <c r="G22" s="114" t="s">
        <v>28</v>
      </c>
      <c r="H22" s="117">
        <v>45775</v>
      </c>
      <c r="I22" s="122">
        <v>140642.403942</v>
      </c>
      <c r="J22" s="122">
        <v>160472.98289782199</v>
      </c>
      <c r="K22" s="122">
        <v>1141</v>
      </c>
      <c r="L22" s="118">
        <v>0.5083333333333333</v>
      </c>
      <c r="M22" s="114" t="s">
        <v>29</v>
      </c>
      <c r="N22" s="114">
        <v>20</v>
      </c>
      <c r="O22" s="129"/>
      <c r="P22" s="129"/>
      <c r="Q22" s="129"/>
    </row>
    <row r="23" spans="1:17" s="121" customFormat="1" ht="23.25" customHeight="1">
      <c r="A23" s="114" t="s">
        <v>24</v>
      </c>
      <c r="B23" s="117">
        <v>45432</v>
      </c>
      <c r="C23" s="117">
        <v>46477</v>
      </c>
      <c r="D23" s="114" t="s">
        <v>25</v>
      </c>
      <c r="E23" s="114" t="s">
        <v>26</v>
      </c>
      <c r="F23" s="114" t="s">
        <v>27</v>
      </c>
      <c r="G23" s="114" t="s">
        <v>28</v>
      </c>
      <c r="H23" s="117">
        <v>45775</v>
      </c>
      <c r="I23" s="122">
        <v>87082.785650000005</v>
      </c>
      <c r="J23" s="122">
        <v>112040.71201729</v>
      </c>
      <c r="K23" s="122">
        <v>1286.5999999999999</v>
      </c>
      <c r="L23" s="118">
        <v>1.925</v>
      </c>
      <c r="M23" s="114" t="s">
        <v>29</v>
      </c>
      <c r="N23" s="114" t="s">
        <v>53</v>
      </c>
      <c r="O23" s="129"/>
      <c r="P23" s="129"/>
      <c r="Q23" s="129"/>
    </row>
    <row r="24" spans="1:17" s="121" customFormat="1" ht="23.25" customHeight="1">
      <c r="A24" s="114" t="s">
        <v>54</v>
      </c>
      <c r="B24" s="117">
        <v>45642</v>
      </c>
      <c r="C24" s="117">
        <v>46052</v>
      </c>
      <c r="D24" s="114" t="s">
        <v>55</v>
      </c>
      <c r="E24" s="114" t="s">
        <v>26</v>
      </c>
      <c r="F24" s="114" t="s">
        <v>27</v>
      </c>
      <c r="G24" s="114" t="s">
        <v>33</v>
      </c>
      <c r="H24" s="117">
        <v>45793</v>
      </c>
      <c r="I24" s="122">
        <v>812369.21975499997</v>
      </c>
      <c r="J24" s="122">
        <v>935036.97193800495</v>
      </c>
      <c r="K24" s="122">
        <v>1151</v>
      </c>
      <c r="L24" s="118">
        <v>0.7055555555555556</v>
      </c>
      <c r="M24" s="114" t="s">
        <v>29</v>
      </c>
      <c r="N24" s="114" t="s">
        <v>56</v>
      </c>
      <c r="O24" s="129"/>
      <c r="P24" s="129"/>
      <c r="Q24" s="129"/>
    </row>
    <row r="25" spans="1:17" s="121" customFormat="1" ht="23.25" customHeight="1">
      <c r="A25" s="114" t="s">
        <v>47</v>
      </c>
      <c r="B25" s="117">
        <v>45596</v>
      </c>
      <c r="C25" s="117">
        <v>46325</v>
      </c>
      <c r="D25" s="114" t="s">
        <v>25</v>
      </c>
      <c r="E25" s="114" t="s">
        <v>26</v>
      </c>
      <c r="F25" s="114" t="s">
        <v>27</v>
      </c>
      <c r="G25" s="114" t="s">
        <v>28</v>
      </c>
      <c r="H25" s="117">
        <v>45793</v>
      </c>
      <c r="I25" s="122">
        <v>536317.82583600003</v>
      </c>
      <c r="J25" s="122">
        <v>559111.33343403006</v>
      </c>
      <c r="K25" s="122">
        <v>1042.5</v>
      </c>
      <c r="L25" s="118">
        <v>1.4555555555555555</v>
      </c>
      <c r="M25" s="114" t="s">
        <v>29</v>
      </c>
      <c r="N25" s="114" t="s">
        <v>48</v>
      </c>
      <c r="O25" s="129"/>
      <c r="P25" s="129"/>
      <c r="Q25" s="129"/>
    </row>
    <row r="26" spans="1:17" s="121" customFormat="1" ht="23.25" customHeight="1">
      <c r="A26" s="114" t="s">
        <v>54</v>
      </c>
      <c r="B26" s="117">
        <v>45642</v>
      </c>
      <c r="C26" s="117">
        <v>46052</v>
      </c>
      <c r="D26" s="114" t="s">
        <v>55</v>
      </c>
      <c r="E26" s="114" t="s">
        <v>26</v>
      </c>
      <c r="F26" s="114" t="s">
        <v>27</v>
      </c>
      <c r="G26" s="114" t="s">
        <v>33</v>
      </c>
      <c r="H26" s="117">
        <v>45807</v>
      </c>
      <c r="I26" s="122">
        <v>317381.03837299999</v>
      </c>
      <c r="J26" s="122">
        <v>372129.26749234245</v>
      </c>
      <c r="K26" s="122">
        <v>1172.5</v>
      </c>
      <c r="L26" s="118">
        <v>0.66666666666666652</v>
      </c>
      <c r="M26" s="114" t="s">
        <v>29</v>
      </c>
      <c r="N26" s="114" t="s">
        <v>57</v>
      </c>
      <c r="O26" s="129"/>
      <c r="P26" s="129"/>
      <c r="Q26" s="129"/>
    </row>
    <row r="27" spans="1:17" s="121" customFormat="1" ht="23.25" customHeight="1">
      <c r="A27" s="114" t="s">
        <v>47</v>
      </c>
      <c r="B27" s="117">
        <v>45596</v>
      </c>
      <c r="C27" s="117">
        <v>46325</v>
      </c>
      <c r="D27" s="114" t="s">
        <v>25</v>
      </c>
      <c r="E27" s="114" t="s">
        <v>26</v>
      </c>
      <c r="F27" s="114" t="s">
        <v>27</v>
      </c>
      <c r="G27" s="114" t="s">
        <v>28</v>
      </c>
      <c r="H27" s="117">
        <v>45807</v>
      </c>
      <c r="I27" s="122">
        <v>155235.645575</v>
      </c>
      <c r="J27" s="122">
        <v>164860.25560065001</v>
      </c>
      <c r="K27" s="122">
        <v>1062</v>
      </c>
      <c r="L27" s="118">
        <v>1.416666666666667</v>
      </c>
      <c r="M27" s="114" t="s">
        <v>29</v>
      </c>
      <c r="N27" s="114" t="s">
        <v>48</v>
      </c>
      <c r="O27" s="129"/>
      <c r="P27" s="129"/>
      <c r="Q27" s="129"/>
    </row>
    <row r="28" spans="1:17" s="121" customFormat="1" ht="23.25" customHeight="1">
      <c r="A28" s="114" t="s">
        <v>54</v>
      </c>
      <c r="B28" s="117">
        <v>45642</v>
      </c>
      <c r="C28" s="117">
        <v>46052</v>
      </c>
      <c r="D28" s="114" t="s">
        <v>55</v>
      </c>
      <c r="E28" s="114" t="s">
        <v>26</v>
      </c>
      <c r="F28" s="114" t="s">
        <v>27</v>
      </c>
      <c r="G28" s="114" t="s">
        <v>33</v>
      </c>
      <c r="H28" s="117">
        <v>45826</v>
      </c>
      <c r="I28" s="122">
        <v>241802.207433</v>
      </c>
      <c r="J28" s="122">
        <f>+(I28*K28)/1000</f>
        <v>289195.44008986803</v>
      </c>
      <c r="K28" s="122">
        <v>1196</v>
      </c>
      <c r="L28" s="118">
        <v>0.6166666666666667</v>
      </c>
      <c r="M28" s="114" t="s">
        <v>29</v>
      </c>
      <c r="N28" s="114" t="s">
        <v>57</v>
      </c>
      <c r="O28" s="129"/>
      <c r="P28" s="129"/>
      <c r="Q28" s="129"/>
    </row>
    <row r="29" spans="1:17" s="121" customFormat="1" ht="23.25" customHeight="1">
      <c r="A29" s="114" t="s">
        <v>31</v>
      </c>
      <c r="B29" s="117">
        <v>45674</v>
      </c>
      <c r="C29" s="117">
        <v>46203</v>
      </c>
      <c r="D29" s="114" t="s">
        <v>32</v>
      </c>
      <c r="E29" s="114" t="s">
        <v>26</v>
      </c>
      <c r="F29" s="114" t="s">
        <v>27</v>
      </c>
      <c r="G29" s="114" t="s">
        <v>33</v>
      </c>
      <c r="H29" s="117">
        <v>45826</v>
      </c>
      <c r="I29" s="122">
        <v>228197.29162999999</v>
      </c>
      <c r="J29" s="122">
        <f>+(I29*K29)/1000</f>
        <v>251226.96230129962</v>
      </c>
      <c r="K29" s="122">
        <v>1100.92</v>
      </c>
      <c r="L29" s="118">
        <v>1.0333333333333334</v>
      </c>
      <c r="M29" s="114" t="s">
        <v>29</v>
      </c>
      <c r="N29" s="114">
        <v>3</v>
      </c>
      <c r="O29" s="129"/>
      <c r="P29" s="129"/>
      <c r="Q29" s="129"/>
    </row>
    <row r="30" spans="1:17" s="121" customFormat="1" ht="23.25" customHeight="1">
      <c r="A30" s="114" t="s">
        <v>58</v>
      </c>
      <c r="B30" s="117">
        <v>45812</v>
      </c>
      <c r="C30" s="117">
        <v>47633</v>
      </c>
      <c r="D30" s="114" t="s">
        <v>59</v>
      </c>
      <c r="E30" s="114" t="s">
        <v>26</v>
      </c>
      <c r="F30" s="114" t="s">
        <v>27</v>
      </c>
      <c r="G30" s="114" t="s">
        <v>33</v>
      </c>
      <c r="H30" s="117">
        <v>45812</v>
      </c>
      <c r="I30" s="122">
        <v>1148000</v>
      </c>
      <c r="J30" s="122">
        <f>+(I30*K30)/1000</f>
        <v>1148000</v>
      </c>
      <c r="K30" s="122">
        <v>1000</v>
      </c>
      <c r="L30" s="118">
        <v>4.9888888888888889</v>
      </c>
      <c r="M30" s="114" t="s">
        <v>29</v>
      </c>
      <c r="N30" s="114">
        <v>24</v>
      </c>
      <c r="O30" s="129"/>
      <c r="P30" s="129"/>
      <c r="Q30" s="129"/>
    </row>
    <row r="31" spans="1:17" s="121" customFormat="1" ht="23.25" customHeight="1">
      <c r="A31" s="114" t="s">
        <v>58</v>
      </c>
      <c r="B31" s="117">
        <v>45812</v>
      </c>
      <c r="C31" s="117">
        <v>47633</v>
      </c>
      <c r="D31" s="114" t="s">
        <v>59</v>
      </c>
      <c r="E31" s="114" t="s">
        <v>26</v>
      </c>
      <c r="F31" s="114" t="s">
        <v>27</v>
      </c>
      <c r="G31" s="114" t="s">
        <v>33</v>
      </c>
      <c r="H31" s="117">
        <v>45831</v>
      </c>
      <c r="I31" s="122">
        <v>543807.33945099998</v>
      </c>
      <c r="J31" s="122">
        <f>+((I31*K31)/1000)</f>
        <v>592750.00000159</v>
      </c>
      <c r="K31" s="122">
        <v>1090</v>
      </c>
      <c r="L31" s="118">
        <v>4.95</v>
      </c>
      <c r="M31" s="114" t="s">
        <v>29</v>
      </c>
      <c r="N31" s="114" t="s">
        <v>60</v>
      </c>
      <c r="O31" s="129"/>
      <c r="P31" s="129"/>
      <c r="Q31" s="129"/>
    </row>
    <row r="32" spans="1:17" s="121" customFormat="1" ht="23.25" customHeight="1">
      <c r="A32" s="114" t="s">
        <v>54</v>
      </c>
      <c r="B32" s="117">
        <v>45642</v>
      </c>
      <c r="C32" s="117">
        <v>46052</v>
      </c>
      <c r="D32" s="114" t="s">
        <v>55</v>
      </c>
      <c r="E32" s="114" t="s">
        <v>26</v>
      </c>
      <c r="F32" s="114" t="s">
        <v>27</v>
      </c>
      <c r="G32" s="114" t="s">
        <v>33</v>
      </c>
      <c r="H32" s="117">
        <v>45838</v>
      </c>
      <c r="I32" s="122">
        <v>75733.275160999998</v>
      </c>
      <c r="J32" s="122">
        <f>+(I32*K32)/1000</f>
        <v>89895.397616107002</v>
      </c>
      <c r="K32" s="122">
        <v>1187</v>
      </c>
      <c r="L32" s="118">
        <v>0.58333333333333337</v>
      </c>
      <c r="M32" s="114" t="s">
        <v>29</v>
      </c>
      <c r="N32" s="114" t="s">
        <v>57</v>
      </c>
      <c r="O32" s="129"/>
      <c r="P32" s="129"/>
      <c r="Q32" s="129"/>
    </row>
    <row r="33" spans="1:17" s="121" customFormat="1" ht="23.25" customHeight="1">
      <c r="A33" s="114" t="s">
        <v>31</v>
      </c>
      <c r="B33" s="117">
        <v>45674</v>
      </c>
      <c r="C33" s="117">
        <v>46203</v>
      </c>
      <c r="D33" s="114" t="s">
        <v>32</v>
      </c>
      <c r="E33" s="114" t="s">
        <v>26</v>
      </c>
      <c r="F33" s="114" t="s">
        <v>27</v>
      </c>
      <c r="G33" s="114" t="s">
        <v>33</v>
      </c>
      <c r="H33" s="117">
        <v>45838</v>
      </c>
      <c r="I33" s="122">
        <v>85300.791243</v>
      </c>
      <c r="J33" s="122">
        <f>+(I33*K33)/1000</f>
        <v>91271.846630009997</v>
      </c>
      <c r="K33" s="122">
        <v>1070</v>
      </c>
      <c r="L33" s="118">
        <v>1</v>
      </c>
      <c r="M33" s="114" t="s">
        <v>29</v>
      </c>
      <c r="N33" s="114">
        <v>3</v>
      </c>
      <c r="O33" s="129"/>
      <c r="P33" s="129"/>
      <c r="Q33" s="129"/>
    </row>
    <row r="34" spans="1:17" s="121" customFormat="1" ht="23.25" customHeight="1">
      <c r="A34" s="114" t="s">
        <v>34</v>
      </c>
      <c r="B34" s="117">
        <v>45688</v>
      </c>
      <c r="C34" s="117">
        <v>46402</v>
      </c>
      <c r="D34" s="114" t="s">
        <v>35</v>
      </c>
      <c r="E34" s="114" t="s">
        <v>26</v>
      </c>
      <c r="F34" s="114" t="s">
        <v>27</v>
      </c>
      <c r="G34" s="114" t="s">
        <v>33</v>
      </c>
      <c r="H34" s="117">
        <v>45838</v>
      </c>
      <c r="I34" s="122">
        <v>17578.070153000001</v>
      </c>
      <c r="J34" s="122">
        <f>+(I34*K34)/1000</f>
        <v>18471.036116772397</v>
      </c>
      <c r="K34" s="122">
        <v>1050.8</v>
      </c>
      <c r="L34" s="118">
        <v>1.541666666666667</v>
      </c>
      <c r="M34" s="114" t="s">
        <v>29</v>
      </c>
      <c r="N34" s="114" t="s">
        <v>61</v>
      </c>
      <c r="O34" s="129"/>
      <c r="P34" s="129"/>
      <c r="Q34" s="129"/>
    </row>
    <row r="35" spans="1:17" s="121" customFormat="1" ht="23.25" customHeight="1">
      <c r="A35" s="114" t="s">
        <v>49</v>
      </c>
      <c r="B35" s="117">
        <v>45579</v>
      </c>
      <c r="C35" s="117">
        <v>45947</v>
      </c>
      <c r="D35" s="114" t="s">
        <v>50</v>
      </c>
      <c r="E35" s="114" t="s">
        <v>26</v>
      </c>
      <c r="F35" s="114" t="s">
        <v>27</v>
      </c>
      <c r="G35" s="114" t="s">
        <v>33</v>
      </c>
      <c r="H35" s="117">
        <v>45848</v>
      </c>
      <c r="I35" s="122">
        <v>806966.17965099995</v>
      </c>
      <c r="J35" s="122">
        <v>1180188.0377395875</v>
      </c>
      <c r="K35" s="122">
        <v>1462.5</v>
      </c>
      <c r="L35" s="118">
        <v>0.26944444444444443</v>
      </c>
      <c r="M35" s="114" t="s">
        <v>29</v>
      </c>
      <c r="N35" s="114" t="s">
        <v>51</v>
      </c>
      <c r="O35" s="129"/>
      <c r="P35" s="129"/>
      <c r="Q35" s="129"/>
    </row>
    <row r="36" spans="1:17" s="121" customFormat="1" ht="23.25" customHeight="1">
      <c r="A36" s="114" t="s">
        <v>54</v>
      </c>
      <c r="B36" s="117">
        <v>45642</v>
      </c>
      <c r="C36" s="117">
        <v>46052</v>
      </c>
      <c r="D36" s="114" t="s">
        <v>55</v>
      </c>
      <c r="E36" s="114" t="s">
        <v>26</v>
      </c>
      <c r="F36" s="114" t="s">
        <v>27</v>
      </c>
      <c r="G36" s="114" t="s">
        <v>33</v>
      </c>
      <c r="H36" s="117">
        <v>45848</v>
      </c>
      <c r="I36" s="122">
        <v>335515.86451699998</v>
      </c>
      <c r="J36" s="122">
        <v>400102.66843652248</v>
      </c>
      <c r="K36" s="122">
        <v>1192.5</v>
      </c>
      <c r="L36" s="118">
        <v>0.55555555555555558</v>
      </c>
      <c r="M36" s="114" t="s">
        <v>29</v>
      </c>
      <c r="N36" s="114" t="s">
        <v>57</v>
      </c>
      <c r="O36" s="129"/>
      <c r="P36" s="129"/>
      <c r="Q36" s="129"/>
    </row>
    <row r="37" spans="1:17" s="121" customFormat="1" ht="23.25" customHeight="1">
      <c r="A37" s="114" t="s">
        <v>31</v>
      </c>
      <c r="B37" s="117">
        <v>45674</v>
      </c>
      <c r="C37" s="117">
        <v>46203</v>
      </c>
      <c r="D37" s="114" t="s">
        <v>32</v>
      </c>
      <c r="E37" s="114" t="s">
        <v>26</v>
      </c>
      <c r="F37" s="114" t="s">
        <v>27</v>
      </c>
      <c r="G37" s="114" t="s">
        <v>33</v>
      </c>
      <c r="H37" s="117">
        <v>45848</v>
      </c>
      <c r="I37" s="122">
        <v>21110.102460999999</v>
      </c>
      <c r="J37" s="122">
        <v>22418.928813581999</v>
      </c>
      <c r="K37" s="122">
        <v>1062</v>
      </c>
      <c r="L37" s="118">
        <v>0.9722222222222221</v>
      </c>
      <c r="M37" s="114" t="s">
        <v>29</v>
      </c>
      <c r="N37" s="114">
        <v>3</v>
      </c>
      <c r="O37" s="129"/>
      <c r="P37" s="129"/>
      <c r="Q37" s="129"/>
    </row>
    <row r="38" spans="1:17" s="121" customFormat="1" ht="23.25" customHeight="1">
      <c r="A38" s="114" t="s">
        <v>34</v>
      </c>
      <c r="B38" s="117">
        <v>45688</v>
      </c>
      <c r="C38" s="117">
        <v>46402</v>
      </c>
      <c r="D38" s="114" t="s">
        <v>35</v>
      </c>
      <c r="E38" s="114" t="s">
        <v>26</v>
      </c>
      <c r="F38" s="114" t="s">
        <v>27</v>
      </c>
      <c r="G38" s="114" t="s">
        <v>33</v>
      </c>
      <c r="H38" s="117">
        <v>45848</v>
      </c>
      <c r="I38" s="122">
        <v>1301.2866529999999</v>
      </c>
      <c r="J38" s="122">
        <v>1357.241979079</v>
      </c>
      <c r="K38" s="122">
        <v>1043</v>
      </c>
      <c r="L38" s="118">
        <v>1.5138888888888888</v>
      </c>
      <c r="M38" s="114" t="s">
        <v>29</v>
      </c>
      <c r="N38" s="114" t="s">
        <v>61</v>
      </c>
      <c r="O38" s="129"/>
      <c r="P38" s="129"/>
      <c r="Q38" s="129"/>
    </row>
    <row r="39" spans="1:17" s="121" customFormat="1" ht="23.25" customHeight="1">
      <c r="A39" s="114" t="s">
        <v>62</v>
      </c>
      <c r="B39" s="117">
        <v>45412</v>
      </c>
      <c r="C39" s="117">
        <v>46112</v>
      </c>
      <c r="D39" s="114" t="s">
        <v>25</v>
      </c>
      <c r="E39" s="114" t="s">
        <v>26</v>
      </c>
      <c r="F39" s="114" t="s">
        <v>27</v>
      </c>
      <c r="G39" s="114" t="s">
        <v>28</v>
      </c>
      <c r="H39" s="117">
        <v>45848</v>
      </c>
      <c r="I39" s="122">
        <v>110906.84591</v>
      </c>
      <c r="J39" s="122">
        <v>181443.59990876002</v>
      </c>
      <c r="K39" s="122">
        <v>1636</v>
      </c>
      <c r="L39" s="118">
        <v>0.72499999999999998</v>
      </c>
      <c r="M39" s="114" t="s">
        <v>29</v>
      </c>
      <c r="N39" s="114" t="s">
        <v>63</v>
      </c>
      <c r="O39" s="129"/>
      <c r="P39" s="129"/>
      <c r="Q39" s="129"/>
    </row>
    <row r="40" spans="1:17" s="121" customFormat="1" ht="23.25" customHeight="1">
      <c r="A40" s="114" t="s">
        <v>49</v>
      </c>
      <c r="B40" s="117">
        <v>45579</v>
      </c>
      <c r="C40" s="117">
        <v>45947</v>
      </c>
      <c r="D40" s="114" t="s">
        <v>50</v>
      </c>
      <c r="E40" s="114" t="s">
        <v>26</v>
      </c>
      <c r="F40" s="114" t="s">
        <v>27</v>
      </c>
      <c r="G40" s="114" t="s">
        <v>33</v>
      </c>
      <c r="H40" s="117">
        <v>45856</v>
      </c>
      <c r="I40" s="122">
        <v>285107.84429799998</v>
      </c>
      <c r="J40" s="122">
        <v>415345.10757332633</v>
      </c>
      <c r="K40" s="122">
        <v>1456.8</v>
      </c>
      <c r="L40" s="118">
        <v>0.25</v>
      </c>
      <c r="M40" s="114" t="s">
        <v>29</v>
      </c>
      <c r="N40" s="114" t="s">
        <v>51</v>
      </c>
      <c r="O40" s="129"/>
      <c r="P40" s="129"/>
      <c r="Q40" s="129"/>
    </row>
    <row r="41" spans="1:17" s="121" customFormat="1" ht="23.25" customHeight="1">
      <c r="A41" s="114" t="s">
        <v>49</v>
      </c>
      <c r="B41" s="117">
        <v>45579</v>
      </c>
      <c r="C41" s="117">
        <v>45947</v>
      </c>
      <c r="D41" s="114" t="s">
        <v>50</v>
      </c>
      <c r="E41" s="114" t="s">
        <v>26</v>
      </c>
      <c r="F41" s="114" t="s">
        <v>27</v>
      </c>
      <c r="G41" s="114" t="s">
        <v>33</v>
      </c>
      <c r="H41" s="117">
        <v>45869</v>
      </c>
      <c r="I41" s="122">
        <v>188717.32785900001</v>
      </c>
      <c r="J41" s="122">
        <v>274442.17403895076</v>
      </c>
      <c r="K41" s="122">
        <v>1454.25</v>
      </c>
      <c r="L41" s="118">
        <v>0.21</v>
      </c>
      <c r="M41" s="114" t="s">
        <v>29</v>
      </c>
      <c r="N41" s="114" t="s">
        <v>51</v>
      </c>
      <c r="O41" s="129"/>
      <c r="P41" s="129"/>
      <c r="Q41" s="129"/>
    </row>
    <row r="42" spans="1:17" s="121" customFormat="1" ht="23.25" customHeight="1">
      <c r="A42" s="114" t="s">
        <v>47</v>
      </c>
      <c r="B42" s="117">
        <v>45596</v>
      </c>
      <c r="C42" s="117">
        <v>46325</v>
      </c>
      <c r="D42" s="114" t="s">
        <v>25</v>
      </c>
      <c r="E42" s="114" t="s">
        <v>26</v>
      </c>
      <c r="F42" s="114" t="s">
        <v>27</v>
      </c>
      <c r="G42" s="114" t="s">
        <v>28</v>
      </c>
      <c r="H42" s="117">
        <v>45869</v>
      </c>
      <c r="I42" s="122">
        <v>111409.674436</v>
      </c>
      <c r="J42" s="122">
        <v>116701.63397170999</v>
      </c>
      <c r="K42" s="122">
        <v>1047.5</v>
      </c>
      <c r="L42" s="118">
        <v>1.25</v>
      </c>
      <c r="M42" s="114" t="s">
        <v>29</v>
      </c>
      <c r="N42" s="114" t="s">
        <v>48</v>
      </c>
      <c r="O42" s="129"/>
      <c r="P42" s="129"/>
      <c r="Q42" s="129"/>
    </row>
    <row r="43" spans="1:17" s="121" customFormat="1" ht="23.25" customHeight="1">
      <c r="A43" s="114" t="s">
        <v>64</v>
      </c>
      <c r="B43" s="117">
        <v>45474</v>
      </c>
      <c r="C43" s="117">
        <v>46006</v>
      </c>
      <c r="D43" s="114" t="s">
        <v>25</v>
      </c>
      <c r="E43" s="114" t="s">
        <v>26</v>
      </c>
      <c r="F43" s="114" t="s">
        <v>45</v>
      </c>
      <c r="G43" s="114" t="s">
        <v>46</v>
      </c>
      <c r="H43" s="117">
        <v>45869</v>
      </c>
      <c r="I43" s="122">
        <v>42.083781000000002</v>
      </c>
      <c r="J43" s="122">
        <v>41.242105379999998</v>
      </c>
      <c r="K43" s="122">
        <v>980</v>
      </c>
      <c r="L43" s="118">
        <v>0.38</v>
      </c>
      <c r="M43" s="114" t="s">
        <v>29</v>
      </c>
      <c r="N43" s="114" t="s">
        <v>65</v>
      </c>
      <c r="O43" s="129"/>
      <c r="P43" s="129"/>
      <c r="Q43" s="129"/>
    </row>
    <row r="44" spans="1:17" s="121" customFormat="1" ht="23.25" customHeight="1">
      <c r="A44" s="114" t="s">
        <v>36</v>
      </c>
      <c r="B44" s="117">
        <v>45625</v>
      </c>
      <c r="C44" s="117">
        <v>46066</v>
      </c>
      <c r="D44" s="114" t="s">
        <v>37</v>
      </c>
      <c r="E44" s="114" t="s">
        <v>26</v>
      </c>
      <c r="F44" s="114" t="s">
        <v>27</v>
      </c>
      <c r="G44" s="114" t="s">
        <v>33</v>
      </c>
      <c r="H44" s="117">
        <v>45887</v>
      </c>
      <c r="I44" s="122">
        <v>442256.90082400001</v>
      </c>
      <c r="J44" s="122">
        <v>519209.601567376</v>
      </c>
      <c r="K44" s="122">
        <v>1174</v>
      </c>
      <c r="L44" s="118">
        <v>0.49</v>
      </c>
      <c r="M44" s="114" t="s">
        <v>29</v>
      </c>
      <c r="N44" s="114" t="s">
        <v>38</v>
      </c>
      <c r="O44" s="129"/>
      <c r="P44" s="129"/>
      <c r="Q44" s="129"/>
    </row>
    <row r="45" spans="1:17" s="121" customFormat="1" ht="15.75" customHeight="1">
      <c r="A45" s="114" t="s">
        <v>62</v>
      </c>
      <c r="B45" s="117">
        <v>45412</v>
      </c>
      <c r="C45" s="117">
        <v>46112</v>
      </c>
      <c r="D45" s="114" t="s">
        <v>25</v>
      </c>
      <c r="E45" s="114" t="s">
        <v>26</v>
      </c>
      <c r="F45" s="114" t="s">
        <v>27</v>
      </c>
      <c r="G45" s="114" t="s">
        <v>28</v>
      </c>
      <c r="H45" s="117">
        <v>45912</v>
      </c>
      <c r="I45" s="122">
        <v>83924.142000000007</v>
      </c>
      <c r="J45" s="122">
        <v>138055.21359</v>
      </c>
      <c r="K45" s="122">
        <v>1645</v>
      </c>
      <c r="L45" s="118">
        <v>0.55277777777777781</v>
      </c>
      <c r="M45" s="114" t="s">
        <v>29</v>
      </c>
      <c r="N45" s="114" t="s">
        <v>63</v>
      </c>
      <c r="O45" s="128"/>
      <c r="P45" s="128"/>
      <c r="Q45" s="128"/>
    </row>
    <row r="46" spans="1:17" s="121" customFormat="1" ht="26.25" customHeight="1">
      <c r="A46" s="114" t="s">
        <v>64</v>
      </c>
      <c r="B46" s="117">
        <v>45474</v>
      </c>
      <c r="C46" s="117">
        <v>46006</v>
      </c>
      <c r="D46" s="114" t="s">
        <v>25</v>
      </c>
      <c r="E46" s="114" t="s">
        <v>26</v>
      </c>
      <c r="F46" s="114" t="s">
        <v>45</v>
      </c>
      <c r="G46" s="114" t="s">
        <v>46</v>
      </c>
      <c r="H46" s="117">
        <v>45930</v>
      </c>
      <c r="I46" s="122">
        <v>485.08984400000003</v>
      </c>
      <c r="J46" s="122">
        <v>483.74869999999993</v>
      </c>
      <c r="K46" s="122">
        <v>997.42</v>
      </c>
      <c r="L46" s="118">
        <v>0.20833333333333334</v>
      </c>
      <c r="M46" s="114" t="s">
        <v>29</v>
      </c>
      <c r="N46" s="114" t="s">
        <v>65</v>
      </c>
      <c r="O46" s="128"/>
      <c r="P46" s="128"/>
      <c r="Q46" s="128"/>
    </row>
    <row r="47" spans="1:17" s="121" customFormat="1" ht="27" customHeight="1">
      <c r="A47" s="114" t="s">
        <v>54</v>
      </c>
      <c r="B47" s="117">
        <v>45642</v>
      </c>
      <c r="C47" s="117">
        <v>46052</v>
      </c>
      <c r="D47" s="114" t="s">
        <v>55</v>
      </c>
      <c r="E47" s="114" t="s">
        <v>26</v>
      </c>
      <c r="F47" s="114" t="s">
        <v>27</v>
      </c>
      <c r="G47" s="114" t="s">
        <v>33</v>
      </c>
      <c r="H47" s="117">
        <v>45930</v>
      </c>
      <c r="I47" s="122">
        <v>1232077.2098660001</v>
      </c>
      <c r="J47" s="122">
        <v>1488595.4314000001</v>
      </c>
      <c r="K47" s="122">
        <v>1208.2</v>
      </c>
      <c r="L47" s="118">
        <v>0.33333333333333331</v>
      </c>
      <c r="M47" s="114" t="s">
        <v>29</v>
      </c>
      <c r="N47" s="114" t="s">
        <v>57</v>
      </c>
      <c r="O47" s="128"/>
      <c r="P47" s="128"/>
      <c r="Q47" s="128"/>
    </row>
    <row r="48" spans="1:17" s="121" customFormat="1" ht="27" customHeight="1">
      <c r="A48" s="114" t="s">
        <v>54</v>
      </c>
      <c r="B48" s="117">
        <v>45642</v>
      </c>
      <c r="C48" s="117">
        <v>46052</v>
      </c>
      <c r="D48" s="114" t="s">
        <v>55</v>
      </c>
      <c r="E48" s="114" t="s">
        <v>26</v>
      </c>
      <c r="F48" s="114" t="s">
        <v>27</v>
      </c>
      <c r="G48" s="114" t="s">
        <v>33</v>
      </c>
      <c r="H48" s="117">
        <v>45961</v>
      </c>
      <c r="I48" s="122">
        <v>1546876.6403260001</v>
      </c>
      <c r="J48" s="122">
        <f t="shared" ref="J48:J60" si="0">+(I48*K48)/1000</f>
        <v>2018674.01562543</v>
      </c>
      <c r="K48" s="122">
        <v>1305</v>
      </c>
      <c r="L48" s="118">
        <v>0.25</v>
      </c>
      <c r="M48" s="114" t="s">
        <v>29</v>
      </c>
      <c r="N48" s="114" t="s">
        <v>57</v>
      </c>
      <c r="O48" s="128"/>
      <c r="P48" s="128"/>
      <c r="Q48" s="128"/>
    </row>
    <row r="49" spans="1:17" s="121" customFormat="1" ht="27" customHeight="1">
      <c r="A49" s="114" t="s">
        <v>66</v>
      </c>
      <c r="B49" s="117">
        <v>45961</v>
      </c>
      <c r="C49" s="117">
        <v>46507</v>
      </c>
      <c r="D49" s="114" t="s">
        <v>67</v>
      </c>
      <c r="E49" s="114" t="s">
        <v>26</v>
      </c>
      <c r="F49" s="114" t="s">
        <v>27</v>
      </c>
      <c r="G49" s="114" t="s">
        <v>33</v>
      </c>
      <c r="H49" s="117">
        <v>45961</v>
      </c>
      <c r="I49" s="122">
        <v>346145.42484400002</v>
      </c>
      <c r="J49" s="122">
        <f t="shared" si="0"/>
        <v>346145.42484400002</v>
      </c>
      <c r="K49" s="122">
        <v>1000</v>
      </c>
      <c r="L49" s="118">
        <v>1.5</v>
      </c>
      <c r="M49" s="114" t="s">
        <v>29</v>
      </c>
      <c r="N49" s="114">
        <v>54</v>
      </c>
      <c r="O49" s="130"/>
      <c r="P49" s="128"/>
      <c r="Q49" s="128"/>
    </row>
    <row r="50" spans="1:17" s="121" customFormat="1" ht="15.75" customHeight="1">
      <c r="A50" s="114" t="s">
        <v>66</v>
      </c>
      <c r="B50" s="117">
        <v>45961</v>
      </c>
      <c r="C50" s="117">
        <v>46507</v>
      </c>
      <c r="D50" s="114" t="s">
        <v>67</v>
      </c>
      <c r="E50" s="114" t="s">
        <v>26</v>
      </c>
      <c r="F50" s="114" t="s">
        <v>27</v>
      </c>
      <c r="G50" s="114" t="s">
        <v>33</v>
      </c>
      <c r="H50" s="117">
        <v>45971</v>
      </c>
      <c r="I50" s="122">
        <v>1288913.0218430001</v>
      </c>
      <c r="J50" s="122">
        <f t="shared" si="0"/>
        <v>1314691.28227986</v>
      </c>
      <c r="K50" s="122">
        <v>1020</v>
      </c>
      <c r="L50" s="118">
        <v>1.4722222222222223</v>
      </c>
      <c r="M50" s="114" t="s">
        <v>29</v>
      </c>
      <c r="N50" s="114">
        <v>54</v>
      </c>
      <c r="O50" s="128"/>
      <c r="P50" s="128"/>
      <c r="Q50" s="128"/>
    </row>
    <row r="51" spans="1:17" s="121" customFormat="1" ht="15.75" customHeight="1">
      <c r="A51" s="114" t="s">
        <v>62</v>
      </c>
      <c r="B51" s="117">
        <v>45412</v>
      </c>
      <c r="C51" s="117">
        <v>46112</v>
      </c>
      <c r="D51" s="114" t="s">
        <v>25</v>
      </c>
      <c r="E51" s="114" t="s">
        <v>26</v>
      </c>
      <c r="F51" s="114" t="s">
        <v>27</v>
      </c>
      <c r="G51" s="114" t="s">
        <v>28</v>
      </c>
      <c r="H51" s="117">
        <v>45971</v>
      </c>
      <c r="I51" s="122">
        <v>571561.51085299999</v>
      </c>
      <c r="J51" s="122">
        <f t="shared" si="0"/>
        <v>1053387.8645020791</v>
      </c>
      <c r="K51" s="122">
        <v>1843</v>
      </c>
      <c r="L51" s="118">
        <v>0.39166666666666666</v>
      </c>
      <c r="M51" s="114" t="s">
        <v>29</v>
      </c>
      <c r="N51" s="114" t="s">
        <v>63</v>
      </c>
      <c r="O51" s="128"/>
      <c r="P51" s="128"/>
      <c r="Q51" s="128"/>
    </row>
    <row r="52" spans="1:17" s="121" customFormat="1" ht="15.75" customHeight="1">
      <c r="A52" s="114" t="s">
        <v>47</v>
      </c>
      <c r="B52" s="117">
        <v>45596</v>
      </c>
      <c r="C52" s="117">
        <v>46325</v>
      </c>
      <c r="D52" s="114" t="s">
        <v>25</v>
      </c>
      <c r="E52" s="114" t="s">
        <v>26</v>
      </c>
      <c r="F52" s="114" t="s">
        <v>27</v>
      </c>
      <c r="G52" s="114" t="s">
        <v>28</v>
      </c>
      <c r="H52" s="117">
        <v>45971</v>
      </c>
      <c r="I52" s="122">
        <v>536705.65342800005</v>
      </c>
      <c r="J52" s="122">
        <f t="shared" si="0"/>
        <v>658806.18958286999</v>
      </c>
      <c r="K52" s="122">
        <v>1227.5</v>
      </c>
      <c r="L52" s="118">
        <v>1.0555555555555556</v>
      </c>
      <c r="M52" s="114" t="s">
        <v>29</v>
      </c>
      <c r="N52" s="114" t="s">
        <v>48</v>
      </c>
      <c r="O52" s="128"/>
      <c r="P52" s="128"/>
      <c r="Q52" s="128"/>
    </row>
    <row r="53" spans="1:17" s="121" customFormat="1" ht="15.75" customHeight="1">
      <c r="A53" s="114" t="s">
        <v>36</v>
      </c>
      <c r="B53" s="117">
        <v>45625</v>
      </c>
      <c r="C53" s="117">
        <v>46066</v>
      </c>
      <c r="D53" s="114" t="s">
        <v>37</v>
      </c>
      <c r="E53" s="114" t="s">
        <v>26</v>
      </c>
      <c r="F53" s="114" t="s">
        <v>27</v>
      </c>
      <c r="G53" s="114" t="s">
        <v>33</v>
      </c>
      <c r="H53" s="117">
        <v>45989</v>
      </c>
      <c r="I53" s="122">
        <v>3715465.2642180002</v>
      </c>
      <c r="J53" s="122">
        <f t="shared" si="0"/>
        <v>5040028.6309117172</v>
      </c>
      <c r="K53" s="122">
        <v>1356.5</v>
      </c>
      <c r="L53" s="118">
        <f t="shared" ref="L53:L60" si="1">YEARFRAC($H53,$C53)</f>
        <v>0.20833333333333334</v>
      </c>
      <c r="M53" s="114" t="s">
        <v>29</v>
      </c>
      <c r="N53" s="114" t="s">
        <v>38</v>
      </c>
      <c r="P53" s="128"/>
      <c r="Q53" s="128"/>
    </row>
    <row r="54" spans="1:17" s="121" customFormat="1" ht="15.75" customHeight="1">
      <c r="A54" s="114" t="s">
        <v>66</v>
      </c>
      <c r="B54" s="117">
        <v>45961</v>
      </c>
      <c r="C54" s="117">
        <v>46507</v>
      </c>
      <c r="D54" s="114" t="s">
        <v>67</v>
      </c>
      <c r="E54" s="114" t="s">
        <v>26</v>
      </c>
      <c r="F54" s="114" t="s">
        <v>27</v>
      </c>
      <c r="G54" s="114" t="s">
        <v>33</v>
      </c>
      <c r="H54" s="117">
        <v>45989</v>
      </c>
      <c r="I54" s="122">
        <v>1030964.0909599999</v>
      </c>
      <c r="J54" s="122">
        <f t="shared" si="0"/>
        <v>1061893.0136887999</v>
      </c>
      <c r="K54" s="122">
        <v>1030</v>
      </c>
      <c r="L54" s="118">
        <f t="shared" si="1"/>
        <v>1.4222222222222223</v>
      </c>
      <c r="M54" s="114" t="s">
        <v>29</v>
      </c>
      <c r="N54" s="114">
        <v>54</v>
      </c>
      <c r="O54" s="128"/>
      <c r="P54" s="128"/>
      <c r="Q54" s="128"/>
    </row>
    <row r="55" spans="1:17" s="121" customFormat="1" ht="15.75" customHeight="1">
      <c r="A55" s="114" t="s">
        <v>47</v>
      </c>
      <c r="B55" s="117">
        <v>45596</v>
      </c>
      <c r="C55" s="117">
        <v>46325</v>
      </c>
      <c r="D55" s="114" t="s">
        <v>25</v>
      </c>
      <c r="E55" s="114" t="s">
        <v>26</v>
      </c>
      <c r="F55" s="114" t="s">
        <v>27</v>
      </c>
      <c r="G55" s="114" t="s">
        <v>28</v>
      </c>
      <c r="H55" s="117">
        <v>45989</v>
      </c>
      <c r="I55" s="122">
        <v>446823.77695899998</v>
      </c>
      <c r="J55" s="122">
        <f t="shared" si="0"/>
        <v>566125.72540705302</v>
      </c>
      <c r="K55" s="122">
        <v>1267</v>
      </c>
      <c r="L55" s="118">
        <f t="shared" si="1"/>
        <v>0.92222222222222228</v>
      </c>
      <c r="M55" s="114" t="s">
        <v>29</v>
      </c>
      <c r="N55" s="114" t="s">
        <v>68</v>
      </c>
      <c r="O55" s="128"/>
      <c r="P55" s="128"/>
      <c r="Q55" s="128"/>
    </row>
    <row r="56" spans="1:17" s="121" customFormat="1" ht="15.75" customHeight="1">
      <c r="A56" s="114" t="s">
        <v>69</v>
      </c>
      <c r="B56" s="117">
        <v>45989</v>
      </c>
      <c r="C56" s="117">
        <v>46507</v>
      </c>
      <c r="D56" s="114" t="s">
        <v>25</v>
      </c>
      <c r="E56" s="114" t="s">
        <v>26</v>
      </c>
      <c r="F56" s="114" t="s">
        <v>27</v>
      </c>
      <c r="G56" s="114" t="s">
        <v>28</v>
      </c>
      <c r="H56" s="117">
        <v>45989</v>
      </c>
      <c r="I56" s="122">
        <v>370752.34247600002</v>
      </c>
      <c r="J56" s="122">
        <f t="shared" si="0"/>
        <v>333306.35588592401</v>
      </c>
      <c r="K56" s="122">
        <v>899</v>
      </c>
      <c r="L56" s="118">
        <f t="shared" si="1"/>
        <v>1.4222222222222223</v>
      </c>
      <c r="M56" s="114" t="s">
        <v>29</v>
      </c>
      <c r="N56" s="114">
        <v>60</v>
      </c>
      <c r="O56" s="128"/>
      <c r="P56" s="128"/>
      <c r="Q56" s="128"/>
    </row>
    <row r="57" spans="1:17" ht="20">
      <c r="A57" s="114" t="s">
        <v>70</v>
      </c>
      <c r="B57" s="34">
        <v>46003</v>
      </c>
      <c r="C57" s="34">
        <v>47452</v>
      </c>
      <c r="D57" s="35" t="s">
        <v>71</v>
      </c>
      <c r="E57" s="26" t="s">
        <v>26</v>
      </c>
      <c r="F57" s="114" t="s">
        <v>45</v>
      </c>
      <c r="G57" s="114" t="s">
        <v>99</v>
      </c>
      <c r="H57" s="117">
        <v>46003</v>
      </c>
      <c r="I57" s="122">
        <v>1000</v>
      </c>
      <c r="J57" s="28">
        <f t="shared" si="0"/>
        <v>910</v>
      </c>
      <c r="K57" s="33">
        <v>910</v>
      </c>
      <c r="L57" s="29">
        <f t="shared" si="1"/>
        <v>3.9666666666666668</v>
      </c>
      <c r="M57" s="26" t="s">
        <v>29</v>
      </c>
      <c r="N57" s="35">
        <v>62</v>
      </c>
      <c r="O57" s="19"/>
      <c r="P57" s="19"/>
      <c r="Q57" s="19"/>
    </row>
    <row r="58" spans="1:17" s="121" customFormat="1" ht="14.5">
      <c r="A58" s="114" t="s">
        <v>72</v>
      </c>
      <c r="B58" s="117">
        <v>46006</v>
      </c>
      <c r="C58" s="117">
        <v>46538</v>
      </c>
      <c r="D58" s="114" t="s">
        <v>73</v>
      </c>
      <c r="E58" s="114" t="s">
        <v>26</v>
      </c>
      <c r="F58" s="114" t="s">
        <v>27</v>
      </c>
      <c r="G58" s="114" t="s">
        <v>33</v>
      </c>
      <c r="H58" s="117">
        <v>46006</v>
      </c>
      <c r="I58" s="122">
        <v>1352881.4673200001</v>
      </c>
      <c r="J58" s="122">
        <f t="shared" si="0"/>
        <v>1352881.4673200003</v>
      </c>
      <c r="K58" s="122">
        <v>1000</v>
      </c>
      <c r="L58" s="118">
        <f t="shared" si="1"/>
        <v>1.461111111111111</v>
      </c>
      <c r="M58" s="114" t="s">
        <v>29</v>
      </c>
      <c r="N58" s="114">
        <v>63</v>
      </c>
      <c r="O58" s="128"/>
      <c r="P58" s="128"/>
      <c r="Q58" s="128"/>
    </row>
    <row r="59" spans="1:17" s="121" customFormat="1" ht="15.75" customHeight="1">
      <c r="A59" s="114" t="s">
        <v>74</v>
      </c>
      <c r="B59" s="117">
        <v>46006</v>
      </c>
      <c r="C59" s="117">
        <v>46538</v>
      </c>
      <c r="D59" s="114" t="s">
        <v>25</v>
      </c>
      <c r="E59" s="114" t="s">
        <v>26</v>
      </c>
      <c r="F59" s="114" t="s">
        <v>27</v>
      </c>
      <c r="G59" s="114" t="s">
        <v>28</v>
      </c>
      <c r="H59" s="117">
        <v>46006</v>
      </c>
      <c r="I59" s="122">
        <v>3154722.064942</v>
      </c>
      <c r="J59" s="122">
        <f t="shared" si="0"/>
        <v>2813885.8930456662</v>
      </c>
      <c r="K59" s="122">
        <v>891.96</v>
      </c>
      <c r="L59" s="118">
        <f t="shared" si="1"/>
        <v>1.461111111111111</v>
      </c>
      <c r="M59" s="114" t="s">
        <v>29</v>
      </c>
      <c r="N59" s="114">
        <v>63</v>
      </c>
      <c r="O59" s="128"/>
      <c r="P59" s="128"/>
      <c r="Q59" s="128"/>
    </row>
    <row r="60" spans="1:17" s="121" customFormat="1" ht="15.75" customHeight="1">
      <c r="A60" s="114" t="s">
        <v>75</v>
      </c>
      <c r="B60" s="117">
        <v>45323</v>
      </c>
      <c r="C60" s="117">
        <v>46934</v>
      </c>
      <c r="D60" s="114" t="s">
        <v>25</v>
      </c>
      <c r="E60" s="114" t="s">
        <v>26</v>
      </c>
      <c r="F60" s="114" t="s">
        <v>27</v>
      </c>
      <c r="G60" s="114" t="s">
        <v>28</v>
      </c>
      <c r="H60" s="117">
        <v>46006</v>
      </c>
      <c r="I60" s="122">
        <v>1359603.382892</v>
      </c>
      <c r="J60" s="122">
        <f t="shared" si="0"/>
        <v>3605668.1714295838</v>
      </c>
      <c r="K60" s="122">
        <v>2652</v>
      </c>
      <c r="L60" s="118">
        <f t="shared" si="1"/>
        <v>2.5416666666666665</v>
      </c>
      <c r="M60" s="114" t="s">
        <v>29</v>
      </c>
      <c r="N60" s="114" t="s">
        <v>76</v>
      </c>
      <c r="O60" s="128"/>
      <c r="P60" s="128"/>
      <c r="Q60" s="128"/>
    </row>
    <row r="61" spans="1:17" ht="15.75" customHeight="1">
      <c r="A61" s="36"/>
      <c r="B61" s="37"/>
      <c r="C61" s="37"/>
      <c r="D61" s="36"/>
      <c r="E61" s="36"/>
      <c r="F61" s="36"/>
      <c r="G61" s="36"/>
      <c r="H61" s="37"/>
      <c r="I61" s="36"/>
      <c r="J61" s="36"/>
      <c r="K61" s="36"/>
      <c r="L61" s="19"/>
      <c r="M61" s="36"/>
      <c r="N61" s="36"/>
      <c r="O61" s="19"/>
      <c r="P61" s="19"/>
      <c r="Q61" s="19"/>
    </row>
    <row r="62" spans="1:17" ht="15.75" customHeight="1">
      <c r="A62" s="38" t="s">
        <v>77</v>
      </c>
      <c r="B62" s="39"/>
      <c r="C62" s="39"/>
      <c r="D62" s="38"/>
      <c r="E62" s="38"/>
      <c r="F62" s="38"/>
      <c r="G62" s="38"/>
      <c r="H62" s="39"/>
      <c r="I62" s="38"/>
      <c r="J62" s="38"/>
      <c r="K62" s="38"/>
      <c r="L62" s="19"/>
      <c r="M62" s="38"/>
      <c r="N62" s="38"/>
      <c r="O62" s="19"/>
      <c r="P62" s="19"/>
      <c r="Q62" s="19"/>
    </row>
    <row r="63" spans="1:17" ht="15.75" customHeight="1">
      <c r="A63" s="38"/>
      <c r="B63" s="39"/>
      <c r="C63" s="39"/>
      <c r="D63" s="38"/>
      <c r="E63" s="38"/>
      <c r="F63" s="38"/>
      <c r="G63" s="38"/>
      <c r="H63" s="39"/>
      <c r="I63" s="38"/>
      <c r="J63" s="38"/>
      <c r="K63" s="38"/>
      <c r="L63" s="38"/>
      <c r="M63" s="38"/>
      <c r="N63" s="38"/>
      <c r="O63" s="19"/>
      <c r="P63" s="19"/>
      <c r="Q63" s="19"/>
    </row>
    <row r="64" spans="1:17" ht="15.75" customHeight="1">
      <c r="A64" s="19"/>
      <c r="B64" s="40"/>
      <c r="C64" s="40"/>
      <c r="D64" s="19"/>
      <c r="E64" s="19"/>
      <c r="F64" s="19"/>
      <c r="G64" s="19"/>
      <c r="H64" s="40"/>
      <c r="I64" s="19"/>
      <c r="J64" s="19"/>
      <c r="K64" s="19"/>
      <c r="L64" s="19"/>
      <c r="M64" s="19"/>
      <c r="N64" s="19"/>
      <c r="O64" s="19"/>
      <c r="P64" s="19"/>
      <c r="Q64" s="19"/>
    </row>
    <row r="65" spans="1:17" ht="15.75" customHeight="1">
      <c r="B65" s="40"/>
      <c r="C65" s="40"/>
      <c r="D65" s="19"/>
      <c r="E65" s="19"/>
      <c r="F65" s="19"/>
      <c r="G65" s="19"/>
      <c r="H65" s="40"/>
      <c r="I65" s="19"/>
      <c r="J65" s="19"/>
      <c r="K65" s="19"/>
      <c r="L65" s="41"/>
      <c r="M65" s="19"/>
      <c r="N65" s="19"/>
      <c r="O65" s="19"/>
      <c r="P65" s="19"/>
      <c r="Q65" s="19"/>
    </row>
    <row r="66" spans="1:17" ht="15.75" customHeight="1">
      <c r="B66" s="40"/>
      <c r="C66" s="40"/>
      <c r="D66" s="19"/>
      <c r="E66" s="19"/>
      <c r="F66" s="19"/>
      <c r="G66" s="19"/>
      <c r="H66" s="40"/>
      <c r="I66" s="19"/>
      <c r="J66" s="19"/>
      <c r="K66" s="42"/>
      <c r="L66" s="19"/>
      <c r="M66" s="19"/>
      <c r="N66" s="19"/>
      <c r="O66" s="19"/>
      <c r="P66" s="19"/>
      <c r="Q66" s="19"/>
    </row>
    <row r="67" spans="1:17" ht="15.75" customHeight="1">
      <c r="B67" s="40"/>
      <c r="C67" s="40"/>
      <c r="D67" s="42"/>
      <c r="E67" s="19"/>
      <c r="F67" s="19"/>
      <c r="G67" s="19"/>
      <c r="H67" s="40"/>
      <c r="I67" s="19"/>
      <c r="J67" s="19"/>
      <c r="K67" s="42"/>
      <c r="L67" s="19"/>
      <c r="M67" s="19"/>
      <c r="N67" s="19"/>
      <c r="O67" s="19"/>
      <c r="P67" s="19"/>
      <c r="Q67" s="19"/>
    </row>
    <row r="68" spans="1:17" ht="15.75" customHeight="1">
      <c r="B68" s="40"/>
      <c r="C68" s="40"/>
      <c r="D68" s="19"/>
      <c r="E68" s="19"/>
      <c r="F68" s="19"/>
      <c r="G68" s="19"/>
      <c r="H68" s="40"/>
      <c r="I68" s="19"/>
      <c r="J68" s="19"/>
      <c r="K68" s="42"/>
      <c r="L68" s="19"/>
      <c r="M68" s="19"/>
      <c r="N68" s="19"/>
      <c r="O68" s="19"/>
      <c r="P68" s="19"/>
      <c r="Q68" s="19"/>
    </row>
    <row r="69" spans="1:17" ht="15.75" customHeight="1">
      <c r="B69" s="40"/>
      <c r="C69" s="40"/>
      <c r="D69" s="19"/>
      <c r="E69" s="19"/>
      <c r="F69" s="19"/>
      <c r="G69" s="19"/>
      <c r="H69" s="40"/>
      <c r="I69" s="19"/>
      <c r="J69" s="19"/>
      <c r="K69" s="42"/>
      <c r="L69" s="19"/>
      <c r="M69" s="19"/>
      <c r="N69" s="19"/>
      <c r="O69" s="19"/>
      <c r="P69" s="19"/>
      <c r="Q69" s="19"/>
    </row>
    <row r="70" spans="1:17" ht="15.75" customHeight="1">
      <c r="B70" s="40"/>
      <c r="C70" s="40"/>
      <c r="D70" s="19"/>
      <c r="E70" s="19"/>
      <c r="F70" s="19"/>
      <c r="G70" s="19"/>
      <c r="H70" s="40"/>
      <c r="I70" s="19"/>
      <c r="J70" s="19"/>
      <c r="K70" s="19"/>
      <c r="L70" s="19"/>
      <c r="M70" s="19"/>
      <c r="N70" s="19"/>
      <c r="O70" s="19"/>
      <c r="P70" s="19"/>
      <c r="Q70" s="19"/>
    </row>
    <row r="71" spans="1:17" ht="15.75" customHeight="1">
      <c r="B71" s="40"/>
      <c r="C71" s="40"/>
      <c r="D71" s="19"/>
      <c r="E71" s="19"/>
      <c r="F71" s="19"/>
      <c r="G71" s="19"/>
      <c r="H71" s="40"/>
      <c r="I71" s="19"/>
      <c r="J71" s="19"/>
      <c r="K71" s="19"/>
      <c r="L71" s="19"/>
      <c r="M71" s="19"/>
      <c r="N71" s="19"/>
      <c r="O71" s="19"/>
      <c r="P71" s="19"/>
      <c r="Q71" s="19"/>
    </row>
    <row r="72" spans="1:17" ht="15.75" customHeight="1">
      <c r="B72" s="40"/>
      <c r="C72" s="43"/>
      <c r="D72" s="19"/>
      <c r="E72" s="19"/>
      <c r="F72" s="19"/>
      <c r="G72" s="19"/>
      <c r="H72" s="40"/>
      <c r="I72" s="19"/>
      <c r="J72" s="19"/>
      <c r="K72" s="19"/>
      <c r="L72" s="19"/>
      <c r="M72" s="19"/>
      <c r="N72" s="19"/>
      <c r="O72" s="19"/>
      <c r="P72" s="19"/>
      <c r="Q72" s="19"/>
    </row>
    <row r="73" spans="1:17" ht="15.75" customHeight="1">
      <c r="B73" s="40"/>
      <c r="C73" s="44"/>
      <c r="D73" s="19"/>
      <c r="E73" s="19"/>
      <c r="F73" s="19"/>
      <c r="G73" s="19"/>
      <c r="H73" s="40"/>
      <c r="I73" s="19"/>
      <c r="J73" s="19"/>
      <c r="K73" s="19"/>
      <c r="L73" s="19"/>
      <c r="M73" s="19"/>
      <c r="N73" s="19"/>
      <c r="O73" s="19"/>
      <c r="P73" s="19"/>
      <c r="Q73" s="19"/>
    </row>
    <row r="74" spans="1:17" ht="15.75" customHeight="1">
      <c r="A74" s="20"/>
      <c r="B74" s="40"/>
      <c r="C74" s="44"/>
      <c r="D74" s="19"/>
      <c r="E74" s="19"/>
      <c r="F74" s="19"/>
      <c r="G74" s="19"/>
      <c r="H74" s="40"/>
      <c r="I74" s="19"/>
      <c r="J74" s="19"/>
      <c r="K74" s="19"/>
      <c r="L74" s="19"/>
      <c r="M74" s="19"/>
      <c r="N74" s="19"/>
      <c r="O74" s="19"/>
      <c r="P74" s="19"/>
      <c r="Q74" s="19"/>
    </row>
    <row r="75" spans="1:17" ht="15.75" customHeight="1">
      <c r="A75" s="19"/>
      <c r="B75" s="40"/>
      <c r="C75" s="44"/>
      <c r="D75" s="19"/>
      <c r="E75" s="19"/>
      <c r="F75" s="19"/>
      <c r="G75" s="19"/>
      <c r="H75" s="40"/>
      <c r="I75" s="19"/>
      <c r="J75" s="19"/>
      <c r="K75" s="19"/>
      <c r="L75" s="19"/>
      <c r="M75" s="19"/>
      <c r="N75" s="19"/>
      <c r="O75" s="19"/>
      <c r="P75" s="19"/>
      <c r="Q75" s="19"/>
    </row>
    <row r="76" spans="1:17" ht="15.75" customHeight="1">
      <c r="A76" s="19"/>
      <c r="B76" s="40"/>
      <c r="C76" s="44"/>
      <c r="D76" s="19"/>
      <c r="E76" s="19"/>
      <c r="F76" s="19"/>
      <c r="G76" s="19"/>
      <c r="H76" s="40"/>
      <c r="I76" s="19"/>
      <c r="J76" s="19"/>
      <c r="K76" s="19"/>
      <c r="L76" s="19"/>
      <c r="M76" s="19"/>
      <c r="N76" s="19"/>
      <c r="O76" s="19"/>
      <c r="P76" s="19"/>
      <c r="Q76" s="19"/>
    </row>
    <row r="77" spans="1:17" ht="15.75" customHeight="1">
      <c r="A77" s="19"/>
      <c r="B77" s="40"/>
      <c r="C77" s="40"/>
      <c r="D77" s="19"/>
      <c r="E77" s="19"/>
      <c r="F77" s="19"/>
      <c r="G77" s="19"/>
      <c r="H77" s="40"/>
      <c r="I77" s="19"/>
      <c r="J77" s="19"/>
      <c r="K77" s="19"/>
      <c r="L77" s="19"/>
      <c r="M77" s="19"/>
      <c r="N77" s="19"/>
      <c r="O77" s="19"/>
      <c r="P77" s="19"/>
      <c r="Q77" s="19"/>
    </row>
    <row r="78" spans="1:17" ht="15.75" customHeight="1">
      <c r="A78" s="19"/>
      <c r="B78" s="40"/>
      <c r="C78" s="40"/>
      <c r="D78" s="19"/>
      <c r="E78" s="19"/>
      <c r="F78" s="19"/>
      <c r="G78" s="19"/>
      <c r="H78" s="40"/>
      <c r="I78" s="19"/>
      <c r="J78" s="19"/>
      <c r="K78" s="19"/>
      <c r="L78" s="19"/>
      <c r="M78" s="19"/>
      <c r="N78" s="19"/>
      <c r="O78" s="19"/>
      <c r="P78" s="19"/>
      <c r="Q78" s="19"/>
    </row>
    <row r="79" spans="1:17" ht="15.75" customHeight="1">
      <c r="A79" s="19"/>
      <c r="B79" s="40"/>
      <c r="C79" s="40"/>
      <c r="D79" s="19"/>
      <c r="E79" s="19"/>
      <c r="F79" s="19"/>
      <c r="G79" s="19"/>
      <c r="H79" s="40"/>
      <c r="I79" s="19"/>
      <c r="J79" s="19"/>
      <c r="K79" s="19"/>
      <c r="L79" s="19"/>
      <c r="M79" s="19"/>
      <c r="N79" s="19"/>
      <c r="O79" s="19"/>
      <c r="P79" s="19"/>
      <c r="Q79" s="19"/>
    </row>
    <row r="80" spans="1:17" ht="15.75" customHeight="1">
      <c r="A80" s="19"/>
      <c r="B80" s="40"/>
      <c r="C80" s="40"/>
      <c r="D80" s="19"/>
      <c r="E80" s="19"/>
      <c r="F80" s="19"/>
      <c r="G80" s="19"/>
      <c r="H80" s="40"/>
      <c r="I80" s="19"/>
      <c r="J80" s="19"/>
      <c r="K80" s="19"/>
      <c r="L80" s="19"/>
      <c r="M80" s="19"/>
      <c r="N80" s="19"/>
      <c r="O80" s="19"/>
      <c r="P80" s="19"/>
      <c r="Q80" s="19"/>
    </row>
    <row r="81" spans="1:17" ht="15.75" customHeight="1">
      <c r="A81" s="19"/>
      <c r="B81" s="40"/>
      <c r="C81" s="40"/>
      <c r="D81" s="19"/>
      <c r="E81" s="19"/>
      <c r="F81" s="19"/>
      <c r="G81" s="19"/>
      <c r="H81" s="40"/>
      <c r="I81" s="19"/>
      <c r="J81" s="19"/>
      <c r="K81" s="19"/>
      <c r="L81" s="19"/>
      <c r="M81" s="19"/>
      <c r="N81" s="19"/>
      <c r="O81" s="19"/>
      <c r="P81" s="19"/>
      <c r="Q81" s="19"/>
    </row>
    <row r="82" spans="1:17" ht="15.75" customHeight="1">
      <c r="A82" s="19"/>
      <c r="B82" s="40"/>
      <c r="C82" s="40"/>
      <c r="D82" s="19"/>
      <c r="E82" s="19"/>
      <c r="F82" s="19"/>
      <c r="G82" s="19"/>
      <c r="H82" s="40"/>
      <c r="I82" s="19"/>
      <c r="J82" s="19"/>
      <c r="K82" s="19"/>
      <c r="L82" s="19"/>
      <c r="M82" s="19"/>
      <c r="N82" s="19"/>
      <c r="O82" s="19"/>
      <c r="P82" s="19"/>
      <c r="Q82" s="19"/>
    </row>
    <row r="83" spans="1:17" ht="15.75" customHeight="1">
      <c r="A83" s="19"/>
      <c r="B83" s="40"/>
      <c r="C83" s="40"/>
      <c r="D83" s="19"/>
      <c r="E83" s="19"/>
      <c r="F83" s="19"/>
      <c r="G83" s="19"/>
      <c r="H83" s="40"/>
      <c r="I83" s="19"/>
      <c r="J83" s="19"/>
      <c r="K83" s="19"/>
      <c r="L83" s="19"/>
      <c r="M83" s="19"/>
      <c r="N83" s="19"/>
      <c r="O83" s="19"/>
      <c r="P83" s="19"/>
      <c r="Q83" s="19"/>
    </row>
    <row r="84" spans="1:17" ht="15.75" customHeight="1">
      <c r="A84" s="19"/>
      <c r="B84" s="40"/>
      <c r="C84" s="40"/>
      <c r="D84" s="19"/>
      <c r="E84" s="19"/>
      <c r="F84" s="19"/>
      <c r="G84" s="19"/>
      <c r="H84" s="40"/>
      <c r="I84" s="19"/>
      <c r="J84" s="19"/>
      <c r="K84" s="19"/>
      <c r="L84" s="19"/>
      <c r="M84" s="19"/>
      <c r="N84" s="19"/>
      <c r="O84" s="19"/>
      <c r="P84" s="19"/>
      <c r="Q84" s="19"/>
    </row>
    <row r="85" spans="1:17" ht="15.75" customHeight="1">
      <c r="A85" s="19"/>
      <c r="B85" s="40"/>
      <c r="C85" s="40"/>
      <c r="D85" s="19"/>
      <c r="E85" s="19"/>
      <c r="F85" s="19"/>
      <c r="G85" s="19"/>
      <c r="H85" s="40"/>
      <c r="I85" s="19"/>
      <c r="J85" s="19"/>
      <c r="K85" s="19"/>
      <c r="L85" s="19"/>
      <c r="M85" s="19"/>
      <c r="N85" s="19"/>
      <c r="O85" s="19"/>
      <c r="P85" s="19"/>
      <c r="Q85" s="19"/>
    </row>
    <row r="86" spans="1:17" ht="15.75" customHeight="1">
      <c r="A86" s="19"/>
      <c r="B86" s="40"/>
      <c r="C86" s="40"/>
      <c r="D86" s="19"/>
      <c r="E86" s="19"/>
      <c r="F86" s="19"/>
      <c r="G86" s="19"/>
      <c r="H86" s="40"/>
      <c r="I86" s="19"/>
      <c r="J86" s="19"/>
      <c r="K86" s="19"/>
      <c r="L86" s="19"/>
      <c r="M86" s="19"/>
      <c r="N86" s="19"/>
      <c r="O86" s="19"/>
      <c r="P86" s="19"/>
      <c r="Q86" s="19"/>
    </row>
    <row r="87" spans="1:17" ht="15.75" customHeight="1">
      <c r="A87" s="19"/>
      <c r="B87" s="40"/>
      <c r="C87" s="40"/>
      <c r="D87" s="19"/>
      <c r="E87" s="19"/>
      <c r="F87" s="19"/>
      <c r="G87" s="19"/>
      <c r="H87" s="40"/>
      <c r="I87" s="19"/>
      <c r="J87" s="19"/>
      <c r="K87" s="19"/>
      <c r="L87" s="19"/>
      <c r="M87" s="19"/>
      <c r="N87" s="19"/>
      <c r="O87" s="19"/>
      <c r="P87" s="19"/>
      <c r="Q87" s="19"/>
    </row>
    <row r="88" spans="1:17" ht="15.75" customHeight="1">
      <c r="A88" s="19"/>
      <c r="B88" s="40"/>
      <c r="C88" s="40"/>
      <c r="D88" s="19"/>
      <c r="E88" s="19"/>
      <c r="F88" s="19"/>
      <c r="G88" s="19"/>
      <c r="H88" s="40"/>
      <c r="I88" s="19"/>
      <c r="J88" s="19"/>
      <c r="K88" s="19"/>
      <c r="L88" s="19"/>
      <c r="M88" s="19"/>
      <c r="N88" s="19"/>
      <c r="O88" s="19"/>
      <c r="P88" s="19"/>
      <c r="Q88" s="19"/>
    </row>
    <row r="89" spans="1:17" ht="15.75" customHeight="1">
      <c r="A89" s="19"/>
      <c r="B89" s="40"/>
      <c r="C89" s="40"/>
      <c r="D89" s="19"/>
      <c r="E89" s="19"/>
      <c r="F89" s="19"/>
      <c r="G89" s="19"/>
      <c r="H89" s="40"/>
      <c r="I89" s="19"/>
      <c r="J89" s="19"/>
      <c r="K89" s="19"/>
      <c r="L89" s="19"/>
      <c r="M89" s="19"/>
      <c r="N89" s="19"/>
      <c r="O89" s="19"/>
      <c r="P89" s="19"/>
      <c r="Q89" s="19"/>
    </row>
    <row r="90" spans="1:17" ht="15.75" customHeight="1">
      <c r="A90" s="19"/>
      <c r="B90" s="40"/>
      <c r="C90" s="40"/>
      <c r="D90" s="19"/>
      <c r="E90" s="19"/>
      <c r="F90" s="19"/>
      <c r="G90" s="19"/>
      <c r="H90" s="40"/>
      <c r="I90" s="19"/>
      <c r="J90" s="19"/>
      <c r="K90" s="19"/>
      <c r="L90" s="19"/>
      <c r="M90" s="19"/>
      <c r="N90" s="19"/>
      <c r="O90" s="19"/>
      <c r="P90" s="19"/>
      <c r="Q90" s="19"/>
    </row>
    <row r="91" spans="1:17" ht="15.75" customHeight="1">
      <c r="A91" s="19"/>
      <c r="B91" s="40"/>
      <c r="C91" s="40"/>
      <c r="D91" s="19"/>
      <c r="E91" s="19"/>
      <c r="F91" s="19"/>
      <c r="G91" s="19"/>
      <c r="H91" s="40"/>
      <c r="I91" s="19"/>
      <c r="J91" s="19"/>
      <c r="K91" s="19"/>
      <c r="L91" s="19"/>
      <c r="M91" s="19"/>
      <c r="N91" s="19"/>
      <c r="O91" s="19"/>
      <c r="P91" s="19"/>
      <c r="Q91" s="19"/>
    </row>
    <row r="92" spans="1:17" ht="15.75" customHeight="1">
      <c r="A92" s="19"/>
      <c r="B92" s="20"/>
      <c r="C92" s="20"/>
      <c r="D92" s="19"/>
      <c r="E92" s="19"/>
      <c r="F92" s="19"/>
      <c r="G92" s="19"/>
      <c r="H92" s="40"/>
      <c r="I92" s="19"/>
      <c r="J92" s="19"/>
      <c r="K92" s="19"/>
      <c r="L92" s="19"/>
      <c r="M92" s="19"/>
      <c r="N92" s="19"/>
      <c r="O92" s="19"/>
      <c r="P92" s="19"/>
      <c r="Q92" s="19"/>
    </row>
    <row r="93" spans="1:17" ht="15.75" customHeight="1">
      <c r="A93" s="19"/>
      <c r="B93" s="20"/>
      <c r="C93" s="20"/>
      <c r="D93" s="19"/>
      <c r="E93" s="19"/>
      <c r="F93" s="19"/>
      <c r="G93" s="19"/>
      <c r="H93" s="40"/>
      <c r="I93" s="19"/>
      <c r="J93" s="19"/>
      <c r="K93" s="19"/>
      <c r="L93" s="19"/>
      <c r="M93" s="19"/>
      <c r="N93" s="19"/>
      <c r="O93" s="19"/>
      <c r="P93" s="19"/>
      <c r="Q93" s="19"/>
    </row>
    <row r="94" spans="1:17" ht="15.75" customHeight="1">
      <c r="A94" s="19"/>
      <c r="B94" s="20"/>
      <c r="C94" s="20"/>
      <c r="D94" s="19"/>
      <c r="E94" s="19"/>
      <c r="F94" s="19"/>
      <c r="G94" s="19"/>
      <c r="H94" s="40"/>
      <c r="I94" s="19"/>
      <c r="J94" s="19"/>
      <c r="K94" s="19"/>
      <c r="L94" s="19"/>
      <c r="M94" s="19"/>
      <c r="N94" s="19"/>
      <c r="O94" s="19"/>
      <c r="P94" s="19"/>
      <c r="Q94" s="19"/>
    </row>
    <row r="95" spans="1:17" ht="15.75" customHeight="1">
      <c r="A95" s="19"/>
      <c r="B95" s="20"/>
      <c r="C95" s="20"/>
      <c r="D95" s="19"/>
      <c r="E95" s="19"/>
      <c r="F95" s="19"/>
      <c r="G95" s="19"/>
      <c r="H95" s="40"/>
      <c r="I95" s="19"/>
      <c r="J95" s="19"/>
      <c r="K95" s="19"/>
      <c r="L95" s="19"/>
      <c r="M95" s="19"/>
      <c r="N95" s="19"/>
      <c r="O95" s="19"/>
      <c r="P95" s="19"/>
      <c r="Q95" s="19"/>
    </row>
    <row r="96" spans="1:17" ht="15.75" customHeight="1">
      <c r="A96" s="19"/>
      <c r="B96" s="20"/>
      <c r="C96" s="20"/>
      <c r="D96" s="19"/>
      <c r="E96" s="19"/>
      <c r="F96" s="19"/>
      <c r="G96" s="19"/>
      <c r="H96" s="40"/>
      <c r="I96" s="19"/>
      <c r="J96" s="19"/>
      <c r="K96" s="19"/>
      <c r="L96" s="19"/>
      <c r="M96" s="19"/>
      <c r="N96" s="19"/>
      <c r="O96" s="19"/>
      <c r="P96" s="19"/>
      <c r="Q96" s="19"/>
    </row>
    <row r="97" spans="1:17" ht="15.75" customHeight="1">
      <c r="A97" s="19"/>
      <c r="B97" s="20"/>
      <c r="C97" s="20"/>
      <c r="D97" s="19"/>
      <c r="E97" s="19"/>
      <c r="F97" s="19"/>
      <c r="G97" s="19"/>
      <c r="H97" s="40"/>
      <c r="I97" s="19"/>
      <c r="J97" s="19"/>
      <c r="K97" s="19"/>
      <c r="L97" s="19"/>
      <c r="M97" s="19"/>
      <c r="N97" s="19"/>
      <c r="O97" s="19"/>
      <c r="P97" s="19"/>
      <c r="Q97" s="19"/>
    </row>
    <row r="98" spans="1:17" ht="15.75" customHeight="1">
      <c r="A98" s="19"/>
      <c r="B98" s="20"/>
      <c r="C98" s="20"/>
      <c r="D98" s="19"/>
      <c r="E98" s="19"/>
      <c r="F98" s="19"/>
      <c r="G98" s="19"/>
      <c r="H98" s="40"/>
      <c r="I98" s="19"/>
      <c r="J98" s="19"/>
      <c r="K98" s="19"/>
      <c r="L98" s="19"/>
      <c r="M98" s="19"/>
      <c r="N98" s="19"/>
      <c r="O98" s="19"/>
      <c r="P98" s="19"/>
      <c r="Q98" s="19"/>
    </row>
    <row r="99" spans="1:17" ht="15.75" customHeight="1">
      <c r="A99" s="19"/>
      <c r="B99" s="20"/>
      <c r="C99" s="20"/>
      <c r="D99" s="19"/>
      <c r="E99" s="19"/>
      <c r="F99" s="19"/>
      <c r="G99" s="19"/>
      <c r="H99" s="40"/>
      <c r="I99" s="19"/>
      <c r="J99" s="19"/>
      <c r="K99" s="19"/>
      <c r="L99" s="19"/>
      <c r="M99" s="19"/>
      <c r="N99" s="19"/>
      <c r="O99" s="19"/>
      <c r="P99" s="19"/>
      <c r="Q99" s="19"/>
    </row>
    <row r="100" spans="1:17" ht="15.75" customHeight="1">
      <c r="A100" s="19"/>
      <c r="B100" s="20"/>
      <c r="C100" s="20"/>
      <c r="D100" s="19"/>
      <c r="E100" s="19"/>
      <c r="F100" s="19"/>
      <c r="G100" s="19"/>
      <c r="H100" s="20"/>
      <c r="I100" s="19"/>
      <c r="J100" s="19"/>
      <c r="K100" s="19"/>
      <c r="L100" s="19"/>
      <c r="M100" s="19"/>
      <c r="N100" s="19"/>
      <c r="O100" s="19"/>
      <c r="P100" s="19"/>
      <c r="Q100" s="19"/>
    </row>
    <row r="101" spans="1:17" ht="15.75" customHeight="1">
      <c r="A101" s="19"/>
      <c r="B101" s="20"/>
      <c r="C101" s="20"/>
      <c r="D101" s="19"/>
      <c r="E101" s="19"/>
      <c r="F101" s="19"/>
      <c r="G101" s="19"/>
      <c r="H101" s="20"/>
      <c r="I101" s="19"/>
      <c r="J101" s="19"/>
      <c r="K101" s="19"/>
      <c r="L101" s="19"/>
      <c r="M101" s="19"/>
      <c r="N101" s="19"/>
      <c r="O101" s="19"/>
      <c r="P101" s="19"/>
      <c r="Q101" s="19"/>
    </row>
    <row r="102" spans="1:17" ht="15.75" customHeight="1">
      <c r="A102" s="19"/>
      <c r="B102" s="20"/>
      <c r="C102" s="20"/>
      <c r="D102" s="19"/>
      <c r="E102" s="19"/>
      <c r="F102" s="19"/>
      <c r="G102" s="19"/>
      <c r="H102" s="20"/>
      <c r="I102" s="19"/>
      <c r="J102" s="19"/>
      <c r="K102" s="19"/>
      <c r="L102" s="19"/>
      <c r="M102" s="19"/>
      <c r="N102" s="19"/>
      <c r="O102" s="19"/>
      <c r="P102" s="19"/>
      <c r="Q102" s="19"/>
    </row>
    <row r="103" spans="1:17" ht="15.75" customHeight="1">
      <c r="A103" s="19"/>
      <c r="B103" s="20"/>
      <c r="C103" s="20"/>
      <c r="D103" s="19"/>
      <c r="E103" s="19"/>
      <c r="F103" s="19"/>
      <c r="G103" s="19"/>
      <c r="H103" s="20"/>
      <c r="I103" s="19"/>
      <c r="J103" s="19"/>
      <c r="K103" s="19"/>
      <c r="L103" s="19"/>
      <c r="M103" s="19"/>
      <c r="N103" s="19"/>
      <c r="O103" s="19"/>
      <c r="P103" s="19"/>
      <c r="Q103" s="19"/>
    </row>
    <row r="104" spans="1:17" ht="15.75" customHeight="1">
      <c r="A104" s="19"/>
      <c r="B104" s="20"/>
      <c r="C104" s="20"/>
      <c r="D104" s="19"/>
      <c r="E104" s="19"/>
      <c r="F104" s="19"/>
      <c r="G104" s="19"/>
      <c r="H104" s="20"/>
      <c r="I104" s="19"/>
      <c r="J104" s="19"/>
      <c r="K104" s="19"/>
      <c r="L104" s="19"/>
      <c r="M104" s="19"/>
      <c r="N104" s="19"/>
      <c r="O104" s="19"/>
      <c r="P104" s="19"/>
      <c r="Q104" s="19"/>
    </row>
    <row r="105" spans="1:17" ht="15.75" customHeight="1">
      <c r="A105" s="19"/>
      <c r="B105" s="20"/>
      <c r="C105" s="20"/>
      <c r="D105" s="19"/>
      <c r="E105" s="19"/>
      <c r="F105" s="19"/>
      <c r="G105" s="19"/>
      <c r="H105" s="20"/>
      <c r="I105" s="19"/>
      <c r="J105" s="19"/>
      <c r="K105" s="19"/>
      <c r="L105" s="19"/>
      <c r="M105" s="19"/>
      <c r="N105" s="19"/>
      <c r="O105" s="19"/>
      <c r="P105" s="19"/>
      <c r="Q105" s="19"/>
    </row>
    <row r="106" spans="1:17" ht="15.75" customHeight="1">
      <c r="A106" s="19"/>
      <c r="B106" s="20"/>
      <c r="C106" s="20"/>
      <c r="D106" s="19"/>
      <c r="E106" s="19"/>
      <c r="F106" s="19"/>
      <c r="G106" s="19"/>
      <c r="H106" s="20"/>
      <c r="I106" s="19"/>
      <c r="J106" s="19"/>
      <c r="K106" s="19"/>
      <c r="L106" s="19"/>
      <c r="M106" s="19"/>
      <c r="N106" s="19"/>
      <c r="O106" s="19"/>
      <c r="P106" s="19"/>
      <c r="Q106" s="19"/>
    </row>
    <row r="107" spans="1:17" ht="15.75" customHeight="1">
      <c r="A107" s="19"/>
      <c r="B107" s="20"/>
      <c r="C107" s="20"/>
      <c r="D107" s="19"/>
      <c r="E107" s="19"/>
      <c r="F107" s="19"/>
      <c r="G107" s="19"/>
      <c r="H107" s="20"/>
      <c r="I107" s="19"/>
      <c r="J107" s="19"/>
      <c r="K107" s="19"/>
      <c r="L107" s="19"/>
      <c r="M107" s="19"/>
      <c r="N107" s="19"/>
      <c r="O107" s="19"/>
      <c r="P107" s="19"/>
      <c r="Q107" s="19"/>
    </row>
    <row r="108" spans="1:17" ht="15.75" customHeight="1">
      <c r="A108" s="19"/>
      <c r="B108" s="20"/>
      <c r="C108" s="20"/>
      <c r="D108" s="19"/>
      <c r="E108" s="19"/>
      <c r="F108" s="19"/>
      <c r="G108" s="19"/>
      <c r="H108" s="20"/>
      <c r="I108" s="19"/>
      <c r="J108" s="19"/>
      <c r="K108" s="19"/>
      <c r="L108" s="19"/>
      <c r="M108" s="19"/>
      <c r="N108" s="19"/>
      <c r="O108" s="19"/>
      <c r="P108" s="19"/>
      <c r="Q108" s="19"/>
    </row>
    <row r="109" spans="1:17" ht="15.75" customHeight="1">
      <c r="A109" s="19"/>
      <c r="B109" s="20"/>
      <c r="C109" s="20"/>
      <c r="D109" s="19"/>
      <c r="E109" s="19"/>
      <c r="F109" s="19"/>
      <c r="G109" s="19"/>
      <c r="H109" s="20"/>
      <c r="I109" s="19"/>
      <c r="J109" s="19"/>
      <c r="K109" s="19"/>
      <c r="L109" s="19"/>
      <c r="M109" s="19"/>
      <c r="N109" s="19"/>
      <c r="O109" s="19"/>
      <c r="P109" s="19"/>
      <c r="Q109" s="19"/>
    </row>
    <row r="110" spans="1:17" ht="15.75" customHeight="1">
      <c r="A110" s="19"/>
      <c r="B110" s="20"/>
      <c r="C110" s="20"/>
      <c r="D110" s="19"/>
      <c r="E110" s="19"/>
      <c r="F110" s="19"/>
      <c r="G110" s="19"/>
      <c r="H110" s="20"/>
      <c r="I110" s="19"/>
      <c r="J110" s="19"/>
      <c r="K110" s="19"/>
      <c r="L110" s="19"/>
      <c r="M110" s="19"/>
      <c r="N110" s="19"/>
      <c r="O110" s="19"/>
      <c r="P110" s="19"/>
      <c r="Q110" s="19"/>
    </row>
    <row r="111" spans="1:17" ht="15.75" customHeight="1">
      <c r="A111" s="19"/>
      <c r="B111" s="20"/>
      <c r="C111" s="20"/>
      <c r="D111" s="19"/>
      <c r="E111" s="19"/>
      <c r="F111" s="19"/>
      <c r="G111" s="19"/>
      <c r="H111" s="20"/>
      <c r="I111" s="19"/>
      <c r="J111" s="19"/>
      <c r="K111" s="19"/>
      <c r="L111" s="19"/>
      <c r="M111" s="19"/>
      <c r="N111" s="19"/>
      <c r="O111" s="19"/>
      <c r="P111" s="19"/>
      <c r="Q111" s="19"/>
    </row>
    <row r="112" spans="1:17" ht="15.75" customHeight="1">
      <c r="A112" s="19"/>
      <c r="B112" s="20"/>
      <c r="C112" s="20"/>
      <c r="D112" s="19"/>
      <c r="E112" s="19"/>
      <c r="F112" s="19"/>
      <c r="G112" s="19"/>
      <c r="H112" s="20"/>
      <c r="I112" s="19"/>
      <c r="J112" s="19"/>
      <c r="K112" s="19"/>
      <c r="L112" s="19"/>
      <c r="M112" s="19"/>
      <c r="N112" s="19"/>
      <c r="O112" s="19"/>
      <c r="P112" s="19"/>
      <c r="Q112" s="19"/>
    </row>
    <row r="113" spans="1:17" ht="15.75" customHeight="1">
      <c r="A113" s="19"/>
      <c r="B113" s="20"/>
      <c r="C113" s="20"/>
      <c r="D113" s="19"/>
      <c r="E113" s="19"/>
      <c r="F113" s="19"/>
      <c r="G113" s="19"/>
      <c r="H113" s="20"/>
      <c r="I113" s="19"/>
      <c r="J113" s="19"/>
      <c r="K113" s="19"/>
      <c r="L113" s="19"/>
      <c r="M113" s="19"/>
      <c r="N113" s="19"/>
      <c r="O113" s="19"/>
      <c r="P113" s="19"/>
      <c r="Q113" s="19"/>
    </row>
    <row r="114" spans="1:17" ht="15.75" customHeight="1">
      <c r="A114" s="19"/>
      <c r="B114" s="20"/>
      <c r="C114" s="20"/>
      <c r="D114" s="19"/>
      <c r="E114" s="19"/>
      <c r="F114" s="19"/>
      <c r="G114" s="19"/>
      <c r="H114" s="20"/>
      <c r="I114" s="19"/>
      <c r="J114" s="19"/>
      <c r="K114" s="19"/>
      <c r="L114" s="19"/>
      <c r="M114" s="19"/>
      <c r="N114" s="19"/>
      <c r="O114" s="19"/>
      <c r="P114" s="19"/>
      <c r="Q114" s="19"/>
    </row>
    <row r="115" spans="1:17" ht="15.75" customHeight="1">
      <c r="A115" s="19"/>
      <c r="B115" s="20"/>
      <c r="C115" s="20"/>
      <c r="D115" s="19"/>
      <c r="E115" s="19"/>
      <c r="F115" s="19"/>
      <c r="G115" s="19"/>
      <c r="H115" s="20"/>
      <c r="I115" s="19"/>
      <c r="J115" s="19"/>
      <c r="K115" s="19"/>
      <c r="L115" s="19"/>
      <c r="M115" s="19"/>
      <c r="N115" s="19"/>
      <c r="O115" s="19"/>
      <c r="P115" s="19"/>
      <c r="Q115" s="19"/>
    </row>
    <row r="116" spans="1:17" ht="15.75" customHeight="1">
      <c r="A116" s="19"/>
      <c r="B116" s="20"/>
      <c r="C116" s="20"/>
      <c r="D116" s="19"/>
      <c r="E116" s="19"/>
      <c r="F116" s="19"/>
      <c r="G116" s="19"/>
      <c r="H116" s="20"/>
      <c r="I116" s="19"/>
      <c r="J116" s="19"/>
      <c r="K116" s="19"/>
      <c r="L116" s="19"/>
      <c r="M116" s="19"/>
      <c r="N116" s="19"/>
      <c r="O116" s="19"/>
      <c r="P116" s="19"/>
      <c r="Q116" s="19"/>
    </row>
    <row r="117" spans="1:17" ht="15.75" customHeight="1">
      <c r="A117" s="19"/>
      <c r="B117" s="20"/>
      <c r="C117" s="20"/>
      <c r="D117" s="19"/>
      <c r="E117" s="19"/>
      <c r="F117" s="19"/>
      <c r="G117" s="19"/>
      <c r="H117" s="20"/>
      <c r="I117" s="19"/>
      <c r="J117" s="19"/>
      <c r="K117" s="19"/>
      <c r="L117" s="19"/>
      <c r="M117" s="19"/>
      <c r="N117" s="19"/>
      <c r="O117" s="19"/>
      <c r="P117" s="19"/>
      <c r="Q117" s="19"/>
    </row>
    <row r="118" spans="1:17" ht="15.75" customHeight="1">
      <c r="A118" s="19"/>
      <c r="B118" s="20"/>
      <c r="C118" s="20"/>
      <c r="D118" s="19"/>
      <c r="E118" s="19"/>
      <c r="F118" s="19"/>
      <c r="G118" s="19"/>
      <c r="H118" s="20"/>
      <c r="I118" s="19"/>
      <c r="J118" s="19"/>
      <c r="K118" s="19"/>
      <c r="L118" s="19"/>
      <c r="M118" s="19"/>
      <c r="N118" s="19"/>
      <c r="O118" s="19"/>
      <c r="P118" s="19"/>
      <c r="Q118" s="19"/>
    </row>
    <row r="119" spans="1:17" ht="15.75" customHeight="1">
      <c r="A119" s="19"/>
      <c r="B119" s="20"/>
      <c r="C119" s="20"/>
      <c r="D119" s="19"/>
      <c r="E119" s="19"/>
      <c r="F119" s="19"/>
      <c r="G119" s="19"/>
      <c r="H119" s="20"/>
      <c r="I119" s="19"/>
      <c r="J119" s="19"/>
      <c r="K119" s="19"/>
      <c r="L119" s="19"/>
      <c r="M119" s="19"/>
      <c r="N119" s="19"/>
      <c r="O119" s="19"/>
      <c r="P119" s="19"/>
      <c r="Q119" s="19"/>
    </row>
    <row r="120" spans="1:17" ht="15.75" customHeight="1">
      <c r="A120" s="19"/>
      <c r="B120" s="20"/>
      <c r="C120" s="20"/>
      <c r="D120" s="19"/>
      <c r="E120" s="19"/>
      <c r="F120" s="19"/>
      <c r="G120" s="19"/>
      <c r="H120" s="20"/>
      <c r="I120" s="19"/>
      <c r="J120" s="19"/>
      <c r="K120" s="19"/>
      <c r="L120" s="19"/>
      <c r="M120" s="19"/>
      <c r="N120" s="19"/>
      <c r="O120" s="19"/>
      <c r="P120" s="19"/>
      <c r="Q120" s="19"/>
    </row>
    <row r="121" spans="1:17" ht="15.75" customHeight="1">
      <c r="A121" s="19"/>
      <c r="B121" s="20"/>
      <c r="C121" s="20"/>
      <c r="D121" s="19"/>
      <c r="E121" s="19"/>
      <c r="F121" s="19"/>
      <c r="G121" s="19"/>
      <c r="H121" s="20"/>
      <c r="I121" s="19"/>
      <c r="J121" s="19"/>
      <c r="K121" s="19"/>
      <c r="L121" s="19"/>
      <c r="M121" s="19"/>
      <c r="N121" s="19"/>
      <c r="O121" s="19"/>
      <c r="P121" s="19"/>
      <c r="Q121" s="19"/>
    </row>
    <row r="122" spans="1:17" ht="15.75" customHeight="1">
      <c r="A122" s="19"/>
      <c r="B122" s="20"/>
      <c r="C122" s="20"/>
      <c r="D122" s="19"/>
      <c r="E122" s="19"/>
      <c r="F122" s="19"/>
      <c r="G122" s="19"/>
      <c r="H122" s="20"/>
      <c r="I122" s="19"/>
      <c r="J122" s="19"/>
      <c r="K122" s="19"/>
      <c r="L122" s="19"/>
      <c r="M122" s="19"/>
      <c r="N122" s="19"/>
      <c r="O122" s="19"/>
      <c r="P122" s="19"/>
      <c r="Q122" s="19"/>
    </row>
    <row r="123" spans="1:17" ht="15.75" customHeight="1">
      <c r="A123" s="19"/>
      <c r="B123" s="20"/>
      <c r="C123" s="20"/>
      <c r="D123" s="19"/>
      <c r="E123" s="19"/>
      <c r="F123" s="19"/>
      <c r="G123" s="19"/>
      <c r="H123" s="20"/>
      <c r="I123" s="19"/>
      <c r="J123" s="19"/>
      <c r="K123" s="19"/>
      <c r="L123" s="19"/>
      <c r="M123" s="19"/>
      <c r="N123" s="19"/>
      <c r="O123" s="19"/>
      <c r="P123" s="19"/>
      <c r="Q123" s="19"/>
    </row>
    <row r="124" spans="1:17" ht="15.75" customHeight="1">
      <c r="A124" s="19"/>
      <c r="B124" s="20"/>
      <c r="C124" s="20"/>
      <c r="D124" s="19"/>
      <c r="E124" s="19"/>
      <c r="F124" s="19"/>
      <c r="G124" s="19"/>
      <c r="H124" s="20"/>
      <c r="I124" s="19"/>
      <c r="J124" s="19"/>
      <c r="K124" s="19"/>
      <c r="L124" s="19"/>
      <c r="M124" s="19"/>
      <c r="N124" s="19"/>
      <c r="O124" s="19"/>
      <c r="P124" s="19"/>
      <c r="Q124" s="19"/>
    </row>
    <row r="125" spans="1:17" ht="15.75" customHeight="1">
      <c r="A125" s="19"/>
      <c r="B125" s="20"/>
      <c r="C125" s="20"/>
      <c r="D125" s="19"/>
      <c r="E125" s="19"/>
      <c r="F125" s="19"/>
      <c r="G125" s="19"/>
      <c r="H125" s="20"/>
      <c r="I125" s="19"/>
      <c r="J125" s="19"/>
      <c r="K125" s="19"/>
      <c r="L125" s="19"/>
      <c r="M125" s="19"/>
      <c r="N125" s="19"/>
      <c r="O125" s="19"/>
      <c r="P125" s="19"/>
      <c r="Q125" s="19"/>
    </row>
    <row r="126" spans="1:17" ht="15.75" customHeight="1">
      <c r="A126" s="19"/>
      <c r="B126" s="20"/>
      <c r="C126" s="20"/>
      <c r="D126" s="19"/>
      <c r="E126" s="19"/>
      <c r="F126" s="19"/>
      <c r="G126" s="19"/>
      <c r="H126" s="20"/>
      <c r="I126" s="19"/>
      <c r="J126" s="19"/>
      <c r="K126" s="19"/>
      <c r="L126" s="19"/>
      <c r="M126" s="19"/>
      <c r="N126" s="19"/>
      <c r="O126" s="19"/>
      <c r="P126" s="19"/>
      <c r="Q126" s="19"/>
    </row>
    <row r="127" spans="1:17" ht="15.75" customHeight="1">
      <c r="A127" s="19"/>
      <c r="B127" s="20"/>
      <c r="C127" s="20"/>
      <c r="D127" s="19"/>
      <c r="E127" s="19"/>
      <c r="F127" s="19"/>
      <c r="G127" s="19"/>
      <c r="H127" s="20"/>
      <c r="I127" s="19"/>
      <c r="J127" s="19"/>
      <c r="K127" s="19"/>
      <c r="L127" s="19"/>
      <c r="M127" s="19"/>
      <c r="N127" s="19"/>
      <c r="O127" s="19"/>
      <c r="P127" s="19"/>
      <c r="Q127" s="19"/>
    </row>
    <row r="128" spans="1:17" ht="15.75" customHeight="1">
      <c r="A128" s="19"/>
      <c r="B128" s="20"/>
      <c r="C128" s="20"/>
      <c r="D128" s="19"/>
      <c r="E128" s="19"/>
      <c r="F128" s="19"/>
      <c r="G128" s="19"/>
      <c r="H128" s="20"/>
      <c r="I128" s="19"/>
      <c r="J128" s="19"/>
      <c r="K128" s="19"/>
      <c r="L128" s="19"/>
      <c r="M128" s="19"/>
      <c r="N128" s="19"/>
      <c r="O128" s="19"/>
      <c r="P128" s="19"/>
      <c r="Q128" s="19"/>
    </row>
    <row r="129" spans="1:17" ht="15.75" customHeight="1">
      <c r="A129" s="19"/>
      <c r="B129" s="20"/>
      <c r="C129" s="20"/>
      <c r="D129" s="19"/>
      <c r="E129" s="19"/>
      <c r="F129" s="19"/>
      <c r="G129" s="19"/>
      <c r="H129" s="20"/>
      <c r="I129" s="19"/>
      <c r="J129" s="19"/>
      <c r="K129" s="19"/>
      <c r="L129" s="19"/>
      <c r="M129" s="19"/>
      <c r="N129" s="19"/>
      <c r="O129" s="19"/>
      <c r="P129" s="19"/>
      <c r="Q129" s="19"/>
    </row>
    <row r="130" spans="1:17" ht="15.75" customHeight="1">
      <c r="A130" s="19"/>
      <c r="B130" s="20"/>
      <c r="C130" s="20"/>
      <c r="D130" s="19"/>
      <c r="E130" s="19"/>
      <c r="F130" s="19"/>
      <c r="G130" s="19"/>
      <c r="H130" s="20"/>
      <c r="I130" s="19"/>
      <c r="J130" s="19"/>
      <c r="K130" s="19"/>
      <c r="L130" s="19"/>
      <c r="M130" s="19"/>
      <c r="N130" s="19"/>
      <c r="O130" s="19"/>
      <c r="P130" s="19"/>
      <c r="Q130" s="19"/>
    </row>
    <row r="131" spans="1:17" ht="15.75" customHeight="1">
      <c r="A131" s="19"/>
      <c r="B131" s="20"/>
      <c r="C131" s="20"/>
      <c r="D131" s="19"/>
      <c r="E131" s="19"/>
      <c r="F131" s="19"/>
      <c r="G131" s="19"/>
      <c r="H131" s="20"/>
      <c r="I131" s="19"/>
      <c r="J131" s="19"/>
      <c r="K131" s="19"/>
      <c r="L131" s="19"/>
      <c r="M131" s="19"/>
      <c r="N131" s="19"/>
      <c r="O131" s="19"/>
      <c r="P131" s="19"/>
      <c r="Q131" s="19"/>
    </row>
    <row r="132" spans="1:17" ht="15.75" customHeight="1">
      <c r="A132" s="19"/>
      <c r="B132" s="20"/>
      <c r="C132" s="20"/>
      <c r="D132" s="19"/>
      <c r="E132" s="19"/>
      <c r="F132" s="19"/>
      <c r="G132" s="19"/>
      <c r="H132" s="20"/>
      <c r="I132" s="19"/>
      <c r="J132" s="19"/>
      <c r="K132" s="19"/>
      <c r="L132" s="19"/>
      <c r="M132" s="19"/>
      <c r="N132" s="19"/>
      <c r="O132" s="19"/>
      <c r="P132" s="19"/>
      <c r="Q132" s="19"/>
    </row>
    <row r="133" spans="1:17" ht="15.75" customHeight="1">
      <c r="A133" s="19"/>
      <c r="B133" s="20"/>
      <c r="C133" s="20"/>
      <c r="D133" s="19"/>
      <c r="E133" s="19"/>
      <c r="F133" s="19"/>
      <c r="G133" s="19"/>
      <c r="H133" s="20"/>
      <c r="I133" s="19"/>
      <c r="J133" s="19"/>
      <c r="K133" s="19"/>
      <c r="L133" s="19"/>
      <c r="M133" s="19"/>
      <c r="N133" s="19"/>
      <c r="O133" s="19"/>
      <c r="P133" s="19"/>
      <c r="Q133" s="19"/>
    </row>
    <row r="134" spans="1:17" ht="15.75" customHeight="1">
      <c r="A134" s="19"/>
      <c r="B134" s="20"/>
      <c r="C134" s="20"/>
      <c r="D134" s="19"/>
      <c r="E134" s="19"/>
      <c r="F134" s="19"/>
      <c r="G134" s="19"/>
      <c r="H134" s="20"/>
      <c r="I134" s="19"/>
      <c r="J134" s="19"/>
      <c r="K134" s="19"/>
      <c r="L134" s="19"/>
      <c r="M134" s="19"/>
      <c r="N134" s="19"/>
      <c r="O134" s="19"/>
      <c r="P134" s="19"/>
      <c r="Q134" s="19"/>
    </row>
    <row r="135" spans="1:17" ht="15.75" customHeight="1">
      <c r="A135" s="19"/>
      <c r="B135" s="20"/>
      <c r="C135" s="20"/>
      <c r="D135" s="19"/>
      <c r="E135" s="19"/>
      <c r="F135" s="19"/>
      <c r="G135" s="19"/>
      <c r="H135" s="20"/>
      <c r="I135" s="19"/>
      <c r="J135" s="19"/>
      <c r="K135" s="19"/>
      <c r="L135" s="19"/>
      <c r="M135" s="19"/>
      <c r="N135" s="19"/>
      <c r="O135" s="19"/>
      <c r="P135" s="19"/>
      <c r="Q135" s="19"/>
    </row>
    <row r="136" spans="1:17" ht="15.75" customHeight="1">
      <c r="A136" s="19"/>
      <c r="B136" s="20"/>
      <c r="C136" s="20"/>
      <c r="D136" s="19"/>
      <c r="E136" s="19"/>
      <c r="F136" s="19"/>
      <c r="G136" s="19"/>
      <c r="H136" s="20"/>
      <c r="I136" s="19"/>
      <c r="J136" s="19"/>
      <c r="K136" s="19"/>
      <c r="L136" s="19"/>
      <c r="M136" s="19"/>
      <c r="N136" s="19"/>
      <c r="O136" s="19"/>
      <c r="P136" s="19"/>
      <c r="Q136" s="19"/>
    </row>
    <row r="137" spans="1:17" ht="15.75" customHeight="1">
      <c r="A137" s="19"/>
      <c r="B137" s="20"/>
      <c r="C137" s="20"/>
      <c r="D137" s="19"/>
      <c r="E137" s="19"/>
      <c r="F137" s="19"/>
      <c r="G137" s="19"/>
      <c r="H137" s="20"/>
      <c r="I137" s="19"/>
      <c r="J137" s="19"/>
      <c r="K137" s="19"/>
      <c r="L137" s="19"/>
      <c r="M137" s="19"/>
      <c r="N137" s="19"/>
      <c r="O137" s="19"/>
      <c r="P137" s="19"/>
      <c r="Q137" s="19"/>
    </row>
    <row r="138" spans="1:17" ht="15.75" customHeight="1">
      <c r="A138" s="19"/>
      <c r="B138" s="20"/>
      <c r="C138" s="20"/>
      <c r="D138" s="19"/>
      <c r="E138" s="19"/>
      <c r="F138" s="19"/>
      <c r="G138" s="19"/>
      <c r="H138" s="20"/>
      <c r="I138" s="19"/>
      <c r="J138" s="19"/>
      <c r="K138" s="19"/>
      <c r="L138" s="19"/>
      <c r="M138" s="19"/>
      <c r="N138" s="19"/>
      <c r="O138" s="19"/>
      <c r="P138" s="19"/>
      <c r="Q138" s="19"/>
    </row>
    <row r="139" spans="1:17" ht="15.75" customHeight="1">
      <c r="A139" s="19"/>
      <c r="B139" s="20"/>
      <c r="C139" s="20"/>
      <c r="D139" s="19"/>
      <c r="E139" s="19"/>
      <c r="F139" s="19"/>
      <c r="G139" s="19"/>
      <c r="H139" s="20"/>
      <c r="I139" s="19"/>
      <c r="J139" s="19"/>
      <c r="K139" s="19"/>
      <c r="L139" s="19"/>
      <c r="M139" s="19"/>
      <c r="N139" s="19"/>
      <c r="O139" s="19"/>
      <c r="P139" s="19"/>
      <c r="Q139" s="19"/>
    </row>
    <row r="140" spans="1:17" ht="15.75" customHeight="1">
      <c r="A140" s="19"/>
      <c r="B140" s="20"/>
      <c r="C140" s="20"/>
      <c r="D140" s="19"/>
      <c r="E140" s="19"/>
      <c r="F140" s="19"/>
      <c r="G140" s="19"/>
      <c r="H140" s="20"/>
      <c r="I140" s="19"/>
      <c r="J140" s="19"/>
      <c r="K140" s="19"/>
      <c r="L140" s="19"/>
      <c r="M140" s="19"/>
      <c r="N140" s="19"/>
      <c r="O140" s="19"/>
      <c r="P140" s="19"/>
      <c r="Q140" s="19"/>
    </row>
    <row r="141" spans="1:17" ht="15.75" customHeight="1">
      <c r="A141" s="19"/>
      <c r="B141" s="20"/>
      <c r="C141" s="20"/>
      <c r="D141" s="19"/>
      <c r="E141" s="19"/>
      <c r="F141" s="19"/>
      <c r="G141" s="19"/>
      <c r="H141" s="20"/>
      <c r="I141" s="19"/>
      <c r="J141" s="19"/>
      <c r="K141" s="19"/>
      <c r="L141" s="19"/>
      <c r="M141" s="19"/>
      <c r="N141" s="19"/>
      <c r="O141" s="19"/>
      <c r="P141" s="19"/>
      <c r="Q141" s="19"/>
    </row>
    <row r="142" spans="1:17" ht="15.75" customHeight="1">
      <c r="A142" s="19"/>
      <c r="B142" s="20"/>
      <c r="C142" s="20"/>
      <c r="D142" s="19"/>
      <c r="E142" s="19"/>
      <c r="F142" s="19"/>
      <c r="G142" s="19"/>
      <c r="H142" s="20"/>
      <c r="I142" s="19"/>
      <c r="J142" s="19"/>
      <c r="K142" s="19"/>
      <c r="L142" s="19"/>
      <c r="M142" s="19"/>
      <c r="N142" s="19"/>
      <c r="O142" s="19"/>
      <c r="P142" s="19"/>
      <c r="Q142" s="19"/>
    </row>
    <row r="143" spans="1:17" ht="15.75" customHeight="1">
      <c r="A143" s="19"/>
      <c r="B143" s="20"/>
      <c r="C143" s="20"/>
      <c r="D143" s="19"/>
      <c r="E143" s="19"/>
      <c r="F143" s="19"/>
      <c r="G143" s="19"/>
      <c r="H143" s="20"/>
      <c r="I143" s="19"/>
      <c r="J143" s="19"/>
      <c r="K143" s="19"/>
      <c r="L143" s="19"/>
      <c r="M143" s="19"/>
      <c r="N143" s="19"/>
      <c r="O143" s="19"/>
      <c r="P143" s="19"/>
      <c r="Q143" s="19"/>
    </row>
    <row r="144" spans="1:17" ht="15.75" customHeight="1">
      <c r="A144" s="19"/>
      <c r="B144" s="20"/>
      <c r="C144" s="20"/>
      <c r="D144" s="19"/>
      <c r="E144" s="19"/>
      <c r="F144" s="19"/>
      <c r="G144" s="19"/>
      <c r="H144" s="20"/>
      <c r="I144" s="19"/>
      <c r="J144" s="19"/>
      <c r="K144" s="19"/>
      <c r="L144" s="19"/>
      <c r="M144" s="19"/>
      <c r="N144" s="19"/>
      <c r="O144" s="19"/>
      <c r="P144" s="19"/>
      <c r="Q144" s="19"/>
    </row>
    <row r="145" spans="1:17" ht="15.75" customHeight="1">
      <c r="A145" s="19"/>
      <c r="B145" s="20"/>
      <c r="C145" s="20"/>
      <c r="D145" s="19"/>
      <c r="E145" s="19"/>
      <c r="F145" s="19"/>
      <c r="G145" s="19"/>
      <c r="H145" s="20"/>
      <c r="I145" s="19"/>
      <c r="J145" s="19"/>
      <c r="K145" s="19"/>
      <c r="L145" s="19"/>
      <c r="M145" s="19"/>
      <c r="N145" s="19"/>
      <c r="O145" s="19"/>
      <c r="P145" s="19"/>
      <c r="Q145" s="19"/>
    </row>
    <row r="146" spans="1:17" ht="15.75" customHeight="1">
      <c r="A146" s="19"/>
      <c r="B146" s="20"/>
      <c r="C146" s="20"/>
      <c r="D146" s="19"/>
      <c r="E146" s="19"/>
      <c r="F146" s="19"/>
      <c r="G146" s="19"/>
      <c r="H146" s="20"/>
      <c r="I146" s="19"/>
      <c r="J146" s="19"/>
      <c r="K146" s="19"/>
      <c r="L146" s="19"/>
      <c r="M146" s="19"/>
      <c r="N146" s="19"/>
      <c r="O146" s="19"/>
      <c r="P146" s="19"/>
      <c r="Q146" s="19"/>
    </row>
    <row r="147" spans="1:17" ht="15.75" customHeight="1">
      <c r="A147" s="19"/>
      <c r="B147" s="20"/>
      <c r="C147" s="20"/>
      <c r="D147" s="19"/>
      <c r="E147" s="19"/>
      <c r="F147" s="19"/>
      <c r="G147" s="19"/>
      <c r="H147" s="20"/>
      <c r="I147" s="19"/>
      <c r="J147" s="19"/>
      <c r="K147" s="19"/>
      <c r="L147" s="19"/>
      <c r="M147" s="19"/>
      <c r="N147" s="19"/>
      <c r="O147" s="19"/>
      <c r="P147" s="19"/>
      <c r="Q147" s="19"/>
    </row>
    <row r="148" spans="1:17" ht="15.75" customHeight="1">
      <c r="A148" s="19"/>
      <c r="B148" s="20"/>
      <c r="C148" s="20"/>
      <c r="D148" s="19"/>
      <c r="E148" s="19"/>
      <c r="F148" s="19"/>
      <c r="G148" s="19"/>
      <c r="H148" s="20"/>
      <c r="I148" s="19"/>
      <c r="J148" s="19"/>
      <c r="K148" s="19"/>
      <c r="L148" s="19"/>
      <c r="M148" s="19"/>
      <c r="N148" s="19"/>
      <c r="O148" s="19"/>
      <c r="P148" s="19"/>
      <c r="Q148" s="19"/>
    </row>
    <row r="149" spans="1:17" ht="15.75" customHeight="1">
      <c r="A149" s="19"/>
      <c r="B149" s="20"/>
      <c r="C149" s="20"/>
      <c r="D149" s="19"/>
      <c r="E149" s="19"/>
      <c r="F149" s="19"/>
      <c r="G149" s="19"/>
      <c r="H149" s="20"/>
      <c r="I149" s="19"/>
      <c r="J149" s="19"/>
      <c r="K149" s="19"/>
      <c r="L149" s="19"/>
      <c r="M149" s="19"/>
      <c r="N149" s="19"/>
      <c r="O149" s="19"/>
      <c r="P149" s="19"/>
      <c r="Q149" s="19"/>
    </row>
    <row r="150" spans="1:17" ht="15.75" customHeight="1">
      <c r="A150" s="19"/>
      <c r="B150" s="20"/>
      <c r="C150" s="20"/>
      <c r="D150" s="19"/>
      <c r="E150" s="19"/>
      <c r="F150" s="19"/>
      <c r="G150" s="19"/>
      <c r="H150" s="20"/>
      <c r="I150" s="19"/>
      <c r="J150" s="19"/>
      <c r="K150" s="19"/>
      <c r="L150" s="19"/>
      <c r="M150" s="19"/>
      <c r="N150" s="19"/>
      <c r="O150" s="19"/>
      <c r="P150" s="19"/>
      <c r="Q150" s="19"/>
    </row>
    <row r="151" spans="1:17" ht="15.75" customHeight="1">
      <c r="A151" s="19"/>
      <c r="B151" s="20"/>
      <c r="C151" s="20"/>
      <c r="D151" s="19"/>
      <c r="E151" s="19"/>
      <c r="F151" s="19"/>
      <c r="G151" s="19"/>
      <c r="H151" s="20"/>
      <c r="I151" s="19"/>
      <c r="J151" s="19"/>
      <c r="K151" s="19"/>
      <c r="L151" s="19"/>
      <c r="M151" s="19"/>
      <c r="N151" s="19"/>
      <c r="O151" s="19"/>
      <c r="P151" s="19"/>
      <c r="Q151" s="19"/>
    </row>
    <row r="152" spans="1:17" ht="15.75" customHeight="1">
      <c r="A152" s="19"/>
      <c r="B152" s="20"/>
      <c r="C152" s="20"/>
      <c r="D152" s="19"/>
      <c r="E152" s="19"/>
      <c r="F152" s="19"/>
      <c r="G152" s="19"/>
      <c r="H152" s="20"/>
      <c r="I152" s="19"/>
      <c r="J152" s="19"/>
      <c r="K152" s="19"/>
      <c r="L152" s="19"/>
      <c r="M152" s="19"/>
      <c r="N152" s="19"/>
      <c r="O152" s="19"/>
      <c r="P152" s="19"/>
      <c r="Q152" s="19"/>
    </row>
    <row r="153" spans="1:17" ht="15.75" customHeight="1">
      <c r="A153" s="19"/>
      <c r="B153" s="20"/>
      <c r="C153" s="20"/>
      <c r="D153" s="19"/>
      <c r="E153" s="19"/>
      <c r="F153" s="19"/>
      <c r="G153" s="19"/>
      <c r="H153" s="20"/>
      <c r="I153" s="19"/>
      <c r="J153" s="19"/>
      <c r="K153" s="19"/>
      <c r="L153" s="19"/>
      <c r="M153" s="19"/>
      <c r="N153" s="19"/>
      <c r="O153" s="19"/>
      <c r="P153" s="19"/>
      <c r="Q153" s="19"/>
    </row>
    <row r="154" spans="1:17" ht="15.75" customHeight="1">
      <c r="A154" s="19"/>
      <c r="B154" s="20"/>
      <c r="C154" s="20"/>
      <c r="D154" s="19"/>
      <c r="E154" s="19"/>
      <c r="F154" s="19"/>
      <c r="G154" s="19"/>
      <c r="H154" s="20"/>
      <c r="I154" s="19"/>
      <c r="J154" s="19"/>
      <c r="K154" s="19"/>
      <c r="L154" s="19"/>
      <c r="M154" s="19"/>
      <c r="N154" s="19"/>
      <c r="O154" s="19"/>
      <c r="P154" s="19"/>
      <c r="Q154" s="19"/>
    </row>
    <row r="155" spans="1:17" ht="15.75" customHeight="1">
      <c r="A155" s="19"/>
      <c r="B155" s="20"/>
      <c r="C155" s="20"/>
      <c r="D155" s="19"/>
      <c r="E155" s="19"/>
      <c r="F155" s="19"/>
      <c r="G155" s="19"/>
      <c r="H155" s="20"/>
      <c r="I155" s="19"/>
      <c r="J155" s="19"/>
      <c r="K155" s="19"/>
      <c r="L155" s="19"/>
      <c r="M155" s="19"/>
      <c r="N155" s="19"/>
      <c r="O155" s="19"/>
      <c r="P155" s="19"/>
      <c r="Q155" s="19"/>
    </row>
    <row r="156" spans="1:17" ht="15.75" customHeight="1">
      <c r="A156" s="19"/>
      <c r="B156" s="20"/>
      <c r="C156" s="20"/>
      <c r="D156" s="19"/>
      <c r="E156" s="19"/>
      <c r="F156" s="19"/>
      <c r="G156" s="19"/>
      <c r="H156" s="20"/>
      <c r="I156" s="19"/>
      <c r="J156" s="19"/>
      <c r="K156" s="19"/>
      <c r="L156" s="19"/>
      <c r="M156" s="19"/>
      <c r="N156" s="19"/>
      <c r="O156" s="19"/>
      <c r="P156" s="19"/>
      <c r="Q156" s="19"/>
    </row>
    <row r="157" spans="1:17" ht="15.75" customHeight="1">
      <c r="A157" s="19"/>
      <c r="B157" s="20"/>
      <c r="C157" s="20"/>
      <c r="D157" s="19"/>
      <c r="E157" s="19"/>
      <c r="F157" s="19"/>
      <c r="G157" s="19"/>
      <c r="H157" s="20"/>
      <c r="I157" s="19"/>
      <c r="J157" s="19"/>
      <c r="K157" s="19"/>
      <c r="L157" s="19"/>
      <c r="M157" s="19"/>
      <c r="N157" s="19"/>
      <c r="O157" s="19"/>
      <c r="P157" s="19"/>
      <c r="Q157" s="19"/>
    </row>
    <row r="158" spans="1:17" ht="15.75" customHeight="1">
      <c r="A158" s="19"/>
      <c r="B158" s="20"/>
      <c r="C158" s="20"/>
      <c r="D158" s="19"/>
      <c r="E158" s="19"/>
      <c r="F158" s="19"/>
      <c r="G158" s="19"/>
      <c r="H158" s="20"/>
      <c r="I158" s="19"/>
      <c r="J158" s="19"/>
      <c r="K158" s="19"/>
      <c r="L158" s="19"/>
      <c r="M158" s="19"/>
      <c r="N158" s="19"/>
      <c r="O158" s="19"/>
      <c r="P158" s="19"/>
      <c r="Q158" s="19"/>
    </row>
    <row r="159" spans="1:17" ht="15.75" customHeight="1">
      <c r="A159" s="19"/>
      <c r="B159" s="20"/>
      <c r="C159" s="20"/>
      <c r="D159" s="19"/>
      <c r="E159" s="19"/>
      <c r="F159" s="19"/>
      <c r="G159" s="19"/>
      <c r="H159" s="20"/>
      <c r="I159" s="19"/>
      <c r="J159" s="19"/>
      <c r="K159" s="19"/>
      <c r="L159" s="19"/>
      <c r="M159" s="19"/>
      <c r="N159" s="19"/>
      <c r="O159" s="19"/>
      <c r="P159" s="19"/>
      <c r="Q159" s="19"/>
    </row>
    <row r="160" spans="1:17" ht="15.75" customHeight="1">
      <c r="A160" s="19"/>
      <c r="B160" s="20"/>
      <c r="C160" s="20"/>
      <c r="D160" s="19"/>
      <c r="E160" s="19"/>
      <c r="F160" s="19"/>
      <c r="G160" s="19"/>
      <c r="H160" s="20"/>
      <c r="I160" s="19"/>
      <c r="J160" s="19"/>
      <c r="K160" s="19"/>
      <c r="L160" s="19"/>
      <c r="M160" s="19"/>
      <c r="N160" s="19"/>
      <c r="O160" s="19"/>
      <c r="P160" s="19"/>
      <c r="Q160" s="19"/>
    </row>
    <row r="161" spans="1:17" ht="15.75" customHeight="1">
      <c r="A161" s="19"/>
      <c r="B161" s="20"/>
      <c r="C161" s="20"/>
      <c r="D161" s="19"/>
      <c r="E161" s="19"/>
      <c r="F161" s="19"/>
      <c r="G161" s="19"/>
      <c r="H161" s="20"/>
      <c r="I161" s="19"/>
      <c r="J161" s="19"/>
      <c r="K161" s="19"/>
      <c r="L161" s="19"/>
      <c r="M161" s="19"/>
      <c r="N161" s="19"/>
      <c r="O161" s="19"/>
      <c r="P161" s="19"/>
      <c r="Q161" s="19"/>
    </row>
    <row r="162" spans="1:17" ht="15.75" customHeight="1">
      <c r="A162" s="19"/>
      <c r="B162" s="20"/>
      <c r="C162" s="20"/>
      <c r="D162" s="19"/>
      <c r="E162" s="19"/>
      <c r="F162" s="19"/>
      <c r="G162" s="19"/>
      <c r="H162" s="20"/>
      <c r="I162" s="19"/>
      <c r="J162" s="19"/>
      <c r="K162" s="19"/>
      <c r="L162" s="19"/>
      <c r="M162" s="19"/>
      <c r="N162" s="19"/>
      <c r="O162" s="19"/>
      <c r="P162" s="19"/>
      <c r="Q162" s="19"/>
    </row>
    <row r="163" spans="1:17" ht="15.75" customHeight="1">
      <c r="A163" s="19"/>
      <c r="B163" s="20"/>
      <c r="C163" s="20"/>
      <c r="D163" s="19"/>
      <c r="E163" s="19"/>
      <c r="F163" s="19"/>
      <c r="G163" s="19"/>
      <c r="H163" s="20"/>
      <c r="I163" s="19"/>
      <c r="J163" s="19"/>
      <c r="K163" s="19"/>
      <c r="L163" s="19"/>
      <c r="M163" s="19"/>
      <c r="N163" s="19"/>
      <c r="O163" s="19"/>
      <c r="P163" s="19"/>
      <c r="Q163" s="19"/>
    </row>
    <row r="164" spans="1:17" ht="15.75" customHeight="1">
      <c r="A164" s="19"/>
      <c r="B164" s="20"/>
      <c r="C164" s="20"/>
      <c r="D164" s="19"/>
      <c r="E164" s="19"/>
      <c r="F164" s="19"/>
      <c r="G164" s="19"/>
      <c r="H164" s="20"/>
      <c r="I164" s="19"/>
      <c r="J164" s="19"/>
      <c r="K164" s="19"/>
      <c r="L164" s="19"/>
      <c r="M164" s="19"/>
      <c r="N164" s="19"/>
      <c r="O164" s="19"/>
      <c r="P164" s="19"/>
      <c r="Q164" s="19"/>
    </row>
    <row r="165" spans="1:17" ht="15.75" customHeight="1">
      <c r="A165" s="19"/>
      <c r="B165" s="20"/>
      <c r="C165" s="20"/>
      <c r="D165" s="19"/>
      <c r="E165" s="19"/>
      <c r="F165" s="19"/>
      <c r="G165" s="19"/>
      <c r="H165" s="20"/>
      <c r="I165" s="19"/>
      <c r="J165" s="19"/>
      <c r="K165" s="19"/>
      <c r="L165" s="19"/>
      <c r="M165" s="19"/>
      <c r="N165" s="19"/>
      <c r="O165" s="19"/>
      <c r="P165" s="19"/>
      <c r="Q165" s="19"/>
    </row>
    <row r="166" spans="1:17" ht="15.75" customHeight="1">
      <c r="A166" s="19"/>
      <c r="B166" s="20"/>
      <c r="C166" s="20"/>
      <c r="D166" s="19"/>
      <c r="E166" s="19"/>
      <c r="F166" s="19"/>
      <c r="G166" s="19"/>
      <c r="H166" s="20"/>
      <c r="I166" s="19"/>
      <c r="J166" s="19"/>
      <c r="K166" s="19"/>
      <c r="L166" s="19"/>
      <c r="M166" s="19"/>
      <c r="N166" s="19"/>
      <c r="O166" s="19"/>
      <c r="P166" s="19"/>
      <c r="Q166" s="19"/>
    </row>
    <row r="167" spans="1:17" ht="15.75" customHeight="1">
      <c r="A167" s="19"/>
      <c r="B167" s="20"/>
      <c r="C167" s="20"/>
      <c r="D167" s="19"/>
      <c r="E167" s="19"/>
      <c r="F167" s="19"/>
      <c r="G167" s="19"/>
      <c r="H167" s="20"/>
      <c r="I167" s="19"/>
      <c r="J167" s="19"/>
      <c r="K167" s="19"/>
      <c r="L167" s="19"/>
      <c r="M167" s="19"/>
      <c r="N167" s="19"/>
      <c r="O167" s="19"/>
      <c r="P167" s="19"/>
      <c r="Q167" s="19"/>
    </row>
    <row r="168" spans="1:17" ht="15.75" customHeight="1">
      <c r="A168" s="19"/>
      <c r="B168" s="20"/>
      <c r="C168" s="20"/>
      <c r="D168" s="19"/>
      <c r="E168" s="19"/>
      <c r="F168" s="19"/>
      <c r="G168" s="19"/>
      <c r="H168" s="20"/>
      <c r="I168" s="19"/>
      <c r="J168" s="19"/>
      <c r="K168" s="19"/>
      <c r="L168" s="19"/>
      <c r="M168" s="19"/>
      <c r="N168" s="19"/>
      <c r="O168" s="19"/>
      <c r="P168" s="19"/>
      <c r="Q168" s="19"/>
    </row>
    <row r="169" spans="1:17" ht="15.75" customHeight="1">
      <c r="A169" s="19"/>
      <c r="B169" s="20"/>
      <c r="C169" s="20"/>
      <c r="D169" s="19"/>
      <c r="E169" s="19"/>
      <c r="F169" s="19"/>
      <c r="G169" s="19"/>
      <c r="H169" s="20"/>
      <c r="I169" s="19"/>
      <c r="J169" s="19"/>
      <c r="K169" s="19"/>
      <c r="L169" s="19"/>
      <c r="M169" s="19"/>
      <c r="N169" s="19"/>
      <c r="O169" s="19"/>
      <c r="P169" s="19"/>
      <c r="Q169" s="19"/>
    </row>
    <row r="170" spans="1:17" ht="15.75" customHeight="1">
      <c r="A170" s="19"/>
      <c r="B170" s="20"/>
      <c r="C170" s="20"/>
      <c r="D170" s="19"/>
      <c r="E170" s="19"/>
      <c r="F170" s="19"/>
      <c r="G170" s="19"/>
      <c r="H170" s="20"/>
      <c r="I170" s="19"/>
      <c r="J170" s="19"/>
      <c r="K170" s="19"/>
      <c r="L170" s="19"/>
      <c r="M170" s="19"/>
      <c r="N170" s="19"/>
      <c r="O170" s="19"/>
      <c r="P170" s="19"/>
      <c r="Q170" s="19"/>
    </row>
    <row r="171" spans="1:17" ht="15.75" customHeight="1">
      <c r="A171" s="19"/>
      <c r="B171" s="20"/>
      <c r="C171" s="20"/>
      <c r="D171" s="19"/>
      <c r="E171" s="19"/>
      <c r="F171" s="19"/>
      <c r="G171" s="19"/>
      <c r="H171" s="20"/>
      <c r="I171" s="19"/>
      <c r="J171" s="19"/>
      <c r="K171" s="19"/>
      <c r="L171" s="19"/>
      <c r="M171" s="19"/>
      <c r="N171" s="19"/>
      <c r="O171" s="19"/>
      <c r="P171" s="19"/>
      <c r="Q171" s="19"/>
    </row>
    <row r="172" spans="1:17" ht="15.75" customHeight="1">
      <c r="A172" s="19"/>
      <c r="B172" s="20"/>
      <c r="C172" s="20"/>
      <c r="D172" s="19"/>
      <c r="E172" s="19"/>
      <c r="F172" s="19"/>
      <c r="G172" s="19"/>
      <c r="H172" s="20"/>
      <c r="I172" s="19"/>
      <c r="J172" s="19"/>
      <c r="K172" s="19"/>
      <c r="L172" s="19"/>
      <c r="M172" s="19"/>
      <c r="N172" s="19"/>
      <c r="O172" s="19"/>
      <c r="P172" s="19"/>
      <c r="Q172" s="19"/>
    </row>
    <row r="173" spans="1:17" ht="15.75" customHeight="1">
      <c r="A173" s="19"/>
      <c r="B173" s="20"/>
      <c r="C173" s="20"/>
      <c r="D173" s="19"/>
      <c r="E173" s="19"/>
      <c r="F173" s="19"/>
      <c r="G173" s="19"/>
      <c r="H173" s="20"/>
      <c r="I173" s="19"/>
      <c r="J173" s="19"/>
      <c r="K173" s="19"/>
      <c r="L173" s="19"/>
      <c r="M173" s="19"/>
      <c r="N173" s="19"/>
      <c r="O173" s="19"/>
      <c r="P173" s="19"/>
      <c r="Q173" s="19"/>
    </row>
    <row r="174" spans="1:17" ht="15.75" customHeight="1">
      <c r="A174" s="19"/>
      <c r="B174" s="20"/>
      <c r="C174" s="20"/>
      <c r="D174" s="19"/>
      <c r="E174" s="19"/>
      <c r="F174" s="19"/>
      <c r="G174" s="19"/>
      <c r="H174" s="20"/>
      <c r="I174" s="19"/>
      <c r="J174" s="19"/>
      <c r="K174" s="19"/>
      <c r="L174" s="19"/>
      <c r="M174" s="19"/>
      <c r="N174" s="19"/>
      <c r="O174" s="19"/>
      <c r="P174" s="19"/>
      <c r="Q174" s="19"/>
    </row>
    <row r="175" spans="1:17" ht="15.75" customHeight="1">
      <c r="A175" s="19"/>
      <c r="B175" s="20"/>
      <c r="C175" s="20"/>
      <c r="D175" s="19"/>
      <c r="E175" s="19"/>
      <c r="F175" s="19"/>
      <c r="G175" s="19"/>
      <c r="H175" s="20"/>
      <c r="I175" s="19"/>
      <c r="J175" s="19"/>
      <c r="K175" s="19"/>
      <c r="L175" s="19"/>
      <c r="M175" s="19"/>
      <c r="N175" s="19"/>
      <c r="O175" s="19"/>
      <c r="P175" s="19"/>
      <c r="Q175" s="19"/>
    </row>
    <row r="176" spans="1:17" ht="15.75" customHeight="1">
      <c r="A176" s="19"/>
      <c r="B176" s="20"/>
      <c r="C176" s="20"/>
      <c r="D176" s="19"/>
      <c r="E176" s="19"/>
      <c r="F176" s="19"/>
      <c r="G176" s="19"/>
      <c r="H176" s="20"/>
      <c r="I176" s="19"/>
      <c r="J176" s="19"/>
      <c r="K176" s="19"/>
      <c r="L176" s="19"/>
      <c r="M176" s="19"/>
      <c r="N176" s="19"/>
      <c r="O176" s="19"/>
      <c r="P176" s="19"/>
      <c r="Q176" s="19"/>
    </row>
    <row r="177" spans="1:17" ht="15.75" customHeight="1">
      <c r="A177" s="19"/>
      <c r="B177" s="20"/>
      <c r="C177" s="20"/>
      <c r="D177" s="19"/>
      <c r="E177" s="19"/>
      <c r="F177" s="19"/>
      <c r="G177" s="19"/>
      <c r="H177" s="20"/>
      <c r="I177" s="19"/>
      <c r="J177" s="19"/>
      <c r="K177" s="19"/>
      <c r="L177" s="19"/>
      <c r="M177" s="19"/>
      <c r="N177" s="19"/>
      <c r="O177" s="19"/>
      <c r="P177" s="19"/>
      <c r="Q177" s="19"/>
    </row>
    <row r="178" spans="1:17" ht="15.75" customHeight="1">
      <c r="A178" s="19"/>
      <c r="B178" s="20"/>
      <c r="C178" s="20"/>
      <c r="D178" s="19"/>
      <c r="E178" s="19"/>
      <c r="F178" s="19"/>
      <c r="G178" s="19"/>
      <c r="H178" s="20"/>
      <c r="I178" s="19"/>
      <c r="J178" s="19"/>
      <c r="K178" s="19"/>
      <c r="L178" s="19"/>
      <c r="M178" s="19"/>
      <c r="N178" s="19"/>
      <c r="O178" s="19"/>
      <c r="P178" s="19"/>
      <c r="Q178" s="19"/>
    </row>
    <row r="179" spans="1:17" ht="15.75" customHeight="1">
      <c r="A179" s="19"/>
      <c r="B179" s="20"/>
      <c r="C179" s="20"/>
      <c r="D179" s="19"/>
      <c r="E179" s="19"/>
      <c r="F179" s="19"/>
      <c r="G179" s="19"/>
      <c r="H179" s="20"/>
      <c r="I179" s="19"/>
      <c r="J179" s="19"/>
      <c r="K179" s="19"/>
      <c r="L179" s="19"/>
      <c r="M179" s="19"/>
      <c r="N179" s="19"/>
      <c r="O179" s="19"/>
      <c r="P179" s="19"/>
      <c r="Q179" s="19"/>
    </row>
    <row r="180" spans="1:17" ht="15.75" customHeight="1">
      <c r="A180" s="19"/>
      <c r="B180" s="20"/>
      <c r="C180" s="20"/>
      <c r="D180" s="19"/>
      <c r="E180" s="19"/>
      <c r="F180" s="19"/>
      <c r="G180" s="19"/>
      <c r="H180" s="20"/>
      <c r="I180" s="19"/>
      <c r="J180" s="19"/>
      <c r="K180" s="19"/>
      <c r="L180" s="19"/>
      <c r="M180" s="19"/>
      <c r="N180" s="19"/>
      <c r="O180" s="19"/>
      <c r="P180" s="19"/>
      <c r="Q180" s="19"/>
    </row>
    <row r="181" spans="1:17" ht="15.75" customHeight="1">
      <c r="A181" s="19"/>
      <c r="B181" s="20"/>
      <c r="C181" s="20"/>
      <c r="D181" s="19"/>
      <c r="E181" s="19"/>
      <c r="F181" s="19"/>
      <c r="G181" s="19"/>
      <c r="H181" s="20"/>
      <c r="I181" s="19"/>
      <c r="J181" s="19"/>
      <c r="K181" s="19"/>
      <c r="L181" s="19"/>
      <c r="M181" s="19"/>
      <c r="N181" s="19"/>
      <c r="O181" s="19"/>
      <c r="P181" s="19"/>
      <c r="Q181" s="19"/>
    </row>
    <row r="182" spans="1:17" ht="15.75" customHeight="1">
      <c r="A182" s="19"/>
      <c r="B182" s="20"/>
      <c r="C182" s="20"/>
      <c r="D182" s="19"/>
      <c r="E182" s="19"/>
      <c r="F182" s="19"/>
      <c r="G182" s="19"/>
      <c r="H182" s="20"/>
      <c r="I182" s="19"/>
      <c r="J182" s="19"/>
      <c r="K182" s="19"/>
      <c r="L182" s="19"/>
      <c r="M182" s="19"/>
      <c r="N182" s="19"/>
      <c r="O182" s="19"/>
      <c r="P182" s="19"/>
      <c r="Q182" s="19"/>
    </row>
    <row r="183" spans="1:17" ht="15.75" customHeight="1">
      <c r="A183" s="19"/>
      <c r="B183" s="20"/>
      <c r="C183" s="20"/>
      <c r="D183" s="19"/>
      <c r="E183" s="19"/>
      <c r="F183" s="19"/>
      <c r="G183" s="19"/>
      <c r="H183" s="20"/>
      <c r="I183" s="19"/>
      <c r="J183" s="19"/>
      <c r="K183" s="19"/>
      <c r="L183" s="19"/>
      <c r="M183" s="19"/>
      <c r="N183" s="19"/>
      <c r="O183" s="19"/>
      <c r="P183" s="19"/>
      <c r="Q183" s="19"/>
    </row>
    <row r="184" spans="1:17" ht="15.75" customHeight="1">
      <c r="A184" s="19"/>
      <c r="B184" s="20"/>
      <c r="C184" s="20"/>
      <c r="D184" s="19"/>
      <c r="E184" s="19"/>
      <c r="F184" s="19"/>
      <c r="G184" s="19"/>
      <c r="H184" s="20"/>
      <c r="I184" s="19"/>
      <c r="J184" s="19"/>
      <c r="K184" s="19"/>
      <c r="L184" s="19"/>
      <c r="M184" s="19"/>
      <c r="N184" s="19"/>
      <c r="O184" s="19"/>
      <c r="P184" s="19"/>
      <c r="Q184" s="19"/>
    </row>
    <row r="185" spans="1:17" ht="15.75" customHeight="1">
      <c r="A185" s="19"/>
      <c r="B185" s="20"/>
      <c r="C185" s="20"/>
      <c r="D185" s="19"/>
      <c r="E185" s="19"/>
      <c r="F185" s="19"/>
      <c r="G185" s="19"/>
      <c r="H185" s="20"/>
      <c r="I185" s="19"/>
      <c r="J185" s="19"/>
      <c r="K185" s="19"/>
      <c r="L185" s="19"/>
      <c r="M185" s="19"/>
      <c r="N185" s="19"/>
      <c r="O185" s="19"/>
      <c r="P185" s="19"/>
      <c r="Q185" s="19"/>
    </row>
    <row r="186" spans="1:17" ht="15.75" customHeight="1">
      <c r="A186" s="19"/>
      <c r="B186" s="20"/>
      <c r="C186" s="20"/>
      <c r="D186" s="19"/>
      <c r="E186" s="19"/>
      <c r="F186" s="19"/>
      <c r="G186" s="19"/>
      <c r="H186" s="20"/>
      <c r="I186" s="19"/>
      <c r="J186" s="19"/>
      <c r="K186" s="19"/>
      <c r="L186" s="19"/>
      <c r="M186" s="19"/>
      <c r="N186" s="19"/>
      <c r="O186" s="19"/>
      <c r="P186" s="19"/>
      <c r="Q186" s="19"/>
    </row>
    <row r="187" spans="1:17" ht="15.75" customHeight="1">
      <c r="A187" s="19"/>
      <c r="B187" s="20"/>
      <c r="C187" s="20"/>
      <c r="D187" s="19"/>
      <c r="E187" s="19"/>
      <c r="F187" s="19"/>
      <c r="G187" s="19"/>
      <c r="H187" s="20"/>
      <c r="I187" s="19"/>
      <c r="J187" s="19"/>
      <c r="K187" s="19"/>
      <c r="L187" s="19"/>
      <c r="M187" s="19"/>
      <c r="N187" s="19"/>
      <c r="O187" s="19"/>
      <c r="P187" s="19"/>
      <c r="Q187" s="19"/>
    </row>
    <row r="188" spans="1:17" ht="15.75" customHeight="1">
      <c r="A188" s="19"/>
      <c r="B188" s="20"/>
      <c r="C188" s="20"/>
      <c r="D188" s="19"/>
      <c r="E188" s="19"/>
      <c r="F188" s="19"/>
      <c r="G188" s="19"/>
      <c r="H188" s="20"/>
      <c r="I188" s="19"/>
      <c r="J188" s="19"/>
      <c r="K188" s="19"/>
      <c r="L188" s="19"/>
      <c r="M188" s="19"/>
      <c r="N188" s="19"/>
      <c r="O188" s="19"/>
      <c r="P188" s="19"/>
      <c r="Q188" s="19"/>
    </row>
    <row r="189" spans="1:17" ht="15.75" customHeight="1">
      <c r="A189" s="19"/>
      <c r="B189" s="20"/>
      <c r="C189" s="20"/>
      <c r="D189" s="19"/>
      <c r="E189" s="19"/>
      <c r="F189" s="19"/>
      <c r="G189" s="19"/>
      <c r="H189" s="20"/>
      <c r="I189" s="19"/>
      <c r="J189" s="19"/>
      <c r="K189" s="19"/>
      <c r="L189" s="19"/>
      <c r="M189" s="19"/>
      <c r="N189" s="19"/>
      <c r="O189" s="19"/>
      <c r="P189" s="19"/>
      <c r="Q189" s="19"/>
    </row>
    <row r="190" spans="1:17" ht="15.75" customHeight="1">
      <c r="A190" s="19"/>
      <c r="B190" s="20"/>
      <c r="C190" s="20"/>
      <c r="D190" s="19"/>
      <c r="E190" s="19"/>
      <c r="F190" s="19"/>
      <c r="G190" s="19"/>
      <c r="H190" s="20"/>
      <c r="I190" s="19"/>
      <c r="J190" s="19"/>
      <c r="K190" s="19"/>
      <c r="L190" s="19"/>
      <c r="M190" s="19"/>
      <c r="N190" s="19"/>
      <c r="O190" s="19"/>
      <c r="P190" s="19"/>
      <c r="Q190" s="19"/>
    </row>
    <row r="191" spans="1:17" ht="15.75" customHeight="1">
      <c r="A191" s="19"/>
      <c r="B191" s="20"/>
      <c r="C191" s="20"/>
      <c r="D191" s="19"/>
      <c r="E191" s="19"/>
      <c r="F191" s="19"/>
      <c r="G191" s="19"/>
      <c r="H191" s="20"/>
      <c r="I191" s="19"/>
      <c r="J191" s="19"/>
      <c r="K191" s="19"/>
      <c r="L191" s="19"/>
      <c r="M191" s="19"/>
      <c r="N191" s="19"/>
      <c r="O191" s="19"/>
      <c r="P191" s="19"/>
      <c r="Q191" s="19"/>
    </row>
    <row r="192" spans="1:17" ht="15.75" customHeight="1">
      <c r="A192" s="19"/>
      <c r="B192" s="20"/>
      <c r="C192" s="20"/>
      <c r="D192" s="19"/>
      <c r="E192" s="19"/>
      <c r="F192" s="19"/>
      <c r="G192" s="19"/>
      <c r="H192" s="20"/>
      <c r="I192" s="19"/>
      <c r="J192" s="19"/>
      <c r="K192" s="19"/>
      <c r="L192" s="19"/>
      <c r="M192" s="19"/>
      <c r="N192" s="19"/>
      <c r="O192" s="19"/>
      <c r="P192" s="19"/>
      <c r="Q192" s="19"/>
    </row>
    <row r="193" spans="1:17" ht="15.75" customHeight="1">
      <c r="A193" s="19"/>
      <c r="B193" s="20"/>
      <c r="C193" s="20"/>
      <c r="D193" s="19"/>
      <c r="E193" s="19"/>
      <c r="F193" s="19"/>
      <c r="G193" s="19"/>
      <c r="H193" s="20"/>
      <c r="I193" s="19"/>
      <c r="J193" s="19"/>
      <c r="K193" s="19"/>
      <c r="L193" s="19"/>
      <c r="M193" s="19"/>
      <c r="N193" s="19"/>
      <c r="O193" s="19"/>
      <c r="P193" s="19"/>
      <c r="Q193" s="19"/>
    </row>
    <row r="194" spans="1:17" ht="15.75" customHeight="1">
      <c r="A194" s="19"/>
      <c r="B194" s="20"/>
      <c r="C194" s="20"/>
      <c r="D194" s="19"/>
      <c r="E194" s="19"/>
      <c r="F194" s="19"/>
      <c r="G194" s="19"/>
      <c r="H194" s="20"/>
      <c r="I194" s="19"/>
      <c r="J194" s="19"/>
      <c r="K194" s="19"/>
      <c r="L194" s="19"/>
      <c r="M194" s="19"/>
      <c r="N194" s="19"/>
      <c r="O194" s="19"/>
      <c r="P194" s="19"/>
      <c r="Q194" s="19"/>
    </row>
    <row r="195" spans="1:17" ht="15.75" customHeight="1">
      <c r="A195" s="19"/>
      <c r="B195" s="20"/>
      <c r="C195" s="20"/>
      <c r="D195" s="19"/>
      <c r="E195" s="19"/>
      <c r="F195" s="19"/>
      <c r="G195" s="19"/>
      <c r="H195" s="20"/>
      <c r="I195" s="19"/>
      <c r="J195" s="19"/>
      <c r="K195" s="19"/>
      <c r="L195" s="19"/>
      <c r="M195" s="19"/>
      <c r="N195" s="19"/>
      <c r="O195" s="19"/>
      <c r="P195" s="19"/>
      <c r="Q195" s="19"/>
    </row>
    <row r="196" spans="1:17" ht="15.75" customHeight="1">
      <c r="A196" s="19"/>
      <c r="B196" s="20"/>
      <c r="C196" s="20"/>
      <c r="D196" s="19"/>
      <c r="E196" s="19"/>
      <c r="F196" s="19"/>
      <c r="G196" s="19"/>
      <c r="H196" s="20"/>
      <c r="I196" s="19"/>
      <c r="J196" s="19"/>
      <c r="K196" s="19"/>
      <c r="L196" s="19"/>
      <c r="M196" s="19"/>
      <c r="N196" s="19"/>
      <c r="O196" s="19"/>
      <c r="P196" s="19"/>
      <c r="Q196" s="19"/>
    </row>
    <row r="197" spans="1:17" ht="15.75" customHeight="1">
      <c r="A197" s="19"/>
      <c r="B197" s="20"/>
      <c r="C197" s="20"/>
      <c r="D197" s="19"/>
      <c r="E197" s="19"/>
      <c r="F197" s="19"/>
      <c r="G197" s="19"/>
      <c r="H197" s="20"/>
      <c r="I197" s="19"/>
      <c r="J197" s="19"/>
      <c r="K197" s="19"/>
      <c r="L197" s="19"/>
      <c r="M197" s="19"/>
      <c r="N197" s="19"/>
      <c r="O197" s="19"/>
      <c r="P197" s="19"/>
      <c r="Q197" s="19"/>
    </row>
    <row r="198" spans="1:17" ht="15.75" customHeight="1">
      <c r="A198" s="19"/>
      <c r="B198" s="20"/>
      <c r="C198" s="20"/>
      <c r="D198" s="19"/>
      <c r="E198" s="19"/>
      <c r="F198" s="19"/>
      <c r="G198" s="19"/>
      <c r="H198" s="20"/>
      <c r="I198" s="19"/>
      <c r="J198" s="19"/>
      <c r="K198" s="19"/>
      <c r="L198" s="19"/>
      <c r="M198" s="19"/>
      <c r="N198" s="19"/>
      <c r="O198" s="19"/>
      <c r="P198" s="19"/>
      <c r="Q198" s="19"/>
    </row>
    <row r="199" spans="1:17" ht="15.75" customHeight="1">
      <c r="A199" s="19"/>
      <c r="B199" s="20"/>
      <c r="C199" s="20"/>
      <c r="D199" s="19"/>
      <c r="E199" s="19"/>
      <c r="F199" s="19"/>
      <c r="G199" s="19"/>
      <c r="H199" s="20"/>
      <c r="I199" s="19"/>
      <c r="J199" s="19"/>
      <c r="K199" s="19"/>
      <c r="L199" s="19"/>
      <c r="M199" s="19"/>
      <c r="N199" s="19"/>
      <c r="O199" s="19"/>
      <c r="P199" s="19"/>
      <c r="Q199" s="19"/>
    </row>
    <row r="200" spans="1:17" ht="15.75" customHeight="1">
      <c r="A200" s="19"/>
      <c r="B200" s="20"/>
      <c r="C200" s="20"/>
      <c r="D200" s="19"/>
      <c r="E200" s="19"/>
      <c r="F200" s="19"/>
      <c r="G200" s="19"/>
      <c r="H200" s="20"/>
      <c r="I200" s="19"/>
      <c r="J200" s="19"/>
      <c r="K200" s="19"/>
      <c r="L200" s="19"/>
      <c r="M200" s="19"/>
      <c r="N200" s="19"/>
      <c r="O200" s="19"/>
      <c r="P200" s="19"/>
      <c r="Q200" s="19"/>
    </row>
    <row r="201" spans="1:17" ht="15.75" customHeight="1">
      <c r="A201" s="19"/>
      <c r="B201" s="20"/>
      <c r="C201" s="20"/>
      <c r="D201" s="19"/>
      <c r="E201" s="19"/>
      <c r="F201" s="19"/>
      <c r="G201" s="19"/>
      <c r="H201" s="20"/>
      <c r="I201" s="19"/>
      <c r="J201" s="19"/>
      <c r="K201" s="19"/>
      <c r="L201" s="19"/>
      <c r="M201" s="19"/>
      <c r="N201" s="19"/>
      <c r="O201" s="19"/>
      <c r="P201" s="19"/>
      <c r="Q201" s="19"/>
    </row>
    <row r="202" spans="1:17" ht="15.75" customHeight="1">
      <c r="A202" s="19"/>
      <c r="B202" s="20"/>
      <c r="C202" s="20"/>
      <c r="D202" s="19"/>
      <c r="E202" s="19"/>
      <c r="F202" s="19"/>
      <c r="G202" s="19"/>
      <c r="H202" s="20"/>
      <c r="I202" s="19"/>
      <c r="J202" s="19"/>
      <c r="K202" s="19"/>
      <c r="L202" s="19"/>
      <c r="M202" s="19"/>
      <c r="N202" s="19"/>
      <c r="O202" s="19"/>
      <c r="P202" s="19"/>
      <c r="Q202" s="19"/>
    </row>
    <row r="203" spans="1:17" ht="15.75" customHeight="1">
      <c r="A203" s="19"/>
      <c r="B203" s="20"/>
      <c r="C203" s="20"/>
      <c r="D203" s="19"/>
      <c r="E203" s="19"/>
      <c r="F203" s="19"/>
      <c r="G203" s="19"/>
      <c r="H203" s="20"/>
      <c r="I203" s="19"/>
      <c r="J203" s="19"/>
      <c r="K203" s="19"/>
      <c r="L203" s="19"/>
      <c r="M203" s="19"/>
      <c r="N203" s="19"/>
      <c r="O203" s="19"/>
      <c r="P203" s="19"/>
      <c r="Q203" s="19"/>
    </row>
    <row r="204" spans="1:17" ht="15.75" customHeight="1">
      <c r="A204" s="19"/>
      <c r="B204" s="20"/>
      <c r="C204" s="20"/>
      <c r="D204" s="19"/>
      <c r="E204" s="19"/>
      <c r="F204" s="19"/>
      <c r="G204" s="19"/>
      <c r="H204" s="20"/>
      <c r="I204" s="19"/>
      <c r="J204" s="19"/>
      <c r="K204" s="19"/>
      <c r="L204" s="19"/>
      <c r="M204" s="19"/>
      <c r="N204" s="19"/>
      <c r="O204" s="19"/>
      <c r="P204" s="19"/>
      <c r="Q204" s="19"/>
    </row>
    <row r="205" spans="1:17" ht="15.75" customHeight="1">
      <c r="A205" s="19"/>
      <c r="B205" s="20"/>
      <c r="C205" s="20"/>
      <c r="D205" s="19"/>
      <c r="E205" s="19"/>
      <c r="F205" s="19"/>
      <c r="G205" s="19"/>
      <c r="H205" s="20"/>
      <c r="I205" s="19"/>
      <c r="J205" s="19"/>
      <c r="K205" s="19"/>
      <c r="L205" s="19"/>
      <c r="M205" s="19"/>
      <c r="N205" s="19"/>
      <c r="O205" s="19"/>
      <c r="P205" s="19"/>
      <c r="Q205" s="19"/>
    </row>
    <row r="206" spans="1:17" ht="15.75" customHeight="1">
      <c r="A206" s="19"/>
      <c r="B206" s="20"/>
      <c r="C206" s="20"/>
      <c r="D206" s="19"/>
      <c r="E206" s="19"/>
      <c r="F206" s="19"/>
      <c r="G206" s="19"/>
      <c r="H206" s="20"/>
      <c r="I206" s="19"/>
      <c r="J206" s="19"/>
      <c r="K206" s="19"/>
      <c r="L206" s="19"/>
      <c r="M206" s="19"/>
      <c r="N206" s="19"/>
      <c r="O206" s="19"/>
      <c r="P206" s="19"/>
      <c r="Q206" s="19"/>
    </row>
    <row r="207" spans="1:17" ht="15.75" customHeight="1">
      <c r="A207" s="19"/>
      <c r="B207" s="20"/>
      <c r="C207" s="20"/>
      <c r="D207" s="19"/>
      <c r="E207" s="19"/>
      <c r="F207" s="19"/>
      <c r="G207" s="19"/>
      <c r="H207" s="20"/>
      <c r="I207" s="19"/>
      <c r="J207" s="19"/>
      <c r="K207" s="19"/>
      <c r="L207" s="19"/>
      <c r="M207" s="19"/>
      <c r="N207" s="19"/>
      <c r="O207" s="19"/>
      <c r="P207" s="19"/>
      <c r="Q207" s="19"/>
    </row>
    <row r="208" spans="1:17" ht="15.75" customHeight="1">
      <c r="A208" s="19"/>
      <c r="B208" s="20"/>
      <c r="C208" s="20"/>
      <c r="D208" s="19"/>
      <c r="E208" s="19"/>
      <c r="F208" s="19"/>
      <c r="G208" s="19"/>
      <c r="H208" s="20"/>
      <c r="I208" s="19"/>
      <c r="J208" s="19"/>
      <c r="K208" s="19"/>
      <c r="L208" s="19"/>
      <c r="M208" s="19"/>
      <c r="N208" s="19"/>
      <c r="O208" s="19"/>
      <c r="P208" s="19"/>
      <c r="Q208" s="19"/>
    </row>
    <row r="209" spans="1:17" ht="15.75" customHeight="1">
      <c r="A209" s="19"/>
      <c r="B209" s="20"/>
      <c r="C209" s="20"/>
      <c r="D209" s="19"/>
      <c r="E209" s="19"/>
      <c r="F209" s="19"/>
      <c r="G209" s="19"/>
      <c r="H209" s="20"/>
      <c r="I209" s="19"/>
      <c r="J209" s="19"/>
      <c r="K209" s="19"/>
      <c r="L209" s="19"/>
      <c r="M209" s="19"/>
      <c r="N209" s="19"/>
      <c r="O209" s="19"/>
      <c r="P209" s="19"/>
      <c r="Q209" s="19"/>
    </row>
    <row r="210" spans="1:17" ht="15.75" customHeight="1">
      <c r="A210" s="19"/>
      <c r="B210" s="20"/>
      <c r="C210" s="20"/>
      <c r="D210" s="19"/>
      <c r="E210" s="19"/>
      <c r="F210" s="19"/>
      <c r="G210" s="19"/>
      <c r="H210" s="20"/>
      <c r="I210" s="19"/>
      <c r="J210" s="19"/>
      <c r="K210" s="19"/>
      <c r="L210" s="19"/>
      <c r="M210" s="19"/>
      <c r="N210" s="19"/>
      <c r="O210" s="19"/>
      <c r="P210" s="19"/>
      <c r="Q210" s="19"/>
    </row>
    <row r="211" spans="1:17" ht="15.75" customHeight="1">
      <c r="A211" s="19"/>
      <c r="B211" s="20"/>
      <c r="C211" s="20"/>
      <c r="D211" s="19"/>
      <c r="E211" s="19"/>
      <c r="F211" s="19"/>
      <c r="G211" s="19"/>
      <c r="H211" s="20"/>
      <c r="I211" s="19"/>
      <c r="J211" s="19"/>
      <c r="K211" s="19"/>
      <c r="L211" s="19"/>
      <c r="M211" s="19"/>
      <c r="N211" s="19"/>
      <c r="O211" s="19"/>
      <c r="P211" s="19"/>
      <c r="Q211" s="19"/>
    </row>
    <row r="212" spans="1:17" ht="15.75" customHeight="1">
      <c r="A212" s="19"/>
      <c r="B212" s="20"/>
      <c r="C212" s="20"/>
      <c r="D212" s="19"/>
      <c r="E212" s="19"/>
      <c r="F212" s="19"/>
      <c r="G212" s="19"/>
      <c r="H212" s="20"/>
      <c r="I212" s="19"/>
      <c r="J212" s="19"/>
      <c r="K212" s="19"/>
      <c r="L212" s="19"/>
      <c r="M212" s="19"/>
      <c r="N212" s="19"/>
      <c r="O212" s="19"/>
      <c r="P212" s="19"/>
      <c r="Q212" s="19"/>
    </row>
    <row r="213" spans="1:17" ht="15.75" customHeight="1">
      <c r="A213" s="19"/>
      <c r="B213" s="20"/>
      <c r="C213" s="20"/>
      <c r="D213" s="19"/>
      <c r="E213" s="19"/>
      <c r="F213" s="19"/>
      <c r="G213" s="19"/>
      <c r="H213" s="20"/>
      <c r="I213" s="19"/>
      <c r="J213" s="19"/>
      <c r="K213" s="19"/>
      <c r="L213" s="19"/>
      <c r="M213" s="19"/>
      <c r="N213" s="19"/>
      <c r="O213" s="19"/>
      <c r="P213" s="19"/>
      <c r="Q213" s="19"/>
    </row>
    <row r="214" spans="1:17" ht="15.75" customHeight="1">
      <c r="A214" s="19"/>
      <c r="B214" s="20"/>
      <c r="C214" s="20"/>
      <c r="D214" s="19"/>
      <c r="E214" s="19"/>
      <c r="F214" s="19"/>
      <c r="G214" s="19"/>
      <c r="H214" s="20"/>
      <c r="I214" s="19"/>
      <c r="J214" s="19"/>
      <c r="K214" s="19"/>
      <c r="L214" s="19"/>
      <c r="M214" s="19"/>
      <c r="N214" s="19"/>
      <c r="O214" s="19"/>
      <c r="P214" s="19"/>
      <c r="Q214" s="19"/>
    </row>
    <row r="215" spans="1:17" ht="15.75" customHeight="1">
      <c r="A215" s="19"/>
      <c r="B215" s="20"/>
      <c r="C215" s="20"/>
      <c r="D215" s="19"/>
      <c r="E215" s="19"/>
      <c r="F215" s="19"/>
      <c r="G215" s="19"/>
      <c r="H215" s="20"/>
      <c r="I215" s="19"/>
      <c r="J215" s="19"/>
      <c r="K215" s="19"/>
      <c r="L215" s="19"/>
      <c r="M215" s="19"/>
      <c r="N215" s="19"/>
      <c r="O215" s="19"/>
      <c r="P215" s="19"/>
      <c r="Q215" s="19"/>
    </row>
    <row r="216" spans="1:17" ht="15.75" customHeight="1">
      <c r="A216" s="19"/>
      <c r="B216" s="20"/>
      <c r="C216" s="20"/>
      <c r="D216" s="19"/>
      <c r="E216" s="19"/>
      <c r="F216" s="19"/>
      <c r="G216" s="19"/>
      <c r="H216" s="20"/>
      <c r="I216" s="19"/>
      <c r="J216" s="19"/>
      <c r="K216" s="19"/>
      <c r="L216" s="19"/>
      <c r="M216" s="19"/>
      <c r="N216" s="19"/>
      <c r="O216" s="19"/>
      <c r="P216" s="19"/>
      <c r="Q216" s="19"/>
    </row>
    <row r="217" spans="1:17" ht="15.75" customHeight="1">
      <c r="A217" s="19"/>
      <c r="B217" s="20"/>
      <c r="C217" s="20"/>
      <c r="D217" s="19"/>
      <c r="E217" s="19"/>
      <c r="F217" s="19"/>
      <c r="G217" s="19"/>
      <c r="H217" s="20"/>
      <c r="I217" s="19"/>
      <c r="J217" s="19"/>
      <c r="K217" s="19"/>
      <c r="L217" s="19"/>
      <c r="M217" s="19"/>
      <c r="N217" s="19"/>
      <c r="O217" s="19"/>
      <c r="P217" s="19"/>
      <c r="Q217" s="19"/>
    </row>
    <row r="218" spans="1:17" ht="15.75" customHeight="1">
      <c r="A218" s="19"/>
      <c r="B218" s="20"/>
      <c r="C218" s="20"/>
      <c r="D218" s="19"/>
      <c r="E218" s="19"/>
      <c r="F218" s="19"/>
      <c r="G218" s="19"/>
      <c r="H218" s="20"/>
      <c r="I218" s="19"/>
      <c r="J218" s="19"/>
      <c r="K218" s="19"/>
      <c r="L218" s="19"/>
      <c r="M218" s="19"/>
      <c r="N218" s="19"/>
      <c r="O218" s="19"/>
      <c r="P218" s="19"/>
      <c r="Q218" s="19"/>
    </row>
    <row r="219" spans="1:17" ht="15.75" customHeight="1">
      <c r="A219" s="19"/>
      <c r="B219" s="20"/>
      <c r="C219" s="20"/>
      <c r="D219" s="19"/>
      <c r="E219" s="19"/>
      <c r="F219" s="19"/>
      <c r="G219" s="19"/>
      <c r="H219" s="20"/>
      <c r="I219" s="19"/>
      <c r="J219" s="19"/>
      <c r="K219" s="19"/>
      <c r="L219" s="19"/>
      <c r="M219" s="19"/>
      <c r="N219" s="19"/>
      <c r="O219" s="19"/>
      <c r="P219" s="19"/>
      <c r="Q219" s="19"/>
    </row>
    <row r="220" spans="1:17" ht="15.75" customHeight="1">
      <c r="A220" s="19"/>
      <c r="B220" s="20"/>
      <c r="C220" s="20"/>
      <c r="D220" s="19"/>
      <c r="E220" s="19"/>
      <c r="F220" s="19"/>
      <c r="G220" s="19"/>
      <c r="H220" s="20"/>
      <c r="I220" s="19"/>
      <c r="J220" s="19"/>
      <c r="K220" s="19"/>
      <c r="L220" s="19"/>
      <c r="M220" s="19"/>
      <c r="N220" s="19"/>
      <c r="O220" s="19"/>
      <c r="P220" s="19"/>
      <c r="Q220" s="19"/>
    </row>
    <row r="221" spans="1:17" ht="15.75" customHeight="1">
      <c r="A221" s="19"/>
      <c r="B221" s="20"/>
      <c r="C221" s="20"/>
      <c r="D221" s="19"/>
      <c r="E221" s="19"/>
      <c r="F221" s="19"/>
      <c r="G221" s="19"/>
      <c r="H221" s="20"/>
      <c r="I221" s="19"/>
      <c r="J221" s="19"/>
      <c r="K221" s="19"/>
      <c r="L221" s="19"/>
      <c r="M221" s="19"/>
      <c r="N221" s="19"/>
      <c r="O221" s="19"/>
      <c r="P221" s="19"/>
      <c r="Q221" s="19"/>
    </row>
    <row r="222" spans="1:17" ht="15.75" customHeight="1">
      <c r="A222" s="19"/>
      <c r="B222" s="20"/>
      <c r="C222" s="20"/>
      <c r="D222" s="19"/>
      <c r="E222" s="19"/>
      <c r="F222" s="19"/>
      <c r="G222" s="19"/>
      <c r="H222" s="20"/>
      <c r="I222" s="19"/>
      <c r="J222" s="19"/>
      <c r="K222" s="19"/>
      <c r="L222" s="19"/>
      <c r="M222" s="19"/>
      <c r="N222" s="19"/>
      <c r="O222" s="19"/>
      <c r="P222" s="19"/>
      <c r="Q222" s="19"/>
    </row>
    <row r="223" spans="1:17" ht="15.75" customHeight="1">
      <c r="A223" s="19"/>
      <c r="B223" s="20"/>
      <c r="C223" s="20"/>
      <c r="D223" s="19"/>
      <c r="E223" s="19"/>
      <c r="F223" s="19"/>
      <c r="G223" s="19"/>
      <c r="H223" s="20"/>
      <c r="I223" s="19"/>
      <c r="J223" s="19"/>
      <c r="K223" s="19"/>
      <c r="L223" s="19"/>
      <c r="M223" s="19"/>
      <c r="N223" s="19"/>
      <c r="O223" s="19"/>
      <c r="P223" s="19"/>
      <c r="Q223" s="19"/>
    </row>
    <row r="224" spans="1:17" ht="15.75" customHeight="1">
      <c r="A224" s="19"/>
      <c r="B224" s="20"/>
      <c r="C224" s="20"/>
      <c r="D224" s="19"/>
      <c r="E224" s="19"/>
      <c r="F224" s="19"/>
      <c r="G224" s="19"/>
      <c r="H224" s="20"/>
      <c r="I224" s="19"/>
      <c r="J224" s="19"/>
      <c r="K224" s="19"/>
      <c r="L224" s="19"/>
      <c r="M224" s="19"/>
      <c r="N224" s="19"/>
      <c r="O224" s="19"/>
      <c r="P224" s="19"/>
      <c r="Q224" s="19"/>
    </row>
    <row r="225" spans="1:17" ht="15.75" customHeight="1">
      <c r="A225" s="19"/>
      <c r="B225" s="20"/>
      <c r="C225" s="20"/>
      <c r="D225" s="19"/>
      <c r="E225" s="19"/>
      <c r="F225" s="19"/>
      <c r="G225" s="19"/>
      <c r="H225" s="20"/>
      <c r="I225" s="19"/>
      <c r="J225" s="19"/>
      <c r="K225" s="19"/>
      <c r="L225" s="19"/>
      <c r="M225" s="19"/>
      <c r="N225" s="19"/>
      <c r="O225" s="19"/>
      <c r="P225" s="19"/>
      <c r="Q225" s="19"/>
    </row>
    <row r="226" spans="1:17" ht="15.75" customHeight="1">
      <c r="A226" s="19"/>
      <c r="B226" s="20"/>
      <c r="C226" s="20"/>
      <c r="D226" s="19"/>
      <c r="E226" s="19"/>
      <c r="F226" s="19"/>
      <c r="G226" s="19"/>
      <c r="H226" s="20"/>
      <c r="I226" s="19"/>
      <c r="J226" s="19"/>
      <c r="K226" s="19"/>
      <c r="L226" s="19"/>
      <c r="M226" s="19"/>
      <c r="N226" s="19"/>
      <c r="O226" s="19"/>
      <c r="P226" s="19"/>
      <c r="Q226" s="19"/>
    </row>
    <row r="227" spans="1:17" ht="15.75" customHeight="1">
      <c r="A227" s="19"/>
      <c r="B227" s="20"/>
      <c r="C227" s="20"/>
      <c r="D227" s="19"/>
      <c r="E227" s="19"/>
      <c r="F227" s="19"/>
      <c r="G227" s="19"/>
      <c r="H227" s="20"/>
      <c r="I227" s="19"/>
      <c r="J227" s="19"/>
      <c r="K227" s="19"/>
      <c r="L227" s="19"/>
      <c r="M227" s="19"/>
      <c r="N227" s="19"/>
      <c r="O227" s="19"/>
      <c r="P227" s="19"/>
      <c r="Q227" s="19"/>
    </row>
    <row r="228" spans="1:17" ht="15.75" customHeight="1">
      <c r="A228" s="19"/>
      <c r="B228" s="20"/>
      <c r="C228" s="20"/>
      <c r="D228" s="19"/>
      <c r="E228" s="19"/>
      <c r="F228" s="19"/>
      <c r="G228" s="19"/>
      <c r="H228" s="20"/>
      <c r="I228" s="19"/>
      <c r="J228" s="19"/>
      <c r="K228" s="19"/>
      <c r="L228" s="19"/>
      <c r="M228" s="19"/>
      <c r="N228" s="19"/>
      <c r="O228" s="19"/>
      <c r="P228" s="19"/>
      <c r="Q228" s="19"/>
    </row>
    <row r="229" spans="1:17" ht="15.75" customHeight="1">
      <c r="A229" s="19"/>
      <c r="B229" s="20"/>
      <c r="C229" s="20"/>
      <c r="D229" s="19"/>
      <c r="E229" s="19"/>
      <c r="F229" s="19"/>
      <c r="G229" s="19"/>
      <c r="H229" s="20"/>
      <c r="I229" s="19"/>
      <c r="J229" s="19"/>
      <c r="K229" s="19"/>
      <c r="L229" s="19"/>
      <c r="M229" s="19"/>
      <c r="N229" s="19"/>
      <c r="O229" s="19"/>
      <c r="P229" s="19"/>
      <c r="Q229" s="19"/>
    </row>
    <row r="230" spans="1:17" ht="15.75" customHeight="1">
      <c r="A230" s="19"/>
      <c r="B230" s="20"/>
      <c r="C230" s="20"/>
      <c r="D230" s="19"/>
      <c r="E230" s="19"/>
      <c r="F230" s="19"/>
      <c r="G230" s="19"/>
      <c r="H230" s="20"/>
      <c r="I230" s="19"/>
      <c r="J230" s="19"/>
      <c r="K230" s="19"/>
      <c r="L230" s="19"/>
      <c r="M230" s="19"/>
      <c r="N230" s="19"/>
      <c r="O230" s="19"/>
      <c r="P230" s="19"/>
      <c r="Q230" s="19"/>
    </row>
    <row r="231" spans="1:17" ht="15.75" customHeight="1">
      <c r="A231" s="19"/>
      <c r="B231" s="20"/>
      <c r="C231" s="20"/>
      <c r="D231" s="19"/>
      <c r="E231" s="19"/>
      <c r="F231" s="19"/>
      <c r="G231" s="19"/>
      <c r="H231" s="20"/>
      <c r="I231" s="19"/>
      <c r="J231" s="19"/>
      <c r="K231" s="19"/>
      <c r="L231" s="19"/>
      <c r="M231" s="19"/>
      <c r="N231" s="19"/>
      <c r="O231" s="19"/>
      <c r="P231" s="19"/>
      <c r="Q231" s="19"/>
    </row>
    <row r="232" spans="1:17" ht="15.75" customHeight="1">
      <c r="A232" s="19"/>
      <c r="B232" s="20"/>
      <c r="C232" s="20"/>
      <c r="D232" s="19"/>
      <c r="E232" s="19"/>
      <c r="F232" s="19"/>
      <c r="G232" s="19"/>
      <c r="H232" s="20"/>
      <c r="I232" s="19"/>
      <c r="J232" s="19"/>
      <c r="K232" s="19"/>
      <c r="L232" s="19"/>
      <c r="M232" s="19"/>
      <c r="N232" s="19"/>
      <c r="O232" s="19"/>
      <c r="P232" s="19"/>
      <c r="Q232" s="19"/>
    </row>
    <row r="233" spans="1:17" ht="15.75" customHeight="1">
      <c r="A233" s="19"/>
      <c r="B233" s="20"/>
      <c r="C233" s="20"/>
      <c r="D233" s="19"/>
      <c r="E233" s="19"/>
      <c r="F233" s="19"/>
      <c r="G233" s="19"/>
      <c r="H233" s="20"/>
      <c r="I233" s="19"/>
      <c r="J233" s="19"/>
      <c r="K233" s="19"/>
      <c r="L233" s="19"/>
      <c r="M233" s="19"/>
      <c r="N233" s="19"/>
      <c r="O233" s="19"/>
      <c r="P233" s="19"/>
      <c r="Q233" s="19"/>
    </row>
    <row r="234" spans="1:17" ht="15.75" customHeight="1">
      <c r="A234" s="19"/>
      <c r="B234" s="20"/>
      <c r="C234" s="20"/>
      <c r="D234" s="19"/>
      <c r="E234" s="19"/>
      <c r="F234" s="19"/>
      <c r="G234" s="19"/>
      <c r="H234" s="20"/>
      <c r="I234" s="19"/>
      <c r="J234" s="19"/>
      <c r="K234" s="19"/>
      <c r="L234" s="19"/>
      <c r="M234" s="19"/>
      <c r="N234" s="19"/>
      <c r="O234" s="19"/>
      <c r="P234" s="19"/>
      <c r="Q234" s="19"/>
    </row>
    <row r="235" spans="1:17" ht="15.75" customHeight="1">
      <c r="A235" s="19"/>
      <c r="B235" s="20"/>
      <c r="C235" s="20"/>
      <c r="D235" s="19"/>
      <c r="E235" s="19"/>
      <c r="F235" s="19"/>
      <c r="G235" s="19"/>
      <c r="H235" s="20"/>
      <c r="I235" s="19"/>
      <c r="J235" s="19"/>
      <c r="K235" s="19"/>
      <c r="L235" s="19"/>
      <c r="M235" s="19"/>
      <c r="N235" s="19"/>
      <c r="O235" s="19"/>
      <c r="P235" s="19"/>
      <c r="Q235" s="19"/>
    </row>
    <row r="236" spans="1:17" ht="15.75" customHeight="1">
      <c r="A236" s="19"/>
      <c r="B236" s="20"/>
      <c r="C236" s="20"/>
      <c r="D236" s="19"/>
      <c r="E236" s="19"/>
      <c r="F236" s="19"/>
      <c r="G236" s="19"/>
      <c r="H236" s="20"/>
      <c r="I236" s="19"/>
      <c r="J236" s="19"/>
      <c r="K236" s="19"/>
      <c r="L236" s="19"/>
      <c r="M236" s="19"/>
      <c r="N236" s="19"/>
      <c r="O236" s="19"/>
      <c r="P236" s="19"/>
      <c r="Q236" s="19"/>
    </row>
    <row r="237" spans="1:17" ht="15.75" customHeight="1">
      <c r="A237" s="19"/>
      <c r="B237" s="20"/>
      <c r="C237" s="20"/>
      <c r="D237" s="19"/>
      <c r="E237" s="19"/>
      <c r="F237" s="19"/>
      <c r="G237" s="19"/>
      <c r="H237" s="20"/>
      <c r="I237" s="19"/>
      <c r="J237" s="19"/>
      <c r="K237" s="19"/>
      <c r="L237" s="19"/>
      <c r="M237" s="19"/>
      <c r="N237" s="19"/>
      <c r="O237" s="19"/>
      <c r="P237" s="19"/>
      <c r="Q237" s="19"/>
    </row>
    <row r="238" spans="1:17" ht="15.75" customHeight="1">
      <c r="A238" s="19"/>
      <c r="B238" s="20"/>
      <c r="C238" s="20"/>
      <c r="D238" s="19"/>
      <c r="E238" s="19"/>
      <c r="F238" s="19"/>
      <c r="G238" s="19"/>
      <c r="H238" s="20"/>
      <c r="I238" s="19"/>
      <c r="J238" s="19"/>
      <c r="K238" s="19"/>
      <c r="L238" s="19"/>
      <c r="M238" s="19"/>
      <c r="N238" s="19"/>
      <c r="O238" s="19"/>
      <c r="P238" s="19"/>
      <c r="Q238" s="19"/>
    </row>
    <row r="239" spans="1:17" ht="15.75" customHeight="1">
      <c r="A239" s="19"/>
      <c r="B239" s="20"/>
      <c r="C239" s="20"/>
      <c r="D239" s="19"/>
      <c r="E239" s="19"/>
      <c r="F239" s="19"/>
      <c r="G239" s="19"/>
      <c r="H239" s="20"/>
      <c r="I239" s="19"/>
      <c r="J239" s="19"/>
      <c r="K239" s="19"/>
      <c r="L239" s="19"/>
      <c r="M239" s="19"/>
      <c r="N239" s="19"/>
      <c r="O239" s="19"/>
      <c r="P239" s="19"/>
      <c r="Q239" s="19"/>
    </row>
    <row r="240" spans="1:17" ht="15.75" customHeight="1">
      <c r="A240" s="19"/>
      <c r="B240" s="20"/>
      <c r="C240" s="20"/>
      <c r="D240" s="19"/>
      <c r="E240" s="19"/>
      <c r="F240" s="19"/>
      <c r="G240" s="19"/>
      <c r="H240" s="20"/>
      <c r="I240" s="19"/>
      <c r="J240" s="19"/>
      <c r="K240" s="19"/>
      <c r="L240" s="19"/>
      <c r="M240" s="19"/>
      <c r="N240" s="19"/>
      <c r="O240" s="19"/>
      <c r="P240" s="19"/>
      <c r="Q240" s="19"/>
    </row>
    <row r="241" spans="1:17" ht="15.75" customHeight="1">
      <c r="A241" s="19"/>
      <c r="B241" s="20"/>
      <c r="C241" s="20"/>
      <c r="D241" s="19"/>
      <c r="E241" s="19"/>
      <c r="F241" s="19"/>
      <c r="G241" s="19"/>
      <c r="H241" s="20"/>
      <c r="I241" s="19"/>
      <c r="J241" s="19"/>
      <c r="K241" s="19"/>
      <c r="L241" s="19"/>
      <c r="M241" s="19"/>
      <c r="N241" s="19"/>
      <c r="O241" s="19"/>
      <c r="P241" s="19"/>
      <c r="Q241" s="19"/>
    </row>
    <row r="242" spans="1:17" ht="15.75" customHeight="1">
      <c r="A242" s="19"/>
      <c r="B242" s="20"/>
      <c r="C242" s="20"/>
      <c r="D242" s="19"/>
      <c r="E242" s="19"/>
      <c r="F242" s="19"/>
      <c r="G242" s="19"/>
      <c r="H242" s="20"/>
      <c r="I242" s="19"/>
      <c r="J242" s="19"/>
      <c r="K242" s="19"/>
      <c r="L242" s="19"/>
      <c r="M242" s="19"/>
      <c r="N242" s="19"/>
      <c r="O242" s="19"/>
      <c r="P242" s="19"/>
      <c r="Q242" s="19"/>
    </row>
    <row r="243" spans="1:17" ht="15.75" customHeight="1">
      <c r="A243" s="19"/>
      <c r="B243" s="20"/>
      <c r="C243" s="20"/>
      <c r="D243" s="19"/>
      <c r="E243" s="19"/>
      <c r="F243" s="19"/>
      <c r="G243" s="19"/>
      <c r="H243" s="20"/>
      <c r="I243" s="19"/>
      <c r="J243" s="19"/>
      <c r="K243" s="19"/>
      <c r="L243" s="19"/>
      <c r="M243" s="19"/>
      <c r="N243" s="19"/>
      <c r="O243" s="19"/>
      <c r="P243" s="19"/>
      <c r="Q243" s="19"/>
    </row>
    <row r="244" spans="1:17" ht="15.75" customHeight="1">
      <c r="A244" s="19"/>
      <c r="B244" s="20"/>
      <c r="C244" s="20"/>
      <c r="D244" s="19"/>
      <c r="E244" s="19"/>
      <c r="F244" s="19"/>
      <c r="G244" s="19"/>
      <c r="H244" s="20"/>
      <c r="I244" s="19"/>
      <c r="J244" s="19"/>
      <c r="K244" s="19"/>
      <c r="L244" s="19"/>
      <c r="M244" s="19"/>
      <c r="N244" s="19"/>
      <c r="O244" s="19"/>
      <c r="P244" s="19"/>
      <c r="Q244" s="19"/>
    </row>
    <row r="245" spans="1:17" ht="15.75" customHeight="1">
      <c r="A245" s="19"/>
      <c r="B245" s="20"/>
      <c r="C245" s="20"/>
      <c r="D245" s="19"/>
      <c r="E245" s="19"/>
      <c r="F245" s="19"/>
      <c r="G245" s="19"/>
      <c r="H245" s="20"/>
      <c r="I245" s="19"/>
      <c r="J245" s="19"/>
      <c r="K245" s="19"/>
      <c r="L245" s="19"/>
      <c r="M245" s="19"/>
      <c r="N245" s="19"/>
      <c r="O245" s="19"/>
      <c r="P245" s="19"/>
      <c r="Q245" s="19"/>
    </row>
    <row r="246" spans="1:17" ht="15.75" customHeight="1">
      <c r="A246" s="19"/>
      <c r="B246" s="20"/>
      <c r="C246" s="20"/>
      <c r="D246" s="19"/>
      <c r="E246" s="19"/>
      <c r="F246" s="19"/>
      <c r="G246" s="19"/>
      <c r="H246" s="20"/>
      <c r="I246" s="19"/>
      <c r="J246" s="19"/>
      <c r="K246" s="19"/>
      <c r="L246" s="19"/>
      <c r="M246" s="19"/>
      <c r="N246" s="19"/>
      <c r="O246" s="19"/>
      <c r="P246" s="19"/>
      <c r="Q246" s="19"/>
    </row>
    <row r="247" spans="1:17" ht="15.75" customHeight="1">
      <c r="A247" s="19"/>
      <c r="B247" s="20"/>
      <c r="C247" s="20"/>
      <c r="D247" s="19"/>
      <c r="E247" s="19"/>
      <c r="F247" s="19"/>
      <c r="G247" s="19"/>
      <c r="H247" s="20"/>
      <c r="I247" s="19"/>
      <c r="J247" s="19"/>
      <c r="K247" s="19"/>
      <c r="L247" s="19"/>
      <c r="M247" s="19"/>
      <c r="N247" s="19"/>
      <c r="O247" s="19"/>
      <c r="P247" s="19"/>
      <c r="Q247" s="19"/>
    </row>
    <row r="248" spans="1:17" ht="15.75" customHeight="1">
      <c r="A248" s="19"/>
      <c r="B248" s="20"/>
      <c r="C248" s="20"/>
      <c r="D248" s="19"/>
      <c r="E248" s="19"/>
      <c r="F248" s="19"/>
      <c r="G248" s="19"/>
      <c r="H248" s="20"/>
      <c r="I248" s="19"/>
      <c r="J248" s="19"/>
      <c r="K248" s="19"/>
      <c r="L248" s="19"/>
      <c r="M248" s="19"/>
      <c r="N248" s="19"/>
      <c r="O248" s="19"/>
      <c r="P248" s="19"/>
      <c r="Q248" s="19"/>
    </row>
    <row r="249" spans="1:17" ht="15.75" customHeight="1">
      <c r="A249" s="19"/>
      <c r="B249" s="20"/>
      <c r="C249" s="20"/>
      <c r="D249" s="19"/>
      <c r="E249" s="19"/>
      <c r="F249" s="19"/>
      <c r="G249" s="19"/>
      <c r="H249" s="20"/>
      <c r="I249" s="19"/>
      <c r="J249" s="19"/>
      <c r="K249" s="19"/>
      <c r="L249" s="19"/>
      <c r="M249" s="19"/>
      <c r="N249" s="19"/>
      <c r="O249" s="19"/>
      <c r="P249" s="19"/>
      <c r="Q249" s="19"/>
    </row>
    <row r="250" spans="1:17" ht="15.75" customHeight="1">
      <c r="A250" s="19"/>
      <c r="B250" s="20"/>
      <c r="C250" s="20"/>
      <c r="D250" s="19"/>
      <c r="E250" s="19"/>
      <c r="F250" s="19"/>
      <c r="G250" s="19"/>
      <c r="H250" s="20"/>
      <c r="I250" s="19"/>
      <c r="J250" s="19"/>
      <c r="K250" s="19"/>
      <c r="L250" s="19"/>
      <c r="M250" s="19"/>
      <c r="N250" s="19"/>
      <c r="O250" s="19"/>
      <c r="P250" s="19"/>
      <c r="Q250" s="19"/>
    </row>
    <row r="251" spans="1:17" ht="15.75" customHeight="1">
      <c r="A251" s="19"/>
      <c r="B251" s="20"/>
      <c r="C251" s="20"/>
      <c r="D251" s="19"/>
      <c r="E251" s="19"/>
      <c r="F251" s="19"/>
      <c r="G251" s="19"/>
      <c r="H251" s="20"/>
      <c r="I251" s="19"/>
      <c r="J251" s="19"/>
      <c r="K251" s="19"/>
      <c r="L251" s="19"/>
      <c r="M251" s="19"/>
      <c r="N251" s="19"/>
      <c r="O251" s="19"/>
      <c r="P251" s="19"/>
      <c r="Q251" s="19"/>
    </row>
    <row r="252" spans="1:17" ht="15.75" customHeight="1">
      <c r="A252" s="19"/>
      <c r="B252" s="20"/>
      <c r="C252" s="20"/>
      <c r="D252" s="19"/>
      <c r="E252" s="19"/>
      <c r="F252" s="19"/>
      <c r="G252" s="19"/>
      <c r="H252" s="20"/>
      <c r="I252" s="19"/>
      <c r="J252" s="19"/>
      <c r="K252" s="19"/>
      <c r="L252" s="19"/>
      <c r="M252" s="19"/>
      <c r="N252" s="19"/>
      <c r="O252" s="19"/>
      <c r="P252" s="19"/>
      <c r="Q252" s="19"/>
    </row>
    <row r="253" spans="1:17" ht="15.75" customHeight="1">
      <c r="A253" s="19"/>
      <c r="B253" s="20"/>
      <c r="C253" s="20"/>
      <c r="D253" s="19"/>
      <c r="E253" s="19"/>
      <c r="F253" s="19"/>
      <c r="G253" s="19"/>
      <c r="H253" s="20"/>
      <c r="I253" s="19"/>
      <c r="J253" s="19"/>
      <c r="K253" s="19"/>
      <c r="L253" s="19"/>
      <c r="M253" s="19"/>
      <c r="N253" s="19"/>
      <c r="O253" s="19"/>
      <c r="P253" s="19"/>
      <c r="Q253" s="19"/>
    </row>
    <row r="254" spans="1:17" ht="15.75" customHeight="1">
      <c r="A254" s="19"/>
      <c r="B254" s="20"/>
      <c r="C254" s="20"/>
      <c r="D254" s="19"/>
      <c r="E254" s="19"/>
      <c r="F254" s="19"/>
      <c r="G254" s="19"/>
      <c r="H254" s="20"/>
      <c r="I254" s="19"/>
      <c r="J254" s="19"/>
      <c r="K254" s="19"/>
      <c r="L254" s="19"/>
      <c r="M254" s="19"/>
      <c r="N254" s="19"/>
      <c r="O254" s="19"/>
      <c r="P254" s="19"/>
      <c r="Q254" s="19"/>
    </row>
    <row r="255" spans="1:17" ht="15.75" customHeight="1">
      <c r="A255" s="19"/>
      <c r="B255" s="20"/>
      <c r="C255" s="20"/>
      <c r="D255" s="19"/>
      <c r="E255" s="19"/>
      <c r="F255" s="19"/>
      <c r="G255" s="19"/>
      <c r="H255" s="20"/>
      <c r="I255" s="19"/>
      <c r="J255" s="19"/>
      <c r="K255" s="19"/>
      <c r="L255" s="19"/>
      <c r="M255" s="19"/>
      <c r="N255" s="19"/>
      <c r="O255" s="19"/>
      <c r="P255" s="19"/>
      <c r="Q255" s="19"/>
    </row>
    <row r="256" spans="1:17" ht="15.75" customHeight="1">
      <c r="A256" s="19"/>
      <c r="B256" s="20"/>
      <c r="C256" s="20"/>
      <c r="D256" s="19"/>
      <c r="E256" s="19"/>
      <c r="F256" s="19"/>
      <c r="G256" s="19"/>
      <c r="H256" s="20"/>
      <c r="I256" s="19"/>
      <c r="J256" s="19"/>
      <c r="K256" s="19"/>
      <c r="L256" s="19"/>
      <c r="M256" s="19"/>
      <c r="N256" s="19"/>
      <c r="O256" s="19"/>
      <c r="P256" s="19"/>
      <c r="Q256" s="19"/>
    </row>
    <row r="257" spans="1:17" ht="15.75" customHeight="1">
      <c r="A257" s="19"/>
      <c r="B257" s="20"/>
      <c r="C257" s="20"/>
      <c r="D257" s="19"/>
      <c r="E257" s="19"/>
      <c r="F257" s="19"/>
      <c r="G257" s="19"/>
      <c r="H257" s="20"/>
      <c r="I257" s="19"/>
      <c r="J257" s="19"/>
      <c r="K257" s="19"/>
      <c r="L257" s="19"/>
      <c r="M257" s="19"/>
      <c r="N257" s="19"/>
      <c r="O257" s="19"/>
      <c r="P257" s="19"/>
      <c r="Q257" s="19"/>
    </row>
    <row r="258" spans="1:17" ht="15.75" customHeight="1">
      <c r="A258" s="19"/>
      <c r="B258" s="20"/>
      <c r="C258" s="20"/>
      <c r="D258" s="19"/>
      <c r="E258" s="19"/>
      <c r="F258" s="19"/>
      <c r="G258" s="19"/>
      <c r="H258" s="20"/>
      <c r="I258" s="19"/>
      <c r="J258" s="19"/>
      <c r="K258" s="19"/>
      <c r="L258" s="19"/>
      <c r="M258" s="19"/>
      <c r="N258" s="19"/>
      <c r="O258" s="19"/>
      <c r="P258" s="19"/>
      <c r="Q258" s="19"/>
    </row>
    <row r="259" spans="1:17" ht="15.75" customHeight="1">
      <c r="A259" s="19"/>
      <c r="B259" s="20"/>
      <c r="C259" s="20"/>
      <c r="D259" s="19"/>
      <c r="E259" s="19"/>
      <c r="F259" s="19"/>
      <c r="G259" s="19"/>
      <c r="H259" s="20"/>
      <c r="I259" s="19"/>
      <c r="J259" s="19"/>
      <c r="K259" s="19"/>
      <c r="L259" s="19"/>
      <c r="M259" s="19"/>
      <c r="N259" s="19"/>
      <c r="O259" s="19"/>
      <c r="P259" s="19"/>
      <c r="Q259" s="19"/>
    </row>
    <row r="260" spans="1:17" ht="15.75" customHeight="1">
      <c r="A260" s="19"/>
      <c r="B260" s="20"/>
      <c r="C260" s="20"/>
      <c r="D260" s="19"/>
      <c r="E260" s="19"/>
      <c r="F260" s="19"/>
      <c r="G260" s="19"/>
      <c r="H260" s="20"/>
      <c r="I260" s="19"/>
      <c r="J260" s="19"/>
      <c r="K260" s="19"/>
      <c r="L260" s="19"/>
      <c r="M260" s="19"/>
      <c r="N260" s="19"/>
      <c r="O260" s="19"/>
      <c r="P260" s="19"/>
      <c r="Q260" s="19"/>
    </row>
    <row r="261" spans="1:17" ht="15.75" customHeight="1">
      <c r="A261" s="19"/>
      <c r="B261" s="20"/>
      <c r="C261" s="20"/>
      <c r="D261" s="19"/>
      <c r="E261" s="19"/>
      <c r="F261" s="19"/>
      <c r="G261" s="19"/>
      <c r="H261" s="20"/>
      <c r="I261" s="19"/>
      <c r="J261" s="19"/>
      <c r="K261" s="19"/>
      <c r="L261" s="19"/>
      <c r="M261" s="19"/>
      <c r="N261" s="19"/>
      <c r="O261" s="19"/>
      <c r="P261" s="19"/>
      <c r="Q261" s="19"/>
    </row>
    <row r="262" spans="1:17" ht="15.75" customHeight="1">
      <c r="A262" s="19"/>
      <c r="B262" s="20"/>
      <c r="C262" s="20"/>
      <c r="D262" s="19"/>
      <c r="E262" s="19"/>
      <c r="F262" s="19"/>
      <c r="G262" s="19"/>
      <c r="H262" s="20"/>
      <c r="I262" s="19"/>
      <c r="J262" s="19"/>
      <c r="K262" s="19"/>
      <c r="L262" s="19"/>
      <c r="M262" s="19"/>
      <c r="N262" s="19"/>
      <c r="O262" s="19"/>
      <c r="P262" s="19"/>
      <c r="Q262" s="19"/>
    </row>
    <row r="263" spans="1:17" ht="15.75" customHeight="1"/>
    <row r="264" spans="1:17" ht="15.75" customHeight="1"/>
    <row r="265" spans="1:17" ht="15.75" customHeight="1"/>
    <row r="266" spans="1:17" ht="15.75" customHeight="1"/>
    <row r="267" spans="1:17" ht="15.75" customHeight="1"/>
    <row r="268" spans="1:17" ht="15.75" customHeight="1"/>
    <row r="269" spans="1:17" ht="15.75" customHeight="1"/>
    <row r="270" spans="1:17" ht="15.75" customHeight="1"/>
    <row r="271" spans="1:17" ht="15.75" customHeight="1"/>
    <row r="272" spans="1:17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1">
    <mergeCell ref="M1:N1"/>
  </mergeCells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13"/>
  <sheetViews>
    <sheetView showGridLines="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A66" sqref="A66:XFD103"/>
    </sheetView>
  </sheetViews>
  <sheetFormatPr baseColWidth="10" defaultColWidth="14.453125" defaultRowHeight="15" customHeight="1"/>
  <cols>
    <col min="1" max="1" width="28.54296875" customWidth="1"/>
    <col min="2" max="2" width="11.08984375" customWidth="1"/>
    <col min="3" max="3" width="15.26953125" customWidth="1"/>
    <col min="4" max="4" width="33" customWidth="1"/>
    <col min="5" max="5" width="22.08984375" customWidth="1"/>
    <col min="6" max="6" width="15.7265625" customWidth="1"/>
    <col min="7" max="7" width="13.08984375" customWidth="1"/>
    <col min="8" max="8" width="26" customWidth="1"/>
    <col min="9" max="9" width="14.81640625" customWidth="1"/>
    <col min="10" max="10" width="13.54296875" customWidth="1"/>
    <col min="11" max="11" width="15.08984375" customWidth="1"/>
    <col min="12" max="12" width="19" customWidth="1"/>
    <col min="13" max="13" width="10.08984375" customWidth="1"/>
    <col min="14" max="14" width="12.26953125" customWidth="1"/>
    <col min="15" max="17" width="11.54296875" customWidth="1"/>
  </cols>
  <sheetData>
    <row r="1" spans="1:17" ht="49.5" customHeight="1">
      <c r="A1" s="16" t="s">
        <v>8</v>
      </c>
      <c r="B1" s="17"/>
      <c r="C1" s="17"/>
      <c r="D1" s="18"/>
      <c r="E1" s="45"/>
      <c r="F1" s="18"/>
      <c r="G1" s="18"/>
      <c r="H1" s="17"/>
      <c r="I1" s="18"/>
      <c r="J1" s="18"/>
      <c r="K1" s="18"/>
      <c r="L1" s="18"/>
      <c r="M1" s="158" t="s">
        <v>9</v>
      </c>
      <c r="N1" s="157"/>
      <c r="O1" s="18"/>
      <c r="P1" s="18"/>
      <c r="Q1" s="18"/>
    </row>
    <row r="2" spans="1:17" ht="22.5" customHeight="1">
      <c r="A2" s="46"/>
      <c r="B2" s="47"/>
      <c r="C2" s="47"/>
      <c r="D2" s="1"/>
      <c r="E2" s="1"/>
      <c r="F2" s="1"/>
      <c r="G2" s="1"/>
      <c r="H2" s="47"/>
      <c r="I2" s="1"/>
      <c r="J2" s="1"/>
      <c r="K2" s="1"/>
      <c r="L2" s="1"/>
      <c r="M2" s="1"/>
      <c r="N2" s="1"/>
      <c r="O2" s="1"/>
      <c r="P2" s="1"/>
      <c r="Q2" s="1"/>
    </row>
    <row r="3" spans="1:17" ht="37.5" customHeight="1">
      <c r="A3" s="22" t="s">
        <v>10</v>
      </c>
      <c r="B3" s="23" t="s">
        <v>11</v>
      </c>
      <c r="C3" s="23" t="s">
        <v>12</v>
      </c>
      <c r="D3" s="22" t="s">
        <v>13</v>
      </c>
      <c r="E3" s="22" t="s">
        <v>14</v>
      </c>
      <c r="F3" s="22" t="s">
        <v>78</v>
      </c>
      <c r="G3" s="22" t="s">
        <v>16</v>
      </c>
      <c r="H3" s="23" t="s">
        <v>17</v>
      </c>
      <c r="I3" s="48" t="s">
        <v>18</v>
      </c>
      <c r="J3" s="22" t="s">
        <v>19</v>
      </c>
      <c r="K3" s="22" t="s">
        <v>20</v>
      </c>
      <c r="L3" s="24" t="s">
        <v>79</v>
      </c>
      <c r="M3" s="22" t="s">
        <v>22</v>
      </c>
      <c r="N3" s="22" t="s">
        <v>23</v>
      </c>
      <c r="O3" s="25"/>
      <c r="P3" s="25"/>
      <c r="Q3" s="25"/>
    </row>
    <row r="4" spans="1:17" ht="14.5">
      <c r="A4" s="26" t="s">
        <v>80</v>
      </c>
      <c r="B4" s="27">
        <v>45565</v>
      </c>
      <c r="C4" s="49">
        <v>45869</v>
      </c>
      <c r="D4" s="26" t="s">
        <v>81</v>
      </c>
      <c r="E4" s="26" t="s">
        <v>82</v>
      </c>
      <c r="F4" s="26" t="s">
        <v>27</v>
      </c>
      <c r="G4" s="26" t="s">
        <v>33</v>
      </c>
      <c r="H4" s="27">
        <v>45674</v>
      </c>
      <c r="I4" s="28">
        <v>735917.33063800004</v>
      </c>
      <c r="J4" s="28">
        <v>940502.34855536406</v>
      </c>
      <c r="K4" s="28">
        <v>1278</v>
      </c>
      <c r="L4" s="28">
        <v>195</v>
      </c>
      <c r="M4" s="26" t="s">
        <v>29</v>
      </c>
      <c r="N4" s="50" t="s">
        <v>83</v>
      </c>
      <c r="O4" s="51"/>
      <c r="P4" s="51"/>
      <c r="Q4" s="51"/>
    </row>
    <row r="5" spans="1:17" ht="14.5">
      <c r="A5" s="26" t="s">
        <v>84</v>
      </c>
      <c r="B5" s="27">
        <v>45642</v>
      </c>
      <c r="C5" s="49">
        <v>45961</v>
      </c>
      <c r="D5" s="26" t="s">
        <v>85</v>
      </c>
      <c r="E5" s="26" t="s">
        <v>82</v>
      </c>
      <c r="F5" s="26" t="s">
        <v>27</v>
      </c>
      <c r="G5" s="26" t="s">
        <v>33</v>
      </c>
      <c r="H5" s="27">
        <v>45674</v>
      </c>
      <c r="I5" s="28">
        <v>760096.18516400002</v>
      </c>
      <c r="J5" s="28">
        <v>819383.68760679197</v>
      </c>
      <c r="K5" s="28">
        <v>1078</v>
      </c>
      <c r="L5" s="28">
        <v>287</v>
      </c>
      <c r="M5" s="26" t="s">
        <v>29</v>
      </c>
      <c r="N5" s="50" t="s">
        <v>86</v>
      </c>
      <c r="O5" s="51"/>
      <c r="P5" s="51"/>
      <c r="Q5" s="51"/>
    </row>
    <row r="6" spans="1:17" ht="14.5">
      <c r="A6" s="26" t="s">
        <v>87</v>
      </c>
      <c r="B6" s="27">
        <v>45548</v>
      </c>
      <c r="C6" s="49">
        <v>45730</v>
      </c>
      <c r="D6" s="26" t="s">
        <v>50</v>
      </c>
      <c r="E6" s="26" t="s">
        <v>82</v>
      </c>
      <c r="F6" s="26" t="s">
        <v>27</v>
      </c>
      <c r="G6" s="26" t="s">
        <v>33</v>
      </c>
      <c r="H6" s="27">
        <v>45688</v>
      </c>
      <c r="I6" s="28">
        <v>790807.451275</v>
      </c>
      <c r="J6" s="28">
        <v>962017.26447603747</v>
      </c>
      <c r="K6" s="28">
        <v>1216.5</v>
      </c>
      <c r="L6" s="28">
        <v>42</v>
      </c>
      <c r="M6" s="26" t="s">
        <v>29</v>
      </c>
      <c r="N6" s="50" t="s">
        <v>88</v>
      </c>
      <c r="O6" s="19"/>
      <c r="P6" s="19"/>
      <c r="Q6" s="19"/>
    </row>
    <row r="7" spans="1:17" ht="14.5">
      <c r="A7" s="26" t="s">
        <v>89</v>
      </c>
      <c r="B7" s="27">
        <v>45565</v>
      </c>
      <c r="C7" s="49">
        <v>45775</v>
      </c>
      <c r="D7" s="26" t="s">
        <v>90</v>
      </c>
      <c r="E7" s="26" t="s">
        <v>82</v>
      </c>
      <c r="F7" s="26" t="s">
        <v>27</v>
      </c>
      <c r="G7" s="26" t="s">
        <v>33</v>
      </c>
      <c r="H7" s="27">
        <v>45688</v>
      </c>
      <c r="I7" s="28">
        <v>612358.59740199998</v>
      </c>
      <c r="J7" s="28">
        <v>750139.28181744996</v>
      </c>
      <c r="K7" s="28">
        <v>1225</v>
      </c>
      <c r="L7" s="28">
        <v>87</v>
      </c>
      <c r="M7" s="26" t="s">
        <v>29</v>
      </c>
      <c r="N7" s="50" t="s">
        <v>91</v>
      </c>
      <c r="O7" s="19"/>
      <c r="P7" s="19"/>
      <c r="Q7" s="19"/>
    </row>
    <row r="8" spans="1:17" ht="14.5">
      <c r="A8" s="26" t="s">
        <v>87</v>
      </c>
      <c r="B8" s="27">
        <v>45548</v>
      </c>
      <c r="C8" s="49">
        <v>45730</v>
      </c>
      <c r="D8" s="26" t="s">
        <v>50</v>
      </c>
      <c r="E8" s="26" t="s">
        <v>82</v>
      </c>
      <c r="F8" s="26" t="s">
        <v>27</v>
      </c>
      <c r="G8" s="26" t="s">
        <v>33</v>
      </c>
      <c r="H8" s="27">
        <v>45702</v>
      </c>
      <c r="I8" s="28">
        <v>2061834.503788</v>
      </c>
      <c r="J8" s="28">
        <v>2533169.8713539368</v>
      </c>
      <c r="K8" s="28">
        <v>1228.5999999999999</v>
      </c>
      <c r="L8" s="28">
        <v>28</v>
      </c>
      <c r="M8" s="26" t="s">
        <v>29</v>
      </c>
      <c r="N8" s="50" t="s">
        <v>92</v>
      </c>
      <c r="O8" s="19"/>
      <c r="P8" s="19"/>
      <c r="Q8" s="19"/>
    </row>
    <row r="9" spans="1:17" ht="14.5">
      <c r="A9" s="26" t="s">
        <v>93</v>
      </c>
      <c r="B9" s="27">
        <v>45565</v>
      </c>
      <c r="C9" s="49">
        <v>45807</v>
      </c>
      <c r="D9" s="26" t="s">
        <v>90</v>
      </c>
      <c r="E9" s="26" t="s">
        <v>82</v>
      </c>
      <c r="F9" s="26" t="s">
        <v>27</v>
      </c>
      <c r="G9" s="26" t="s">
        <v>33</v>
      </c>
      <c r="H9" s="27">
        <v>45702</v>
      </c>
      <c r="I9" s="28">
        <v>661021.29168699996</v>
      </c>
      <c r="J9" s="28">
        <v>825285.08267121948</v>
      </c>
      <c r="K9" s="28">
        <v>1248.5</v>
      </c>
      <c r="L9" s="28">
        <v>105</v>
      </c>
      <c r="M9" s="26" t="s">
        <v>29</v>
      </c>
      <c r="N9" s="50" t="s">
        <v>94</v>
      </c>
      <c r="O9" s="19"/>
      <c r="P9" s="19"/>
      <c r="Q9" s="19"/>
    </row>
    <row r="10" spans="1:17" ht="14.5">
      <c r="A10" s="26" t="s">
        <v>80</v>
      </c>
      <c r="B10" s="27">
        <v>45565</v>
      </c>
      <c r="C10" s="49">
        <v>45869</v>
      </c>
      <c r="D10" s="26" t="s">
        <v>81</v>
      </c>
      <c r="E10" s="26" t="s">
        <v>82</v>
      </c>
      <c r="F10" s="26" t="s">
        <v>27</v>
      </c>
      <c r="G10" s="26" t="s">
        <v>33</v>
      </c>
      <c r="H10" s="27">
        <v>45702</v>
      </c>
      <c r="I10" s="28">
        <v>462196.163535</v>
      </c>
      <c r="J10" s="28">
        <v>602703.79724963999</v>
      </c>
      <c r="K10" s="28">
        <v>1304</v>
      </c>
      <c r="L10" s="28">
        <v>167</v>
      </c>
      <c r="M10" s="26" t="s">
        <v>29</v>
      </c>
      <c r="N10" s="50" t="s">
        <v>94</v>
      </c>
      <c r="O10" s="19"/>
      <c r="P10" s="19"/>
      <c r="Q10" s="19"/>
    </row>
    <row r="11" spans="1:17" ht="14.5">
      <c r="A11" s="26" t="s">
        <v>95</v>
      </c>
      <c r="B11" s="27">
        <v>45702</v>
      </c>
      <c r="C11" s="49">
        <v>45989</v>
      </c>
      <c r="D11" s="26" t="s">
        <v>96</v>
      </c>
      <c r="E11" s="26" t="s">
        <v>82</v>
      </c>
      <c r="F11" s="26" t="s">
        <v>27</v>
      </c>
      <c r="G11" s="26" t="s">
        <v>33</v>
      </c>
      <c r="H11" s="27">
        <v>45702</v>
      </c>
      <c r="I11" s="28">
        <v>446327.24261199997</v>
      </c>
      <c r="J11" s="28">
        <v>446327.24261199997</v>
      </c>
      <c r="K11" s="28">
        <v>1000</v>
      </c>
      <c r="L11" s="28">
        <v>287</v>
      </c>
      <c r="M11" s="26" t="s">
        <v>29</v>
      </c>
      <c r="N11" s="50">
        <v>8</v>
      </c>
      <c r="O11" s="19"/>
      <c r="P11" s="19"/>
      <c r="Q11" s="19"/>
    </row>
    <row r="12" spans="1:17" ht="14.5">
      <c r="A12" s="26" t="s">
        <v>97</v>
      </c>
      <c r="B12" s="27">
        <v>45702</v>
      </c>
      <c r="C12" s="49">
        <v>46038</v>
      </c>
      <c r="D12" s="26" t="s">
        <v>98</v>
      </c>
      <c r="E12" s="26" t="s">
        <v>82</v>
      </c>
      <c r="F12" s="26" t="s">
        <v>27</v>
      </c>
      <c r="G12" s="26" t="s">
        <v>99</v>
      </c>
      <c r="H12" s="27">
        <v>45702</v>
      </c>
      <c r="I12" s="28">
        <v>79.337457000000001</v>
      </c>
      <c r="J12" s="28">
        <v>79.337457000000001</v>
      </c>
      <c r="K12" s="28">
        <v>1000</v>
      </c>
      <c r="L12" s="28">
        <v>336</v>
      </c>
      <c r="M12" s="26" t="s">
        <v>29</v>
      </c>
      <c r="N12" s="50">
        <v>8</v>
      </c>
      <c r="O12" s="19"/>
      <c r="P12" s="19"/>
      <c r="Q12" s="19"/>
    </row>
    <row r="13" spans="1:17" ht="14.5">
      <c r="A13" s="26" t="s">
        <v>100</v>
      </c>
      <c r="B13" s="27">
        <v>45412</v>
      </c>
      <c r="C13" s="49">
        <v>45747</v>
      </c>
      <c r="D13" s="26" t="s">
        <v>101</v>
      </c>
      <c r="E13" s="26" t="s">
        <v>82</v>
      </c>
      <c r="F13" s="26" t="s">
        <v>27</v>
      </c>
      <c r="G13" s="26" t="s">
        <v>33</v>
      </c>
      <c r="H13" s="27">
        <v>45716</v>
      </c>
      <c r="I13" s="28">
        <v>895288.89442300005</v>
      </c>
      <c r="J13" s="28">
        <v>1356720.7906086145</v>
      </c>
      <c r="K13" s="28">
        <v>1515.4</v>
      </c>
      <c r="L13" s="28">
        <v>31</v>
      </c>
      <c r="M13" s="26" t="s">
        <v>29</v>
      </c>
      <c r="N13" s="50" t="s">
        <v>102</v>
      </c>
      <c r="O13" s="19"/>
      <c r="P13" s="19"/>
      <c r="Q13" s="19"/>
    </row>
    <row r="14" spans="1:17" ht="14.5">
      <c r="A14" s="26" t="s">
        <v>89</v>
      </c>
      <c r="B14" s="27">
        <v>45565</v>
      </c>
      <c r="C14" s="49">
        <v>45775</v>
      </c>
      <c r="D14" s="26" t="s">
        <v>90</v>
      </c>
      <c r="E14" s="26" t="s">
        <v>82</v>
      </c>
      <c r="F14" s="26" t="s">
        <v>27</v>
      </c>
      <c r="G14" s="26" t="s">
        <v>33</v>
      </c>
      <c r="H14" s="27">
        <v>45716</v>
      </c>
      <c r="I14" s="28">
        <v>625773.81896499998</v>
      </c>
      <c r="J14" s="28">
        <v>779589.02366659697</v>
      </c>
      <c r="K14" s="28">
        <v>1245.8</v>
      </c>
      <c r="L14" s="28">
        <v>59</v>
      </c>
      <c r="M14" s="26" t="s">
        <v>29</v>
      </c>
      <c r="N14" s="50" t="s">
        <v>91</v>
      </c>
      <c r="O14" s="19"/>
      <c r="P14" s="19"/>
      <c r="Q14" s="19"/>
    </row>
    <row r="15" spans="1:17" ht="14.5">
      <c r="A15" s="26" t="s">
        <v>103</v>
      </c>
      <c r="B15" s="27">
        <v>45520</v>
      </c>
      <c r="C15" s="49">
        <v>45826</v>
      </c>
      <c r="D15" s="49" t="s">
        <v>90</v>
      </c>
      <c r="E15" s="49" t="s">
        <v>82</v>
      </c>
      <c r="F15" s="49" t="s">
        <v>27</v>
      </c>
      <c r="G15" s="49" t="s">
        <v>33</v>
      </c>
      <c r="H15" s="27">
        <v>45716</v>
      </c>
      <c r="I15" s="28">
        <v>983626.89762299997</v>
      </c>
      <c r="J15" s="28">
        <v>1327896.31179105</v>
      </c>
      <c r="K15" s="28">
        <v>1350</v>
      </c>
      <c r="L15" s="28">
        <v>110</v>
      </c>
      <c r="M15" s="26" t="s">
        <v>29</v>
      </c>
      <c r="N15" s="50" t="s">
        <v>104</v>
      </c>
      <c r="O15" s="19"/>
      <c r="P15" s="19"/>
      <c r="Q15" s="19"/>
    </row>
    <row r="16" spans="1:17" ht="20">
      <c r="A16" s="26" t="s">
        <v>105</v>
      </c>
      <c r="B16" s="27">
        <v>45548</v>
      </c>
      <c r="C16" s="49">
        <v>45763</v>
      </c>
      <c r="D16" s="32" t="s">
        <v>50</v>
      </c>
      <c r="E16" s="26" t="s">
        <v>82</v>
      </c>
      <c r="F16" s="32" t="s">
        <v>27</v>
      </c>
      <c r="G16" s="32" t="s">
        <v>33</v>
      </c>
      <c r="H16" s="52">
        <v>45730</v>
      </c>
      <c r="I16" s="28">
        <v>2023815.2557069999</v>
      </c>
      <c r="J16" s="53">
        <v>2581376.3586542783</v>
      </c>
      <c r="K16" s="53">
        <v>1275.5</v>
      </c>
      <c r="L16" s="53">
        <v>33</v>
      </c>
      <c r="M16" s="26" t="s">
        <v>29</v>
      </c>
      <c r="N16" s="50" t="s">
        <v>106</v>
      </c>
      <c r="O16" s="1"/>
      <c r="P16" s="1"/>
      <c r="Q16" s="1"/>
    </row>
    <row r="17" spans="1:17" ht="20">
      <c r="A17" s="26" t="s">
        <v>93</v>
      </c>
      <c r="B17" s="27">
        <v>45565</v>
      </c>
      <c r="C17" s="49">
        <v>45807</v>
      </c>
      <c r="D17" s="26" t="s">
        <v>90</v>
      </c>
      <c r="E17" s="26" t="s">
        <v>82</v>
      </c>
      <c r="F17" s="26" t="s">
        <v>27</v>
      </c>
      <c r="G17" s="26" t="s">
        <v>33</v>
      </c>
      <c r="H17" s="52">
        <v>45730</v>
      </c>
      <c r="I17" s="28">
        <v>712843.78869399999</v>
      </c>
      <c r="J17" s="28">
        <v>911727.20573962596</v>
      </c>
      <c r="K17" s="28">
        <v>1279</v>
      </c>
      <c r="L17" s="28">
        <v>77</v>
      </c>
      <c r="M17" s="26" t="s">
        <v>29</v>
      </c>
      <c r="N17" s="50" t="s">
        <v>107</v>
      </c>
      <c r="O17" s="19"/>
      <c r="P17" s="19"/>
      <c r="Q17" s="19"/>
    </row>
    <row r="18" spans="1:17" ht="20">
      <c r="A18" s="26" t="s">
        <v>80</v>
      </c>
      <c r="B18" s="27">
        <v>45565</v>
      </c>
      <c r="C18" s="49">
        <v>45869</v>
      </c>
      <c r="D18" s="26" t="s">
        <v>81</v>
      </c>
      <c r="E18" s="26" t="s">
        <v>82</v>
      </c>
      <c r="F18" s="26" t="s">
        <v>27</v>
      </c>
      <c r="G18" s="26" t="s">
        <v>33</v>
      </c>
      <c r="H18" s="27">
        <v>45730</v>
      </c>
      <c r="I18" s="28">
        <v>466422.23003400001</v>
      </c>
      <c r="J18" s="28">
        <v>615677.34364488011</v>
      </c>
      <c r="K18" s="28">
        <v>1320</v>
      </c>
      <c r="L18" s="28">
        <v>139</v>
      </c>
      <c r="M18" s="26" t="s">
        <v>29</v>
      </c>
      <c r="N18" s="50" t="s">
        <v>107</v>
      </c>
      <c r="O18" s="19"/>
      <c r="P18" s="19"/>
      <c r="Q18" s="19"/>
    </row>
    <row r="19" spans="1:17" ht="20">
      <c r="A19" s="26" t="s">
        <v>89</v>
      </c>
      <c r="B19" s="27">
        <v>45565</v>
      </c>
      <c r="C19" s="49">
        <v>45775</v>
      </c>
      <c r="D19" s="26" t="s">
        <v>90</v>
      </c>
      <c r="E19" s="26" t="s">
        <v>82</v>
      </c>
      <c r="F19" s="26" t="s">
        <v>27</v>
      </c>
      <c r="G19" s="26" t="s">
        <v>33</v>
      </c>
      <c r="H19" s="27">
        <v>45747</v>
      </c>
      <c r="I19" s="28">
        <v>2087698.884117</v>
      </c>
      <c r="J19" s="28">
        <v>2661816.0772491749</v>
      </c>
      <c r="K19" s="28">
        <v>1275</v>
      </c>
      <c r="L19" s="28">
        <v>28</v>
      </c>
      <c r="M19" s="26" t="s">
        <v>29</v>
      </c>
      <c r="N19" s="50" t="s">
        <v>108</v>
      </c>
      <c r="O19" s="19"/>
      <c r="P19" s="19"/>
      <c r="Q19" s="19"/>
    </row>
    <row r="20" spans="1:17" ht="20">
      <c r="A20" s="26" t="s">
        <v>93</v>
      </c>
      <c r="B20" s="27">
        <v>45565</v>
      </c>
      <c r="C20" s="49">
        <v>45807</v>
      </c>
      <c r="D20" s="26" t="s">
        <v>90</v>
      </c>
      <c r="E20" s="26" t="s">
        <v>82</v>
      </c>
      <c r="F20" s="26" t="s">
        <v>27</v>
      </c>
      <c r="G20" s="26" t="s">
        <v>33</v>
      </c>
      <c r="H20" s="27">
        <v>45747</v>
      </c>
      <c r="I20" s="28">
        <v>1637231.781586</v>
      </c>
      <c r="J20" s="28">
        <v>2112028.9982459401</v>
      </c>
      <c r="K20" s="28">
        <v>1290</v>
      </c>
      <c r="L20" s="28">
        <v>60</v>
      </c>
      <c r="M20" s="26" t="s">
        <v>29</v>
      </c>
      <c r="N20" s="50" t="s">
        <v>108</v>
      </c>
      <c r="O20" s="19"/>
      <c r="P20" s="19"/>
      <c r="Q20" s="19"/>
    </row>
    <row r="21" spans="1:17" ht="15.75" customHeight="1">
      <c r="A21" s="26" t="s">
        <v>80</v>
      </c>
      <c r="B21" s="27">
        <v>45565</v>
      </c>
      <c r="C21" s="49">
        <v>45869</v>
      </c>
      <c r="D21" s="26" t="s">
        <v>81</v>
      </c>
      <c r="E21" s="26" t="s">
        <v>82</v>
      </c>
      <c r="F21" s="26" t="s">
        <v>27</v>
      </c>
      <c r="G21" s="26" t="s">
        <v>33</v>
      </c>
      <c r="H21" s="27">
        <v>45747</v>
      </c>
      <c r="I21" s="28">
        <v>148489.63785299999</v>
      </c>
      <c r="J21" s="28">
        <v>196436.94191573368</v>
      </c>
      <c r="K21" s="28">
        <v>1322.9</v>
      </c>
      <c r="L21" s="28">
        <v>122</v>
      </c>
      <c r="M21" s="26" t="s">
        <v>29</v>
      </c>
      <c r="N21" s="50" t="s">
        <v>108</v>
      </c>
      <c r="O21" s="19"/>
      <c r="P21" s="19"/>
      <c r="Q21" s="19"/>
    </row>
    <row r="22" spans="1:17" ht="15.75" customHeight="1">
      <c r="A22" s="26" t="s">
        <v>97</v>
      </c>
      <c r="B22" s="27">
        <v>45702</v>
      </c>
      <c r="C22" s="49">
        <v>46038</v>
      </c>
      <c r="D22" s="26" t="s">
        <v>98</v>
      </c>
      <c r="E22" s="26" t="s">
        <v>82</v>
      </c>
      <c r="F22" s="26" t="s">
        <v>27</v>
      </c>
      <c r="G22" s="26" t="s">
        <v>99</v>
      </c>
      <c r="H22" s="27">
        <v>45747</v>
      </c>
      <c r="I22" s="28">
        <v>202.245869</v>
      </c>
      <c r="J22" s="28">
        <v>202.245869</v>
      </c>
      <c r="K22" s="28">
        <v>1000</v>
      </c>
      <c r="L22" s="28">
        <v>291</v>
      </c>
      <c r="M22" s="26" t="s">
        <v>29</v>
      </c>
      <c r="N22" s="50">
        <v>8</v>
      </c>
      <c r="O22" s="19"/>
      <c r="P22" s="19"/>
      <c r="Q22" s="19"/>
    </row>
    <row r="23" spans="1:17" ht="15.75" customHeight="1">
      <c r="A23" s="26" t="s">
        <v>109</v>
      </c>
      <c r="B23" s="27">
        <v>45763</v>
      </c>
      <c r="C23" s="49">
        <v>45869</v>
      </c>
      <c r="D23" s="26" t="s">
        <v>110</v>
      </c>
      <c r="E23" s="26" t="s">
        <v>82</v>
      </c>
      <c r="F23" s="26" t="s">
        <v>27</v>
      </c>
      <c r="G23" s="32" t="s">
        <v>33</v>
      </c>
      <c r="H23" s="27">
        <v>45763</v>
      </c>
      <c r="I23" s="28">
        <v>600341.70764899999</v>
      </c>
      <c r="J23" s="28">
        <v>600341.70764899987</v>
      </c>
      <c r="K23" s="28">
        <v>1000</v>
      </c>
      <c r="L23" s="28">
        <v>106</v>
      </c>
      <c r="M23" s="26" t="s">
        <v>29</v>
      </c>
      <c r="N23" s="50">
        <v>16</v>
      </c>
      <c r="O23" s="19"/>
      <c r="P23" s="19"/>
      <c r="Q23" s="19"/>
    </row>
    <row r="24" spans="1:17" ht="15.75" customHeight="1">
      <c r="A24" s="32" t="s">
        <v>111</v>
      </c>
      <c r="B24" s="52">
        <v>45548</v>
      </c>
      <c r="C24" s="54">
        <v>45793</v>
      </c>
      <c r="D24" s="32" t="s">
        <v>90</v>
      </c>
      <c r="E24" s="32" t="s">
        <v>82</v>
      </c>
      <c r="F24" s="32" t="s">
        <v>27</v>
      </c>
      <c r="G24" s="32" t="s">
        <v>33</v>
      </c>
      <c r="H24" s="52">
        <v>45763</v>
      </c>
      <c r="I24" s="53">
        <v>1790322.689481</v>
      </c>
      <c r="J24" s="53">
        <v>2361793.691963335</v>
      </c>
      <c r="K24" s="53">
        <v>1319.2</v>
      </c>
      <c r="L24" s="53">
        <v>30</v>
      </c>
      <c r="M24" s="32" t="s">
        <v>29</v>
      </c>
      <c r="N24" s="55" t="s">
        <v>112</v>
      </c>
      <c r="O24" s="1"/>
      <c r="P24" s="1"/>
      <c r="Q24" s="1"/>
    </row>
    <row r="25" spans="1:17" ht="15.75" customHeight="1">
      <c r="A25" s="26" t="s">
        <v>103</v>
      </c>
      <c r="B25" s="27">
        <v>45520</v>
      </c>
      <c r="C25" s="49">
        <v>45826</v>
      </c>
      <c r="D25" s="49" t="s">
        <v>90</v>
      </c>
      <c r="E25" s="49" t="s">
        <v>82</v>
      </c>
      <c r="F25" s="49" t="s">
        <v>27</v>
      </c>
      <c r="G25" s="49" t="s">
        <v>33</v>
      </c>
      <c r="H25" s="27">
        <v>45763</v>
      </c>
      <c r="I25" s="28">
        <v>941355.61873500003</v>
      </c>
      <c r="J25" s="28">
        <v>1292010.5867137876</v>
      </c>
      <c r="K25" s="28">
        <v>1372.5</v>
      </c>
      <c r="L25" s="28">
        <v>63</v>
      </c>
      <c r="M25" s="26" t="s">
        <v>29</v>
      </c>
      <c r="N25" s="50" t="s">
        <v>113</v>
      </c>
      <c r="O25" s="19"/>
      <c r="P25" s="19"/>
      <c r="Q25" s="19"/>
    </row>
    <row r="26" spans="1:17" ht="15.75" customHeight="1">
      <c r="A26" s="26" t="s">
        <v>80</v>
      </c>
      <c r="B26" s="27">
        <v>45565</v>
      </c>
      <c r="C26" s="49">
        <v>45869</v>
      </c>
      <c r="D26" s="26" t="s">
        <v>81</v>
      </c>
      <c r="E26" s="26" t="s">
        <v>82</v>
      </c>
      <c r="F26" s="26" t="s">
        <v>27</v>
      </c>
      <c r="G26" s="26" t="s">
        <v>33</v>
      </c>
      <c r="H26" s="27">
        <v>45763</v>
      </c>
      <c r="I26" s="28">
        <v>180250.295748</v>
      </c>
      <c r="J26" s="28">
        <v>238743.31922118348</v>
      </c>
      <c r="K26" s="28">
        <v>1324.51</v>
      </c>
      <c r="L26" s="28">
        <v>106</v>
      </c>
      <c r="M26" s="26" t="s">
        <v>29</v>
      </c>
      <c r="N26" s="50" t="s">
        <v>114</v>
      </c>
      <c r="O26" s="19"/>
      <c r="P26" s="19"/>
      <c r="Q26" s="19"/>
    </row>
    <row r="27" spans="1:17" ht="15.75" customHeight="1">
      <c r="A27" s="26" t="s">
        <v>115</v>
      </c>
      <c r="B27" s="27">
        <v>45579</v>
      </c>
      <c r="C27" s="49">
        <v>45884</v>
      </c>
      <c r="D27" s="26" t="s">
        <v>50</v>
      </c>
      <c r="E27" s="26" t="s">
        <v>82</v>
      </c>
      <c r="F27" s="26" t="s">
        <v>27</v>
      </c>
      <c r="G27" s="26" t="s">
        <v>33</v>
      </c>
      <c r="H27" s="27">
        <v>45775</v>
      </c>
      <c r="I27" s="28">
        <v>1595469.166771</v>
      </c>
      <c r="J27" s="28">
        <v>2121973.99180543</v>
      </c>
      <c r="K27" s="28">
        <v>1330</v>
      </c>
      <c r="L27" s="28">
        <v>109</v>
      </c>
      <c r="M27" s="26" t="s">
        <v>29</v>
      </c>
      <c r="N27" s="50" t="s">
        <v>51</v>
      </c>
      <c r="O27" s="1"/>
      <c r="P27" s="1"/>
      <c r="Q27" s="1"/>
    </row>
    <row r="28" spans="1:17" ht="40.5" customHeight="1">
      <c r="A28" s="26" t="s">
        <v>116</v>
      </c>
      <c r="B28" s="27">
        <v>45548</v>
      </c>
      <c r="C28" s="49">
        <v>45912</v>
      </c>
      <c r="D28" s="26" t="s">
        <v>90</v>
      </c>
      <c r="E28" s="26" t="s">
        <v>82</v>
      </c>
      <c r="F28" s="26" t="s">
        <v>27</v>
      </c>
      <c r="G28" s="26" t="s">
        <v>33</v>
      </c>
      <c r="H28" s="27">
        <v>45775</v>
      </c>
      <c r="I28" s="28">
        <v>450633.259265</v>
      </c>
      <c r="J28" s="28">
        <v>637420.74523034249</v>
      </c>
      <c r="K28" s="28">
        <v>1414.5</v>
      </c>
      <c r="L28" s="28">
        <v>137</v>
      </c>
      <c r="M28" s="26" t="s">
        <v>29</v>
      </c>
      <c r="N28" s="50" t="s">
        <v>117</v>
      </c>
      <c r="O28" s="1"/>
      <c r="P28" s="1"/>
      <c r="Q28" s="1"/>
    </row>
    <row r="29" spans="1:17" ht="15.75" customHeight="1">
      <c r="A29" s="26" t="s">
        <v>97</v>
      </c>
      <c r="B29" s="27">
        <v>45702</v>
      </c>
      <c r="C29" s="49">
        <v>46038</v>
      </c>
      <c r="D29" s="26" t="s">
        <v>98</v>
      </c>
      <c r="E29" s="26" t="s">
        <v>82</v>
      </c>
      <c r="F29" s="26" t="s">
        <v>27</v>
      </c>
      <c r="G29" s="26" t="s">
        <v>99</v>
      </c>
      <c r="H29" s="27">
        <v>45775</v>
      </c>
      <c r="I29" s="28">
        <v>221.61948599999999</v>
      </c>
      <c r="J29" s="28">
        <v>207.21421941</v>
      </c>
      <c r="K29" s="28">
        <v>935</v>
      </c>
      <c r="L29" s="28">
        <v>263</v>
      </c>
      <c r="M29" s="26" t="s">
        <v>29</v>
      </c>
      <c r="N29" s="50" t="s">
        <v>118</v>
      </c>
      <c r="O29" s="19"/>
      <c r="P29" s="19"/>
      <c r="Q29" s="19"/>
    </row>
    <row r="30" spans="1:17" ht="15.75" customHeight="1">
      <c r="A30" s="26" t="s">
        <v>80</v>
      </c>
      <c r="B30" s="27">
        <v>45565</v>
      </c>
      <c r="C30" s="49">
        <v>45869</v>
      </c>
      <c r="D30" s="26" t="s">
        <v>81</v>
      </c>
      <c r="E30" s="26" t="s">
        <v>82</v>
      </c>
      <c r="F30" s="26" t="s">
        <v>27</v>
      </c>
      <c r="G30" s="26" t="s">
        <v>33</v>
      </c>
      <c r="H30" s="27">
        <v>45793</v>
      </c>
      <c r="I30" s="28">
        <v>991125.00237200002</v>
      </c>
      <c r="J30" s="28">
        <v>1373203.6907864059</v>
      </c>
      <c r="K30" s="28">
        <v>1385.5</v>
      </c>
      <c r="L30" s="28">
        <v>76</v>
      </c>
      <c r="M30" s="26" t="s">
        <v>29</v>
      </c>
      <c r="N30" s="50" t="s">
        <v>119</v>
      </c>
      <c r="O30" s="19"/>
      <c r="P30" s="19"/>
      <c r="Q30" s="19"/>
    </row>
    <row r="31" spans="1:17" ht="15.75" customHeight="1">
      <c r="A31" s="26" t="s">
        <v>120</v>
      </c>
      <c r="B31" s="27">
        <v>45534</v>
      </c>
      <c r="C31" s="49">
        <v>45898</v>
      </c>
      <c r="D31" s="26" t="s">
        <v>121</v>
      </c>
      <c r="E31" s="26" t="s">
        <v>82</v>
      </c>
      <c r="F31" s="26" t="s">
        <v>27</v>
      </c>
      <c r="G31" s="26" t="s">
        <v>33</v>
      </c>
      <c r="H31" s="27">
        <v>45793</v>
      </c>
      <c r="I31" s="28">
        <v>224075.08659200001</v>
      </c>
      <c r="J31" s="28">
        <v>324236.65029862407</v>
      </c>
      <c r="K31" s="28">
        <v>1447</v>
      </c>
      <c r="L31" s="28">
        <v>105</v>
      </c>
      <c r="M31" s="26" t="s">
        <v>29</v>
      </c>
      <c r="N31" s="50" t="s">
        <v>122</v>
      </c>
      <c r="O31" s="19"/>
      <c r="P31" s="19"/>
      <c r="Q31" s="19"/>
    </row>
    <row r="32" spans="1:17" ht="15.75" customHeight="1">
      <c r="A32" s="26" t="s">
        <v>123</v>
      </c>
      <c r="B32" s="27">
        <v>45534</v>
      </c>
      <c r="C32" s="49">
        <v>45838</v>
      </c>
      <c r="D32" s="26" t="s">
        <v>50</v>
      </c>
      <c r="E32" s="26" t="s">
        <v>82</v>
      </c>
      <c r="F32" s="26" t="s">
        <v>27</v>
      </c>
      <c r="G32" s="26" t="s">
        <v>33</v>
      </c>
      <c r="H32" s="27">
        <v>45793</v>
      </c>
      <c r="I32" s="28">
        <v>1404997.5085159999</v>
      </c>
      <c r="J32" s="28">
        <v>1983856.4820245919</v>
      </c>
      <c r="K32" s="28">
        <v>1412</v>
      </c>
      <c r="L32" s="28">
        <v>45</v>
      </c>
      <c r="M32" s="26" t="s">
        <v>29</v>
      </c>
      <c r="N32" s="50" t="s">
        <v>122</v>
      </c>
      <c r="O32" s="19"/>
      <c r="P32" s="19"/>
      <c r="Q32" s="19"/>
    </row>
    <row r="33" spans="1:17" ht="15.75" customHeight="1">
      <c r="A33" s="26" t="s">
        <v>95</v>
      </c>
      <c r="B33" s="27">
        <v>45702</v>
      </c>
      <c r="C33" s="49">
        <v>45989</v>
      </c>
      <c r="D33" s="26" t="s">
        <v>96</v>
      </c>
      <c r="E33" s="26" t="s">
        <v>82</v>
      </c>
      <c r="F33" s="26" t="s">
        <v>27</v>
      </c>
      <c r="G33" s="26" t="s">
        <v>33</v>
      </c>
      <c r="H33" s="27">
        <v>45793</v>
      </c>
      <c r="I33" s="28">
        <v>221629.04636800001</v>
      </c>
      <c r="J33" s="28">
        <v>233552.68906259839</v>
      </c>
      <c r="K33" s="28">
        <v>1053.8</v>
      </c>
      <c r="L33" s="28">
        <v>196</v>
      </c>
      <c r="M33" s="26" t="s">
        <v>29</v>
      </c>
      <c r="N33" s="50">
        <v>8</v>
      </c>
      <c r="O33" s="19"/>
      <c r="P33" s="19"/>
      <c r="Q33" s="19"/>
    </row>
    <row r="34" spans="1:17" ht="15.75" customHeight="1">
      <c r="A34" s="26" t="s">
        <v>80</v>
      </c>
      <c r="B34" s="27">
        <v>45565</v>
      </c>
      <c r="C34" s="49">
        <v>45869</v>
      </c>
      <c r="D34" s="26" t="s">
        <v>81</v>
      </c>
      <c r="E34" s="26" t="s">
        <v>82</v>
      </c>
      <c r="F34" s="26" t="s">
        <v>27</v>
      </c>
      <c r="G34" s="26" t="s">
        <v>33</v>
      </c>
      <c r="H34" s="27">
        <v>45807</v>
      </c>
      <c r="I34" s="28">
        <v>930978.95166200004</v>
      </c>
      <c r="J34" s="28">
        <v>1307280.6439237804</v>
      </c>
      <c r="K34" s="28">
        <v>1404.2</v>
      </c>
      <c r="L34" s="28">
        <v>62</v>
      </c>
      <c r="M34" s="26" t="s">
        <v>29</v>
      </c>
      <c r="N34" s="50" t="s">
        <v>124</v>
      </c>
      <c r="O34" s="19"/>
      <c r="P34" s="19"/>
      <c r="Q34" s="19"/>
    </row>
    <row r="35" spans="1:17" ht="15.75" customHeight="1">
      <c r="A35" s="26" t="s">
        <v>120</v>
      </c>
      <c r="B35" s="27">
        <v>45534</v>
      </c>
      <c r="C35" s="49">
        <v>45898</v>
      </c>
      <c r="D35" s="26" t="s">
        <v>121</v>
      </c>
      <c r="E35" s="26" t="s">
        <v>82</v>
      </c>
      <c r="F35" s="26" t="s">
        <v>27</v>
      </c>
      <c r="G35" s="26" t="s">
        <v>33</v>
      </c>
      <c r="H35" s="27">
        <v>45807</v>
      </c>
      <c r="I35" s="28">
        <v>1368604.8123999999</v>
      </c>
      <c r="J35" s="28">
        <v>2004595.4687222801</v>
      </c>
      <c r="K35" s="28">
        <v>1464.7</v>
      </c>
      <c r="L35" s="28">
        <v>91</v>
      </c>
      <c r="M35" s="26" t="s">
        <v>29</v>
      </c>
      <c r="N35" s="50" t="s">
        <v>125</v>
      </c>
      <c r="O35" s="19"/>
      <c r="P35" s="19"/>
      <c r="Q35" s="19"/>
    </row>
    <row r="36" spans="1:17" s="121" customFormat="1" ht="15.75" customHeight="1">
      <c r="A36" s="114" t="s">
        <v>126</v>
      </c>
      <c r="B36" s="117">
        <v>45807</v>
      </c>
      <c r="C36" s="117">
        <v>46171</v>
      </c>
      <c r="D36" s="114" t="s">
        <v>127</v>
      </c>
      <c r="E36" s="114" t="s">
        <v>82</v>
      </c>
      <c r="F36" s="114" t="s">
        <v>27</v>
      </c>
      <c r="G36" s="114" t="s">
        <v>33</v>
      </c>
      <c r="H36" s="117">
        <v>45807</v>
      </c>
      <c r="I36" s="122">
        <v>553654.52302099997</v>
      </c>
      <c r="J36" s="122">
        <v>553654.52302099997</v>
      </c>
      <c r="K36" s="122">
        <v>1000</v>
      </c>
      <c r="L36" s="122">
        <v>364</v>
      </c>
      <c r="M36" s="114" t="s">
        <v>29</v>
      </c>
      <c r="N36" s="123">
        <v>24</v>
      </c>
      <c r="O36" s="128"/>
      <c r="P36" s="128"/>
      <c r="Q36" s="128"/>
    </row>
    <row r="37" spans="1:17" ht="15.75" customHeight="1">
      <c r="A37" s="26" t="s">
        <v>123</v>
      </c>
      <c r="B37" s="27">
        <v>45534</v>
      </c>
      <c r="C37" s="49">
        <v>45838</v>
      </c>
      <c r="D37" s="26" t="s">
        <v>50</v>
      </c>
      <c r="E37" s="26" t="s">
        <v>82</v>
      </c>
      <c r="F37" s="26" t="s">
        <v>27</v>
      </c>
      <c r="G37" s="26" t="s">
        <v>33</v>
      </c>
      <c r="H37" s="27">
        <v>45807</v>
      </c>
      <c r="I37" s="28">
        <v>1872679.2015800001</v>
      </c>
      <c r="J37" s="28">
        <v>2676433.1148981364</v>
      </c>
      <c r="K37" s="28">
        <v>1429.2</v>
      </c>
      <c r="L37" s="28">
        <v>31</v>
      </c>
      <c r="M37" s="26" t="s">
        <v>29</v>
      </c>
      <c r="N37" s="50" t="s">
        <v>128</v>
      </c>
      <c r="O37" s="19"/>
      <c r="P37" s="19"/>
      <c r="Q37" s="19"/>
    </row>
    <row r="38" spans="1:17" ht="15.75" customHeight="1">
      <c r="A38" s="26" t="s">
        <v>95</v>
      </c>
      <c r="B38" s="27">
        <v>45702</v>
      </c>
      <c r="C38" s="49">
        <v>45989</v>
      </c>
      <c r="D38" s="26" t="s">
        <v>96</v>
      </c>
      <c r="E38" s="26" t="s">
        <v>82</v>
      </c>
      <c r="F38" s="26" t="s">
        <v>27</v>
      </c>
      <c r="G38" s="26" t="s">
        <v>33</v>
      </c>
      <c r="H38" s="27">
        <v>45807</v>
      </c>
      <c r="I38" s="28">
        <v>311360.16924900003</v>
      </c>
      <c r="J38" s="28">
        <v>333373.33321490436</v>
      </c>
      <c r="K38" s="28">
        <v>1070.7</v>
      </c>
      <c r="L38" s="28">
        <v>182</v>
      </c>
      <c r="M38" s="26" t="s">
        <v>29</v>
      </c>
      <c r="N38" s="50">
        <v>8</v>
      </c>
      <c r="O38" s="19"/>
      <c r="P38" s="19"/>
      <c r="Q38" s="19"/>
    </row>
    <row r="39" spans="1:17" ht="15.75" customHeight="1">
      <c r="A39" s="26" t="s">
        <v>129</v>
      </c>
      <c r="B39" s="27">
        <v>45826</v>
      </c>
      <c r="C39" s="49">
        <v>45848</v>
      </c>
      <c r="D39" s="26" t="s">
        <v>130</v>
      </c>
      <c r="E39" s="26" t="s">
        <v>82</v>
      </c>
      <c r="F39" s="26" t="s">
        <v>27</v>
      </c>
      <c r="G39" s="26" t="s">
        <v>33</v>
      </c>
      <c r="H39" s="27">
        <v>45826</v>
      </c>
      <c r="I39" s="28">
        <v>2826144.4807589999</v>
      </c>
      <c r="J39" s="28">
        <v>2826144.4807589999</v>
      </c>
      <c r="K39" s="28">
        <v>1000</v>
      </c>
      <c r="L39" s="28">
        <v>22</v>
      </c>
      <c r="M39" s="26" t="s">
        <v>29</v>
      </c>
      <c r="N39" s="50">
        <v>28</v>
      </c>
      <c r="O39" s="19"/>
      <c r="P39" s="19"/>
      <c r="Q39" s="19"/>
    </row>
    <row r="40" spans="1:17" ht="15.75" customHeight="1">
      <c r="A40" s="26" t="s">
        <v>115</v>
      </c>
      <c r="B40" s="27">
        <v>45579</v>
      </c>
      <c r="C40" s="49">
        <v>45884</v>
      </c>
      <c r="D40" s="26" t="s">
        <v>50</v>
      </c>
      <c r="E40" s="26" t="s">
        <v>82</v>
      </c>
      <c r="F40" s="26" t="s">
        <v>27</v>
      </c>
      <c r="G40" s="26" t="s">
        <v>33</v>
      </c>
      <c r="H40" s="27">
        <v>45826</v>
      </c>
      <c r="I40" s="28">
        <v>814692.07429300004</v>
      </c>
      <c r="J40" s="28">
        <v>1138939.5198616141</v>
      </c>
      <c r="K40" s="28">
        <v>1398</v>
      </c>
      <c r="L40" s="28">
        <v>58</v>
      </c>
      <c r="M40" s="26" t="s">
        <v>29</v>
      </c>
      <c r="N40" s="50" t="s">
        <v>131</v>
      </c>
      <c r="O40" s="19"/>
      <c r="P40" s="19"/>
      <c r="Q40" s="19"/>
    </row>
    <row r="41" spans="1:17" ht="15.75" customHeight="1">
      <c r="A41" s="26" t="s">
        <v>116</v>
      </c>
      <c r="B41" s="27">
        <v>45548</v>
      </c>
      <c r="C41" s="49">
        <v>45912</v>
      </c>
      <c r="D41" s="26" t="s">
        <v>90</v>
      </c>
      <c r="E41" s="26" t="s">
        <v>82</v>
      </c>
      <c r="F41" s="26" t="s">
        <v>27</v>
      </c>
      <c r="G41" s="26" t="s">
        <v>33</v>
      </c>
      <c r="H41" s="27">
        <v>45826</v>
      </c>
      <c r="I41" s="28">
        <v>489144.85310399998</v>
      </c>
      <c r="J41" s="28">
        <v>724814.84332950716</v>
      </c>
      <c r="K41" s="28">
        <v>1481.8</v>
      </c>
      <c r="L41" s="28">
        <v>86</v>
      </c>
      <c r="M41" s="26" t="s">
        <v>29</v>
      </c>
      <c r="N41" s="50" t="s">
        <v>117</v>
      </c>
      <c r="O41" s="19"/>
      <c r="P41" s="19"/>
      <c r="Q41" s="19"/>
    </row>
    <row r="42" spans="1:17" ht="15.75" customHeight="1">
      <c r="A42" s="26" t="s">
        <v>95</v>
      </c>
      <c r="B42" s="27">
        <v>45702</v>
      </c>
      <c r="C42" s="49">
        <v>45989</v>
      </c>
      <c r="D42" s="26" t="s">
        <v>96</v>
      </c>
      <c r="E42" s="26" t="s">
        <v>82</v>
      </c>
      <c r="F42" s="26" t="s">
        <v>27</v>
      </c>
      <c r="G42" s="26" t="s">
        <v>33</v>
      </c>
      <c r="H42" s="27">
        <v>45826</v>
      </c>
      <c r="I42" s="28">
        <v>498378.81268199999</v>
      </c>
      <c r="J42" s="28">
        <v>543731.28463606199</v>
      </c>
      <c r="K42" s="28">
        <v>1091</v>
      </c>
      <c r="L42" s="28">
        <v>163</v>
      </c>
      <c r="M42" s="26" t="s">
        <v>29</v>
      </c>
      <c r="N42" s="50">
        <v>8</v>
      </c>
      <c r="O42" s="19"/>
      <c r="P42" s="19"/>
      <c r="Q42" s="19"/>
    </row>
    <row r="43" spans="1:17" ht="15.75" customHeight="1">
      <c r="A43" s="26" t="s">
        <v>80</v>
      </c>
      <c r="B43" s="27">
        <v>45565</v>
      </c>
      <c r="C43" s="49">
        <v>45869</v>
      </c>
      <c r="D43" s="26" t="s">
        <v>81</v>
      </c>
      <c r="E43" s="26" t="s">
        <v>82</v>
      </c>
      <c r="F43" s="26" t="s">
        <v>27</v>
      </c>
      <c r="G43" s="26" t="s">
        <v>33</v>
      </c>
      <c r="H43" s="27">
        <v>45838</v>
      </c>
      <c r="I43" s="28">
        <v>2392661.5813850001</v>
      </c>
      <c r="J43" s="28">
        <v>3436101.2970269984</v>
      </c>
      <c r="K43" s="28">
        <v>1436.1</v>
      </c>
      <c r="L43" s="28">
        <v>31</v>
      </c>
      <c r="M43" s="26" t="s">
        <v>29</v>
      </c>
      <c r="N43" s="50" t="s">
        <v>132</v>
      </c>
      <c r="O43" s="19"/>
      <c r="P43" s="19"/>
      <c r="Q43" s="19"/>
    </row>
    <row r="44" spans="1:17" ht="15.75" customHeight="1">
      <c r="A44" s="26" t="s">
        <v>120</v>
      </c>
      <c r="B44" s="27">
        <v>45534</v>
      </c>
      <c r="C44" s="49">
        <v>45898</v>
      </c>
      <c r="D44" s="26" t="s">
        <v>121</v>
      </c>
      <c r="E44" s="26" t="s">
        <v>82</v>
      </c>
      <c r="F44" s="26" t="s">
        <v>27</v>
      </c>
      <c r="G44" s="26" t="s">
        <v>33</v>
      </c>
      <c r="H44" s="27">
        <v>45838</v>
      </c>
      <c r="I44" s="28">
        <v>915345.60802799999</v>
      </c>
      <c r="J44" s="28">
        <v>1366016.0181405856</v>
      </c>
      <c r="K44" s="28">
        <v>1492.35</v>
      </c>
      <c r="L44" s="28">
        <v>60</v>
      </c>
      <c r="M44" s="26" t="s">
        <v>29</v>
      </c>
      <c r="N44" s="50" t="s">
        <v>133</v>
      </c>
      <c r="O44" s="19"/>
      <c r="P44" s="19"/>
      <c r="Q44" s="19"/>
    </row>
    <row r="45" spans="1:17" ht="15.75" customHeight="1">
      <c r="A45" s="26" t="s">
        <v>134</v>
      </c>
      <c r="B45" s="27">
        <v>45565</v>
      </c>
      <c r="C45" s="49">
        <v>45930</v>
      </c>
      <c r="D45" s="26" t="s">
        <v>81</v>
      </c>
      <c r="E45" s="26" t="s">
        <v>82</v>
      </c>
      <c r="F45" s="26" t="s">
        <v>27</v>
      </c>
      <c r="G45" s="26" t="s">
        <v>33</v>
      </c>
      <c r="H45" s="27">
        <v>45838</v>
      </c>
      <c r="I45" s="28">
        <v>562028.50954300002</v>
      </c>
      <c r="J45" s="28">
        <v>830678.1371045541</v>
      </c>
      <c r="K45" s="28">
        <v>1478</v>
      </c>
      <c r="L45" s="28">
        <v>92</v>
      </c>
      <c r="M45" s="26" t="s">
        <v>29</v>
      </c>
      <c r="N45" s="50" t="s">
        <v>132</v>
      </c>
      <c r="O45" s="19"/>
      <c r="P45" s="19"/>
      <c r="Q45" s="19"/>
    </row>
    <row r="46" spans="1:17" ht="22.5" customHeight="1">
      <c r="A46" s="26" t="s">
        <v>95</v>
      </c>
      <c r="B46" s="27">
        <v>45702</v>
      </c>
      <c r="C46" s="49">
        <v>45989</v>
      </c>
      <c r="D46" s="26" t="s">
        <v>96</v>
      </c>
      <c r="E46" s="26" t="s">
        <v>82</v>
      </c>
      <c r="F46" s="26" t="s">
        <v>27</v>
      </c>
      <c r="G46" s="26" t="s">
        <v>33</v>
      </c>
      <c r="H46" s="27">
        <v>45838</v>
      </c>
      <c r="I46" s="28">
        <v>285718.711014</v>
      </c>
      <c r="J46" s="28">
        <v>310861.95758323197</v>
      </c>
      <c r="K46" s="28">
        <v>1088</v>
      </c>
      <c r="L46" s="28">
        <v>151</v>
      </c>
      <c r="M46" s="26" t="s">
        <v>29</v>
      </c>
      <c r="N46" s="50">
        <v>8</v>
      </c>
      <c r="O46" s="19"/>
      <c r="P46" s="19"/>
      <c r="Q46" s="19"/>
    </row>
    <row r="47" spans="1:17" ht="22.5" customHeight="1">
      <c r="A47" s="26" t="s">
        <v>115</v>
      </c>
      <c r="B47" s="27">
        <v>45579</v>
      </c>
      <c r="C47" s="49">
        <v>45884</v>
      </c>
      <c r="D47" s="26" t="s">
        <v>50</v>
      </c>
      <c r="E47" s="26" t="s">
        <v>82</v>
      </c>
      <c r="F47" s="26" t="s">
        <v>27</v>
      </c>
      <c r="G47" s="26" t="s">
        <v>33</v>
      </c>
      <c r="H47" s="27">
        <v>45848</v>
      </c>
      <c r="I47" s="28">
        <v>2967996.504032</v>
      </c>
      <c r="J47" s="28">
        <v>4219600.6297822939</v>
      </c>
      <c r="K47" s="28">
        <v>1421.7</v>
      </c>
      <c r="L47" s="28">
        <v>36</v>
      </c>
      <c r="M47" s="26" t="s">
        <v>29</v>
      </c>
      <c r="N47" s="50" t="s">
        <v>131</v>
      </c>
      <c r="O47" s="19"/>
      <c r="P47" s="19"/>
      <c r="Q47" s="19"/>
    </row>
    <row r="48" spans="1:17" ht="22.5" customHeight="1">
      <c r="A48" s="26" t="s">
        <v>116</v>
      </c>
      <c r="B48" s="27">
        <v>45548</v>
      </c>
      <c r="C48" s="49">
        <v>45912</v>
      </c>
      <c r="D48" s="26" t="s">
        <v>90</v>
      </c>
      <c r="E48" s="26" t="s">
        <v>82</v>
      </c>
      <c r="F48" s="26" t="s">
        <v>27</v>
      </c>
      <c r="G48" s="26" t="s">
        <v>33</v>
      </c>
      <c r="H48" s="27">
        <v>45848</v>
      </c>
      <c r="I48" s="28">
        <v>798519.46021199995</v>
      </c>
      <c r="J48" s="28">
        <v>1202570.3070792721</v>
      </c>
      <c r="K48" s="28">
        <v>1506</v>
      </c>
      <c r="L48" s="28">
        <v>64</v>
      </c>
      <c r="M48" s="26" t="s">
        <v>29</v>
      </c>
      <c r="N48" s="50" t="s">
        <v>117</v>
      </c>
      <c r="O48" s="19"/>
      <c r="P48" s="19"/>
      <c r="Q48" s="19"/>
    </row>
    <row r="49" spans="1:17" ht="22.5" customHeight="1">
      <c r="A49" s="26" t="s">
        <v>95</v>
      </c>
      <c r="B49" s="27">
        <v>45702</v>
      </c>
      <c r="C49" s="49">
        <v>45989</v>
      </c>
      <c r="D49" s="26" t="s">
        <v>96</v>
      </c>
      <c r="E49" s="26" t="s">
        <v>82</v>
      </c>
      <c r="F49" s="26" t="s">
        <v>27</v>
      </c>
      <c r="G49" s="26" t="s">
        <v>33</v>
      </c>
      <c r="H49" s="27">
        <v>45848</v>
      </c>
      <c r="I49" s="28">
        <v>175722.57857300001</v>
      </c>
      <c r="J49" s="28">
        <v>192591.94611600801</v>
      </c>
      <c r="K49" s="28">
        <v>1096</v>
      </c>
      <c r="L49" s="28">
        <v>141</v>
      </c>
      <c r="M49" s="26" t="s">
        <v>29</v>
      </c>
      <c r="N49" s="50">
        <v>8</v>
      </c>
      <c r="O49" s="19"/>
      <c r="P49" s="19"/>
      <c r="Q49" s="19"/>
    </row>
    <row r="50" spans="1:17" ht="15.75" customHeight="1">
      <c r="A50" s="26" t="s">
        <v>97</v>
      </c>
      <c r="B50" s="27">
        <v>45702</v>
      </c>
      <c r="C50" s="49">
        <v>46038</v>
      </c>
      <c r="D50" s="26" t="s">
        <v>98</v>
      </c>
      <c r="E50" s="26" t="s">
        <v>82</v>
      </c>
      <c r="F50" s="26" t="s">
        <v>27</v>
      </c>
      <c r="G50" s="49" t="s">
        <v>99</v>
      </c>
      <c r="H50" s="27">
        <v>45848</v>
      </c>
      <c r="I50" s="28">
        <v>369.56865199999999</v>
      </c>
      <c r="J50" s="28">
        <v>360.2185651044</v>
      </c>
      <c r="K50" s="28">
        <v>974.7</v>
      </c>
      <c r="L50" s="28">
        <v>190</v>
      </c>
      <c r="M50" s="26" t="s">
        <v>29</v>
      </c>
      <c r="N50" s="50" t="s">
        <v>118</v>
      </c>
      <c r="O50" s="19"/>
      <c r="P50" s="19"/>
      <c r="Q50" s="19"/>
    </row>
    <row r="51" spans="1:17" ht="15.75" customHeight="1">
      <c r="A51" s="26" t="s">
        <v>135</v>
      </c>
      <c r="B51" s="27">
        <v>45848</v>
      </c>
      <c r="C51" s="49">
        <v>45961</v>
      </c>
      <c r="D51" s="26" t="s">
        <v>98</v>
      </c>
      <c r="E51" s="26" t="s">
        <v>82</v>
      </c>
      <c r="F51" s="26" t="s">
        <v>27</v>
      </c>
      <c r="G51" s="49" t="s">
        <v>99</v>
      </c>
      <c r="H51" s="27">
        <v>45848</v>
      </c>
      <c r="I51" s="28">
        <v>527.794038</v>
      </c>
      <c r="J51" s="28">
        <v>527.79403799999989</v>
      </c>
      <c r="K51" s="28">
        <v>1000</v>
      </c>
      <c r="L51" s="28">
        <v>113</v>
      </c>
      <c r="M51" s="26" t="s">
        <v>29</v>
      </c>
      <c r="N51" s="50">
        <v>31</v>
      </c>
      <c r="O51" s="19"/>
      <c r="P51" s="19"/>
      <c r="Q51" s="19"/>
    </row>
    <row r="52" spans="1:17" ht="15.75" customHeight="1">
      <c r="A52" s="26" t="s">
        <v>80</v>
      </c>
      <c r="B52" s="27">
        <v>45565</v>
      </c>
      <c r="C52" s="49">
        <v>45869</v>
      </c>
      <c r="D52" s="26" t="s">
        <v>81</v>
      </c>
      <c r="E52" s="26" t="s">
        <v>82</v>
      </c>
      <c r="F52" s="26" t="s">
        <v>27</v>
      </c>
      <c r="G52" s="26" t="s">
        <v>33</v>
      </c>
      <c r="H52" s="27">
        <v>45856</v>
      </c>
      <c r="I52" s="28">
        <v>1066046.227804</v>
      </c>
      <c r="J52" s="28">
        <v>1552909.5400420867</v>
      </c>
      <c r="K52" s="28">
        <v>1456.7</v>
      </c>
      <c r="L52" s="28">
        <v>13</v>
      </c>
      <c r="M52" s="26" t="s">
        <v>29</v>
      </c>
      <c r="N52" s="50" t="s">
        <v>132</v>
      </c>
      <c r="O52" s="19"/>
      <c r="P52" s="19"/>
      <c r="Q52" s="19"/>
    </row>
    <row r="53" spans="1:17" ht="15.75" customHeight="1">
      <c r="A53" s="26" t="s">
        <v>115</v>
      </c>
      <c r="B53" s="27">
        <v>45579</v>
      </c>
      <c r="C53" s="49">
        <v>45884</v>
      </c>
      <c r="D53" s="26" t="s">
        <v>50</v>
      </c>
      <c r="E53" s="26" t="s">
        <v>82</v>
      </c>
      <c r="F53" s="26" t="s">
        <v>27</v>
      </c>
      <c r="G53" s="26" t="s">
        <v>33</v>
      </c>
      <c r="H53" s="27">
        <v>45856</v>
      </c>
      <c r="I53" s="28">
        <v>573744.16111800005</v>
      </c>
      <c r="J53" s="28">
        <v>815577.32502923708</v>
      </c>
      <c r="K53" s="28">
        <v>1421.5</v>
      </c>
      <c r="L53" s="28">
        <v>28</v>
      </c>
      <c r="M53" s="26" t="s">
        <v>29</v>
      </c>
      <c r="N53" s="50" t="s">
        <v>131</v>
      </c>
      <c r="O53" s="19"/>
      <c r="P53" s="19"/>
      <c r="Q53" s="19"/>
    </row>
    <row r="54" spans="1:17" ht="15.75" customHeight="1">
      <c r="A54" s="26" t="s">
        <v>120</v>
      </c>
      <c r="B54" s="27">
        <v>45534</v>
      </c>
      <c r="C54" s="49">
        <v>45898</v>
      </c>
      <c r="D54" s="26" t="s">
        <v>121</v>
      </c>
      <c r="E54" s="26" t="s">
        <v>82</v>
      </c>
      <c r="F54" s="26" t="s">
        <v>27</v>
      </c>
      <c r="G54" s="26" t="s">
        <v>33</v>
      </c>
      <c r="H54" s="27">
        <v>45856</v>
      </c>
      <c r="I54" s="28">
        <v>572196.52521200001</v>
      </c>
      <c r="J54" s="28">
        <v>865447.24438315001</v>
      </c>
      <c r="K54" s="28">
        <v>1512.5</v>
      </c>
      <c r="L54" s="28">
        <v>42</v>
      </c>
      <c r="M54" s="26" t="s">
        <v>29</v>
      </c>
      <c r="N54" s="50" t="s">
        <v>136</v>
      </c>
      <c r="O54" s="19"/>
      <c r="P54" s="19"/>
      <c r="Q54" s="19"/>
    </row>
    <row r="55" spans="1:17" ht="15.75" customHeight="1">
      <c r="A55" s="26" t="s">
        <v>116</v>
      </c>
      <c r="B55" s="27">
        <v>45548</v>
      </c>
      <c r="C55" s="49">
        <v>45912</v>
      </c>
      <c r="D55" s="26" t="s">
        <v>90</v>
      </c>
      <c r="E55" s="26" t="s">
        <v>82</v>
      </c>
      <c r="F55" s="26" t="s">
        <v>27</v>
      </c>
      <c r="G55" s="26" t="s">
        <v>33</v>
      </c>
      <c r="H55" s="27">
        <v>45856</v>
      </c>
      <c r="I55" s="28">
        <v>185600.59497199999</v>
      </c>
      <c r="J55" s="28">
        <v>279514.49602783198</v>
      </c>
      <c r="K55" s="28">
        <v>1506</v>
      </c>
      <c r="L55" s="28">
        <v>56</v>
      </c>
      <c r="M55" s="26" t="s">
        <v>29</v>
      </c>
      <c r="N55" s="50" t="s">
        <v>117</v>
      </c>
      <c r="O55" s="19"/>
      <c r="P55" s="19"/>
      <c r="Q55" s="19"/>
    </row>
    <row r="56" spans="1:17" ht="15.75" customHeight="1">
      <c r="A56" s="26" t="s">
        <v>134</v>
      </c>
      <c r="B56" s="27">
        <v>45565</v>
      </c>
      <c r="C56" s="49">
        <v>45930</v>
      </c>
      <c r="D56" s="26" t="s">
        <v>81</v>
      </c>
      <c r="E56" s="26" t="s">
        <v>82</v>
      </c>
      <c r="F56" s="26" t="s">
        <v>27</v>
      </c>
      <c r="G56" s="26" t="s">
        <v>33</v>
      </c>
      <c r="H56" s="27">
        <v>45856</v>
      </c>
      <c r="I56" s="28">
        <v>520233.41142800002</v>
      </c>
      <c r="J56" s="28">
        <v>775902.12147429062</v>
      </c>
      <c r="K56" s="28">
        <v>1491.45</v>
      </c>
      <c r="L56" s="28">
        <v>74</v>
      </c>
      <c r="M56" s="26" t="s">
        <v>29</v>
      </c>
      <c r="N56" s="50" t="s">
        <v>132</v>
      </c>
      <c r="O56" s="19"/>
      <c r="P56" s="19"/>
      <c r="Q56" s="19"/>
    </row>
    <row r="57" spans="1:17" ht="15.75" customHeight="1">
      <c r="A57" s="26" t="s">
        <v>115</v>
      </c>
      <c r="B57" s="27">
        <v>45579</v>
      </c>
      <c r="C57" s="49">
        <v>45884</v>
      </c>
      <c r="D57" s="26" t="s">
        <v>50</v>
      </c>
      <c r="E57" s="26" t="s">
        <v>82</v>
      </c>
      <c r="F57" s="26" t="s">
        <v>27</v>
      </c>
      <c r="G57" s="26" t="s">
        <v>33</v>
      </c>
      <c r="H57" s="27">
        <v>45869</v>
      </c>
      <c r="I57" s="28">
        <v>2606818.0380460001</v>
      </c>
      <c r="J57" s="28">
        <v>3731660.0214628493</v>
      </c>
      <c r="K57" s="28">
        <v>1431.5</v>
      </c>
      <c r="L57" s="28">
        <v>15</v>
      </c>
      <c r="M57" s="26" t="s">
        <v>29</v>
      </c>
      <c r="N57" s="50" t="s">
        <v>131</v>
      </c>
      <c r="O57" s="19"/>
      <c r="P57" s="19"/>
      <c r="Q57" s="19"/>
    </row>
    <row r="58" spans="1:17" ht="15.75" customHeight="1">
      <c r="A58" s="26" t="s">
        <v>120</v>
      </c>
      <c r="B58" s="27">
        <v>45534</v>
      </c>
      <c r="C58" s="49">
        <v>45898</v>
      </c>
      <c r="D58" s="26" t="s">
        <v>121</v>
      </c>
      <c r="E58" s="26" t="s">
        <v>82</v>
      </c>
      <c r="F58" s="26" t="s">
        <v>27</v>
      </c>
      <c r="G58" s="26" t="s">
        <v>33</v>
      </c>
      <c r="H58" s="27">
        <v>45869</v>
      </c>
      <c r="I58" s="28">
        <v>1613177.8483740001</v>
      </c>
      <c r="J58" s="28">
        <v>2448803.9738317323</v>
      </c>
      <c r="K58" s="28">
        <v>1518</v>
      </c>
      <c r="L58" s="28">
        <v>29</v>
      </c>
      <c r="M58" s="26" t="s">
        <v>29</v>
      </c>
      <c r="N58" s="50" t="s">
        <v>136</v>
      </c>
      <c r="O58" s="19"/>
      <c r="P58" s="19"/>
      <c r="Q58" s="19"/>
    </row>
    <row r="59" spans="1:17" ht="15.75" customHeight="1">
      <c r="A59" s="26" t="s">
        <v>116</v>
      </c>
      <c r="B59" s="27">
        <v>45548</v>
      </c>
      <c r="C59" s="49">
        <v>45912</v>
      </c>
      <c r="D59" s="26" t="s">
        <v>90</v>
      </c>
      <c r="E59" s="26" t="s">
        <v>82</v>
      </c>
      <c r="F59" s="26" t="s">
        <v>27</v>
      </c>
      <c r="G59" s="26" t="s">
        <v>33</v>
      </c>
      <c r="H59" s="27">
        <v>45869</v>
      </c>
      <c r="I59" s="28">
        <v>940465.81753300002</v>
      </c>
      <c r="J59" s="28">
        <v>1420103.3844748302</v>
      </c>
      <c r="K59" s="28">
        <v>1510</v>
      </c>
      <c r="L59" s="28">
        <v>43</v>
      </c>
      <c r="M59" s="26" t="s">
        <v>29</v>
      </c>
      <c r="N59" s="50" t="s">
        <v>117</v>
      </c>
      <c r="O59" s="19"/>
      <c r="P59" s="19"/>
      <c r="Q59" s="19"/>
    </row>
    <row r="60" spans="1:17" ht="15.75" customHeight="1">
      <c r="A60" s="26" t="s">
        <v>134</v>
      </c>
      <c r="B60" s="27">
        <v>45565</v>
      </c>
      <c r="C60" s="49">
        <v>45930</v>
      </c>
      <c r="D60" s="26" t="s">
        <v>81</v>
      </c>
      <c r="E60" s="26" t="s">
        <v>82</v>
      </c>
      <c r="F60" s="26" t="s">
        <v>27</v>
      </c>
      <c r="G60" s="26" t="s">
        <v>33</v>
      </c>
      <c r="H60" s="27">
        <v>45869</v>
      </c>
      <c r="I60" s="28">
        <v>287074.50711300003</v>
      </c>
      <c r="J60" s="28">
        <v>427996.51190970064</v>
      </c>
      <c r="K60" s="28">
        <v>1490.89</v>
      </c>
      <c r="L60" s="28">
        <v>61</v>
      </c>
      <c r="M60" s="26" t="s">
        <v>29</v>
      </c>
      <c r="N60" s="50" t="s">
        <v>132</v>
      </c>
      <c r="O60" s="19"/>
      <c r="P60" s="19"/>
      <c r="Q60" s="19"/>
    </row>
    <row r="61" spans="1:17" ht="15.75" customHeight="1">
      <c r="A61" s="26" t="s">
        <v>84</v>
      </c>
      <c r="B61" s="27">
        <v>45642</v>
      </c>
      <c r="C61" s="49">
        <v>45961</v>
      </c>
      <c r="D61" s="26" t="s">
        <v>85</v>
      </c>
      <c r="E61" s="26" t="s">
        <v>82</v>
      </c>
      <c r="F61" s="26" t="s">
        <v>27</v>
      </c>
      <c r="G61" s="26" t="s">
        <v>33</v>
      </c>
      <c r="H61" s="27">
        <v>45869</v>
      </c>
      <c r="I61" s="28">
        <v>459974.91629199998</v>
      </c>
      <c r="J61" s="28">
        <v>550235.79411597922</v>
      </c>
      <c r="K61" s="28">
        <v>1196.23</v>
      </c>
      <c r="L61" s="28">
        <v>92</v>
      </c>
      <c r="M61" s="26" t="s">
        <v>29</v>
      </c>
      <c r="N61" s="50" t="s">
        <v>86</v>
      </c>
      <c r="O61" s="19"/>
      <c r="P61" s="19"/>
      <c r="Q61" s="19"/>
    </row>
    <row r="62" spans="1:17" ht="15.75" customHeight="1">
      <c r="A62" s="26" t="s">
        <v>116</v>
      </c>
      <c r="B62" s="27">
        <v>45548</v>
      </c>
      <c r="C62" s="49">
        <v>45912</v>
      </c>
      <c r="D62" s="26" t="s">
        <v>90</v>
      </c>
      <c r="E62" s="26" t="s">
        <v>82</v>
      </c>
      <c r="F62" s="26" t="s">
        <v>27</v>
      </c>
      <c r="G62" s="26" t="s">
        <v>33</v>
      </c>
      <c r="H62" s="27">
        <v>45887</v>
      </c>
      <c r="I62" s="28">
        <v>1359113.721225</v>
      </c>
      <c r="J62" s="28">
        <v>2086239.5620803749</v>
      </c>
      <c r="K62" s="28">
        <v>1535</v>
      </c>
      <c r="L62" s="28">
        <v>25</v>
      </c>
      <c r="M62" s="26" t="s">
        <v>29</v>
      </c>
      <c r="N62" s="50" t="s">
        <v>117</v>
      </c>
      <c r="O62" s="1"/>
      <c r="P62" s="1"/>
      <c r="Q62" s="1"/>
    </row>
    <row r="63" spans="1:17" ht="15.75" customHeight="1">
      <c r="A63" s="26" t="s">
        <v>134</v>
      </c>
      <c r="B63" s="27">
        <v>45565</v>
      </c>
      <c r="C63" s="49">
        <v>45930</v>
      </c>
      <c r="D63" s="26" t="s">
        <v>81</v>
      </c>
      <c r="E63" s="26" t="s">
        <v>82</v>
      </c>
      <c r="F63" s="26" t="s">
        <v>27</v>
      </c>
      <c r="G63" s="26" t="s">
        <v>33</v>
      </c>
      <c r="H63" s="27">
        <v>45887</v>
      </c>
      <c r="I63" s="28">
        <v>790718.31320900004</v>
      </c>
      <c r="J63" s="28">
        <v>1192403.2163191722</v>
      </c>
      <c r="K63" s="28">
        <v>1508</v>
      </c>
      <c r="L63" s="28">
        <v>43</v>
      </c>
      <c r="M63" s="26" t="s">
        <v>29</v>
      </c>
      <c r="N63" s="50" t="s">
        <v>132</v>
      </c>
      <c r="O63" s="1"/>
      <c r="P63" s="1"/>
      <c r="Q63" s="1"/>
    </row>
    <row r="64" spans="1:17" ht="15.75" customHeight="1">
      <c r="A64" s="26" t="s">
        <v>84</v>
      </c>
      <c r="B64" s="27">
        <v>45642</v>
      </c>
      <c r="C64" s="49">
        <v>45961</v>
      </c>
      <c r="D64" s="26" t="s">
        <v>85</v>
      </c>
      <c r="E64" s="26" t="s">
        <v>82</v>
      </c>
      <c r="F64" s="26" t="s">
        <v>27</v>
      </c>
      <c r="G64" s="26" t="s">
        <v>33</v>
      </c>
      <c r="H64" s="27">
        <v>45887</v>
      </c>
      <c r="I64" s="28">
        <v>578440.09935999999</v>
      </c>
      <c r="J64" s="28">
        <v>699912.52022559999</v>
      </c>
      <c r="K64" s="28">
        <v>1210</v>
      </c>
      <c r="L64" s="28">
        <v>74</v>
      </c>
      <c r="M64" s="26" t="s">
        <v>29</v>
      </c>
      <c r="N64" s="50" t="s">
        <v>86</v>
      </c>
      <c r="O64" s="1"/>
      <c r="P64" s="1"/>
      <c r="Q64" s="1"/>
    </row>
    <row r="65" spans="1:17" ht="15.75" customHeight="1">
      <c r="A65" s="26" t="s">
        <v>137</v>
      </c>
      <c r="B65" s="27">
        <v>45691</v>
      </c>
      <c r="C65" s="49">
        <v>45971</v>
      </c>
      <c r="D65" s="26" t="s">
        <v>138</v>
      </c>
      <c r="E65" s="26" t="s">
        <v>82</v>
      </c>
      <c r="F65" s="26" t="s">
        <v>27</v>
      </c>
      <c r="G65" s="26" t="s">
        <v>33</v>
      </c>
      <c r="H65" s="27">
        <v>45887</v>
      </c>
      <c r="I65" s="28">
        <v>1695830.7284550001</v>
      </c>
      <c r="J65" s="28">
        <v>1865413.8013005001</v>
      </c>
      <c r="K65" s="28">
        <v>1100</v>
      </c>
      <c r="L65" s="28">
        <v>84</v>
      </c>
      <c r="M65" s="26" t="s">
        <v>29</v>
      </c>
      <c r="N65" s="56">
        <v>6</v>
      </c>
      <c r="O65" s="1"/>
      <c r="P65" s="1"/>
      <c r="Q65" s="1"/>
    </row>
    <row r="66" spans="1:17" s="121" customFormat="1" ht="15.75" customHeight="1">
      <c r="A66" s="114" t="s">
        <v>139</v>
      </c>
      <c r="B66" s="117">
        <v>45887</v>
      </c>
      <c r="C66" s="117">
        <v>45971</v>
      </c>
      <c r="D66" s="114" t="s">
        <v>110</v>
      </c>
      <c r="E66" s="114" t="s">
        <v>82</v>
      </c>
      <c r="F66" s="114" t="s">
        <v>27</v>
      </c>
      <c r="G66" s="114" t="s">
        <v>33</v>
      </c>
      <c r="H66" s="117">
        <v>45887</v>
      </c>
      <c r="I66" s="122">
        <v>1149491.621454</v>
      </c>
      <c r="J66" s="122">
        <v>1149491.621454</v>
      </c>
      <c r="K66" s="122">
        <v>1000</v>
      </c>
      <c r="L66" s="122">
        <v>84</v>
      </c>
      <c r="M66" s="114" t="s">
        <v>29</v>
      </c>
      <c r="N66" s="154">
        <v>38</v>
      </c>
      <c r="O66" s="120"/>
      <c r="P66" s="120"/>
      <c r="Q66" s="120"/>
    </row>
    <row r="67" spans="1:17" s="121" customFormat="1" ht="15.75" customHeight="1">
      <c r="A67" s="114" t="s">
        <v>140</v>
      </c>
      <c r="B67" s="117">
        <v>45887</v>
      </c>
      <c r="C67" s="117">
        <v>46038</v>
      </c>
      <c r="D67" s="114" t="s">
        <v>110</v>
      </c>
      <c r="E67" s="114" t="s">
        <v>82</v>
      </c>
      <c r="F67" s="114" t="s">
        <v>27</v>
      </c>
      <c r="G67" s="114" t="s">
        <v>33</v>
      </c>
      <c r="H67" s="117">
        <v>45887</v>
      </c>
      <c r="I67" s="122">
        <v>861189.72921699996</v>
      </c>
      <c r="J67" s="122">
        <v>861189.72921699996</v>
      </c>
      <c r="K67" s="122">
        <v>1000</v>
      </c>
      <c r="L67" s="122">
        <v>151</v>
      </c>
      <c r="M67" s="114" t="s">
        <v>29</v>
      </c>
      <c r="N67" s="154">
        <v>38</v>
      </c>
      <c r="O67" s="120"/>
      <c r="P67" s="120"/>
      <c r="Q67" s="120"/>
    </row>
    <row r="68" spans="1:17" s="121" customFormat="1" ht="15.75" customHeight="1">
      <c r="A68" s="114" t="s">
        <v>141</v>
      </c>
      <c r="B68" s="117">
        <v>45887</v>
      </c>
      <c r="C68" s="117">
        <v>46038</v>
      </c>
      <c r="D68" s="114" t="s">
        <v>142</v>
      </c>
      <c r="E68" s="114" t="s">
        <v>82</v>
      </c>
      <c r="F68" s="114" t="s">
        <v>27</v>
      </c>
      <c r="G68" s="114" t="s">
        <v>33</v>
      </c>
      <c r="H68" s="117">
        <v>45887</v>
      </c>
      <c r="I68" s="122">
        <v>773503.058402</v>
      </c>
      <c r="J68" s="122">
        <v>773503.058402</v>
      </c>
      <c r="K68" s="122">
        <v>1000</v>
      </c>
      <c r="L68" s="122">
        <v>151</v>
      </c>
      <c r="M68" s="114" t="s">
        <v>29</v>
      </c>
      <c r="N68" s="154">
        <v>38</v>
      </c>
      <c r="O68" s="120"/>
      <c r="P68" s="120"/>
      <c r="Q68" s="120"/>
    </row>
    <row r="69" spans="1:17" s="121" customFormat="1" ht="15.75" customHeight="1">
      <c r="A69" s="114" t="s">
        <v>143</v>
      </c>
      <c r="B69" s="117">
        <v>45888</v>
      </c>
      <c r="C69" s="117">
        <v>45989</v>
      </c>
      <c r="D69" s="114" t="s">
        <v>110</v>
      </c>
      <c r="E69" s="114" t="s">
        <v>82</v>
      </c>
      <c r="F69" s="114" t="s">
        <v>27</v>
      </c>
      <c r="G69" s="114" t="s">
        <v>33</v>
      </c>
      <c r="H69" s="117">
        <v>45888</v>
      </c>
      <c r="I69" s="122">
        <v>3788000</v>
      </c>
      <c r="J69" s="122">
        <v>3788000</v>
      </c>
      <c r="K69" s="122">
        <v>1000</v>
      </c>
      <c r="L69" s="122">
        <v>101</v>
      </c>
      <c r="M69" s="114" t="s">
        <v>29</v>
      </c>
      <c r="N69" s="114">
        <v>39</v>
      </c>
      <c r="O69" s="120"/>
      <c r="P69" s="120"/>
      <c r="Q69" s="120"/>
    </row>
    <row r="70" spans="1:17" s="121" customFormat="1" ht="15.75" customHeight="1">
      <c r="A70" s="114" t="s">
        <v>134</v>
      </c>
      <c r="B70" s="117">
        <v>45565</v>
      </c>
      <c r="C70" s="117">
        <v>45930</v>
      </c>
      <c r="D70" s="114" t="s">
        <v>81</v>
      </c>
      <c r="E70" s="114" t="s">
        <v>82</v>
      </c>
      <c r="F70" s="114" t="s">
        <v>27</v>
      </c>
      <c r="G70" s="114" t="s">
        <v>33</v>
      </c>
      <c r="H70" s="117">
        <v>45898</v>
      </c>
      <c r="I70" s="122">
        <v>1050808.2790000001</v>
      </c>
      <c r="J70" s="122">
        <v>1599330.2006380002</v>
      </c>
      <c r="K70" s="122">
        <v>1522</v>
      </c>
      <c r="L70" s="122">
        <v>32</v>
      </c>
      <c r="M70" s="114" t="s">
        <v>29</v>
      </c>
      <c r="N70" s="123" t="s">
        <v>144</v>
      </c>
      <c r="O70" s="120"/>
      <c r="P70" s="120"/>
      <c r="Q70" s="120"/>
    </row>
    <row r="71" spans="1:17" s="121" customFormat="1" ht="15.75" customHeight="1">
      <c r="A71" s="114" t="s">
        <v>141</v>
      </c>
      <c r="B71" s="117">
        <v>45887</v>
      </c>
      <c r="C71" s="117">
        <v>46038</v>
      </c>
      <c r="D71" s="114" t="s">
        <v>142</v>
      </c>
      <c r="E71" s="114" t="s">
        <v>82</v>
      </c>
      <c r="F71" s="114" t="s">
        <v>27</v>
      </c>
      <c r="G71" s="114" t="s">
        <v>33</v>
      </c>
      <c r="H71" s="117">
        <v>45898</v>
      </c>
      <c r="I71" s="122">
        <v>889696.44110000005</v>
      </c>
      <c r="J71" s="122">
        <v>904216.28701875207</v>
      </c>
      <c r="K71" s="122">
        <v>1016.32</v>
      </c>
      <c r="L71" s="122">
        <v>140</v>
      </c>
      <c r="M71" s="114" t="s">
        <v>29</v>
      </c>
      <c r="N71" s="123" t="s">
        <v>145</v>
      </c>
      <c r="O71" s="120"/>
      <c r="P71" s="120"/>
      <c r="Q71" s="120"/>
    </row>
    <row r="72" spans="1:17" s="121" customFormat="1" ht="15.75" customHeight="1">
      <c r="A72" s="114" t="s">
        <v>140</v>
      </c>
      <c r="B72" s="117">
        <v>45887</v>
      </c>
      <c r="C72" s="117">
        <v>46038</v>
      </c>
      <c r="D72" s="114" t="s">
        <v>110</v>
      </c>
      <c r="E72" s="114" t="s">
        <v>82</v>
      </c>
      <c r="F72" s="114" t="s">
        <v>27</v>
      </c>
      <c r="G72" s="114" t="s">
        <v>33</v>
      </c>
      <c r="H72" s="117">
        <v>45898</v>
      </c>
      <c r="I72" s="122">
        <v>3220408.034</v>
      </c>
      <c r="J72" s="122">
        <v>3337952.9272410003</v>
      </c>
      <c r="K72" s="122">
        <v>1036.5</v>
      </c>
      <c r="L72" s="122">
        <v>140</v>
      </c>
      <c r="M72" s="114" t="s">
        <v>29</v>
      </c>
      <c r="N72" s="123" t="s">
        <v>146</v>
      </c>
      <c r="O72" s="120"/>
      <c r="P72" s="120"/>
      <c r="Q72" s="120"/>
    </row>
    <row r="73" spans="1:17" s="121" customFormat="1" ht="15.75" customHeight="1">
      <c r="A73" s="114" t="s">
        <v>147</v>
      </c>
      <c r="B73" s="117">
        <v>45898</v>
      </c>
      <c r="C73" s="117">
        <v>46080</v>
      </c>
      <c r="D73" s="114" t="s">
        <v>90</v>
      </c>
      <c r="E73" s="114" t="s">
        <v>82</v>
      </c>
      <c r="F73" s="114" t="s">
        <v>27</v>
      </c>
      <c r="G73" s="114" t="s">
        <v>33</v>
      </c>
      <c r="H73" s="117">
        <v>45898</v>
      </c>
      <c r="I73" s="122">
        <v>545586.73629999999</v>
      </c>
      <c r="J73" s="122">
        <v>545586.73629999999</v>
      </c>
      <c r="K73" s="122">
        <v>1000</v>
      </c>
      <c r="L73" s="122">
        <v>182</v>
      </c>
      <c r="M73" s="114" t="s">
        <v>29</v>
      </c>
      <c r="N73" s="123">
        <v>41</v>
      </c>
      <c r="O73" s="120"/>
      <c r="P73" s="120"/>
      <c r="Q73" s="120"/>
    </row>
    <row r="74" spans="1:17" s="121" customFormat="1" ht="15.75" customHeight="1">
      <c r="A74" s="114" t="s">
        <v>148</v>
      </c>
      <c r="B74" s="117">
        <v>45898</v>
      </c>
      <c r="C74" s="117">
        <v>46080</v>
      </c>
      <c r="D74" s="114" t="s">
        <v>110</v>
      </c>
      <c r="E74" s="114" t="s">
        <v>82</v>
      </c>
      <c r="F74" s="114" t="s">
        <v>27</v>
      </c>
      <c r="G74" s="114" t="s">
        <v>33</v>
      </c>
      <c r="H74" s="117">
        <v>45898</v>
      </c>
      <c r="I74" s="122">
        <v>1280162.6140000001</v>
      </c>
      <c r="J74" s="122">
        <v>1280162.6140000001</v>
      </c>
      <c r="K74" s="122">
        <v>1000</v>
      </c>
      <c r="L74" s="122">
        <v>182</v>
      </c>
      <c r="M74" s="114" t="s">
        <v>29</v>
      </c>
      <c r="N74" s="123">
        <v>41</v>
      </c>
      <c r="O74" s="127"/>
      <c r="P74" s="120"/>
      <c r="Q74" s="120"/>
    </row>
    <row r="75" spans="1:17" s="121" customFormat="1" ht="15.75" customHeight="1">
      <c r="A75" s="114" t="s">
        <v>84</v>
      </c>
      <c r="B75" s="117">
        <v>45642</v>
      </c>
      <c r="C75" s="117">
        <v>45961</v>
      </c>
      <c r="D75" s="114" t="s">
        <v>85</v>
      </c>
      <c r="E75" s="114" t="s">
        <v>82</v>
      </c>
      <c r="F75" s="114" t="s">
        <v>27</v>
      </c>
      <c r="G75" s="114" t="s">
        <v>33</v>
      </c>
      <c r="H75" s="117">
        <v>45912</v>
      </c>
      <c r="I75" s="122">
        <v>2894972.781072</v>
      </c>
      <c r="J75" s="122">
        <v>3608004.5770500335</v>
      </c>
      <c r="K75" s="122">
        <v>1246.3</v>
      </c>
      <c r="L75" s="122">
        <v>49</v>
      </c>
      <c r="M75" s="114" t="s">
        <v>29</v>
      </c>
      <c r="N75" s="123" t="s">
        <v>86</v>
      </c>
      <c r="O75" s="120"/>
      <c r="P75" s="120"/>
      <c r="Q75" s="120"/>
    </row>
    <row r="76" spans="1:17" s="121" customFormat="1" ht="15.75" customHeight="1">
      <c r="A76" s="114" t="s">
        <v>137</v>
      </c>
      <c r="B76" s="117">
        <v>45691</v>
      </c>
      <c r="C76" s="117">
        <v>45971</v>
      </c>
      <c r="D76" s="114" t="s">
        <v>138</v>
      </c>
      <c r="E76" s="114" t="s">
        <v>82</v>
      </c>
      <c r="F76" s="114" t="s">
        <v>27</v>
      </c>
      <c r="G76" s="114" t="s">
        <v>33</v>
      </c>
      <c r="H76" s="117">
        <v>45912</v>
      </c>
      <c r="I76" s="122">
        <v>1186107.5089209999</v>
      </c>
      <c r="J76" s="122">
        <v>1344452.8613619534</v>
      </c>
      <c r="K76" s="122">
        <v>1133.5</v>
      </c>
      <c r="L76" s="122">
        <v>59</v>
      </c>
      <c r="M76" s="114" t="s">
        <v>29</v>
      </c>
      <c r="N76" s="154">
        <v>6</v>
      </c>
      <c r="O76" s="120"/>
      <c r="P76" s="120"/>
      <c r="Q76" s="120"/>
    </row>
    <row r="77" spans="1:17" s="121" customFormat="1" ht="15.75" customHeight="1">
      <c r="A77" s="114" t="s">
        <v>141</v>
      </c>
      <c r="B77" s="117">
        <v>45887</v>
      </c>
      <c r="C77" s="117">
        <v>46038</v>
      </c>
      <c r="D77" s="114" t="s">
        <v>142</v>
      </c>
      <c r="E77" s="114" t="s">
        <v>82</v>
      </c>
      <c r="F77" s="114" t="s">
        <v>27</v>
      </c>
      <c r="G77" s="114" t="s">
        <v>33</v>
      </c>
      <c r="H77" s="117">
        <v>45912</v>
      </c>
      <c r="I77" s="122">
        <v>1028579.897381</v>
      </c>
      <c r="J77" s="122">
        <v>1044008.595841715</v>
      </c>
      <c r="K77" s="122">
        <v>1015</v>
      </c>
      <c r="L77" s="122">
        <v>126</v>
      </c>
      <c r="M77" s="114" t="s">
        <v>29</v>
      </c>
      <c r="N77" s="154">
        <v>38</v>
      </c>
      <c r="O77" s="120"/>
      <c r="P77" s="120"/>
      <c r="Q77" s="120"/>
    </row>
    <row r="78" spans="1:17" s="121" customFormat="1" ht="15.75" customHeight="1">
      <c r="A78" s="114" t="s">
        <v>149</v>
      </c>
      <c r="B78" s="117">
        <v>45898</v>
      </c>
      <c r="C78" s="117">
        <v>46371</v>
      </c>
      <c r="D78" s="114" t="s">
        <v>110</v>
      </c>
      <c r="E78" s="114" t="s">
        <v>82</v>
      </c>
      <c r="F78" s="114" t="s">
        <v>27</v>
      </c>
      <c r="G78" s="114" t="s">
        <v>33</v>
      </c>
      <c r="H78" s="117">
        <v>45912</v>
      </c>
      <c r="I78" s="122">
        <v>498112.01760600001</v>
      </c>
      <c r="J78" s="122">
        <v>498112.01760600001</v>
      </c>
      <c r="K78" s="122">
        <v>1000</v>
      </c>
      <c r="L78" s="122">
        <v>459</v>
      </c>
      <c r="M78" s="114" t="s">
        <v>29</v>
      </c>
      <c r="N78" s="123">
        <v>44</v>
      </c>
      <c r="O78" s="155"/>
      <c r="P78" s="120"/>
      <c r="Q78" s="120"/>
    </row>
    <row r="79" spans="1:17" s="121" customFormat="1" ht="15.75" customHeight="1">
      <c r="A79" s="114" t="s">
        <v>95</v>
      </c>
      <c r="B79" s="117">
        <v>45702</v>
      </c>
      <c r="C79" s="117">
        <v>45989</v>
      </c>
      <c r="D79" s="114" t="s">
        <v>96</v>
      </c>
      <c r="E79" s="114" t="s">
        <v>82</v>
      </c>
      <c r="F79" s="114" t="s">
        <v>27</v>
      </c>
      <c r="G79" s="114" t="s">
        <v>33</v>
      </c>
      <c r="H79" s="117">
        <v>45930</v>
      </c>
      <c r="I79" s="122">
        <v>1293117.867176</v>
      </c>
      <c r="J79" s="122">
        <v>1491352.9893999998</v>
      </c>
      <c r="K79" s="122">
        <v>1153.3</v>
      </c>
      <c r="L79" s="123">
        <v>59</v>
      </c>
      <c r="M79" s="114" t="s">
        <v>29</v>
      </c>
      <c r="N79" s="123" t="s">
        <v>150</v>
      </c>
      <c r="O79" s="155"/>
      <c r="P79" s="120"/>
      <c r="Q79" s="120"/>
    </row>
    <row r="80" spans="1:17" s="121" customFormat="1" ht="15.75" customHeight="1">
      <c r="A80" s="114" t="s">
        <v>151</v>
      </c>
      <c r="B80" s="117">
        <v>45930</v>
      </c>
      <c r="C80" s="117">
        <v>46142</v>
      </c>
      <c r="D80" s="114" t="s">
        <v>152</v>
      </c>
      <c r="E80" s="114" t="s">
        <v>82</v>
      </c>
      <c r="F80" s="114" t="s">
        <v>27</v>
      </c>
      <c r="G80" s="114" t="s">
        <v>33</v>
      </c>
      <c r="H80" s="117">
        <v>45930</v>
      </c>
      <c r="I80" s="122">
        <v>417962.123937</v>
      </c>
      <c r="J80" s="122">
        <f>+(I80*K80)/1000</f>
        <v>417962.123937</v>
      </c>
      <c r="K80" s="122">
        <v>1000</v>
      </c>
      <c r="L80" s="123">
        <v>212</v>
      </c>
      <c r="M80" s="114" t="s">
        <v>29</v>
      </c>
      <c r="N80" s="123">
        <v>47</v>
      </c>
      <c r="O80" s="120"/>
      <c r="P80" s="120"/>
      <c r="Q80" s="120"/>
    </row>
    <row r="81" spans="1:17" s="121" customFormat="1" ht="15.75" customHeight="1">
      <c r="A81" s="114" t="s">
        <v>135</v>
      </c>
      <c r="B81" s="117">
        <v>45848</v>
      </c>
      <c r="C81" s="117">
        <v>45961</v>
      </c>
      <c r="D81" s="114" t="s">
        <v>98</v>
      </c>
      <c r="E81" s="114" t="s">
        <v>82</v>
      </c>
      <c r="F81" s="114" t="s">
        <v>27</v>
      </c>
      <c r="G81" s="117" t="s">
        <v>99</v>
      </c>
      <c r="H81" s="117">
        <v>45930</v>
      </c>
      <c r="I81" s="122">
        <v>1001.739301</v>
      </c>
      <c r="J81" s="122">
        <v>1002</v>
      </c>
      <c r="K81" s="122">
        <v>1000</v>
      </c>
      <c r="L81" s="123">
        <v>31</v>
      </c>
      <c r="M81" s="114" t="s">
        <v>29</v>
      </c>
      <c r="N81" s="123" t="s">
        <v>153</v>
      </c>
      <c r="O81" s="155"/>
      <c r="P81" s="127"/>
      <c r="Q81" s="155"/>
    </row>
    <row r="82" spans="1:17" s="121" customFormat="1" ht="15.75" customHeight="1">
      <c r="A82" s="114" t="s">
        <v>154</v>
      </c>
      <c r="B82" s="117">
        <v>45930</v>
      </c>
      <c r="C82" s="117">
        <v>45989</v>
      </c>
      <c r="D82" s="114" t="s">
        <v>98</v>
      </c>
      <c r="E82" s="114" t="s">
        <v>82</v>
      </c>
      <c r="F82" s="114" t="s">
        <v>27</v>
      </c>
      <c r="G82" s="117" t="s">
        <v>99</v>
      </c>
      <c r="H82" s="117">
        <v>45930</v>
      </c>
      <c r="I82" s="122">
        <v>1299.138222</v>
      </c>
      <c r="J82" s="122">
        <v>1296.90861</v>
      </c>
      <c r="K82" s="122">
        <v>998.39</v>
      </c>
      <c r="L82" s="123">
        <v>59</v>
      </c>
      <c r="M82" s="114" t="s">
        <v>29</v>
      </c>
      <c r="N82" s="123">
        <v>47</v>
      </c>
      <c r="O82" s="120"/>
      <c r="P82" s="120"/>
      <c r="Q82" s="120"/>
    </row>
    <row r="83" spans="1:17" s="121" customFormat="1" ht="15.75" customHeight="1">
      <c r="A83" s="114" t="s">
        <v>155</v>
      </c>
      <c r="B83" s="117">
        <v>45930</v>
      </c>
      <c r="C83" s="117">
        <v>46142</v>
      </c>
      <c r="D83" s="114" t="s">
        <v>98</v>
      </c>
      <c r="E83" s="114" t="s">
        <v>82</v>
      </c>
      <c r="F83" s="114" t="s">
        <v>27</v>
      </c>
      <c r="G83" s="117" t="s">
        <v>99</v>
      </c>
      <c r="H83" s="117">
        <v>45930</v>
      </c>
      <c r="I83" s="122">
        <v>193.754448</v>
      </c>
      <c r="J83" s="122">
        <v>191.78063999999998</v>
      </c>
      <c r="K83" s="122">
        <v>988.56</v>
      </c>
      <c r="L83" s="123">
        <f t="shared" ref="L83:L103" si="0">+C83-H83</f>
        <v>212</v>
      </c>
      <c r="M83" s="114" t="s">
        <v>29</v>
      </c>
      <c r="N83" s="123">
        <v>47</v>
      </c>
      <c r="O83" s="120"/>
      <c r="P83" s="120"/>
      <c r="Q83" s="120"/>
    </row>
    <row r="84" spans="1:17" s="121" customFormat="1" ht="22.5" customHeight="1">
      <c r="A84" s="114" t="s">
        <v>154</v>
      </c>
      <c r="B84" s="117">
        <v>45930</v>
      </c>
      <c r="C84" s="117">
        <v>45989</v>
      </c>
      <c r="D84" s="114" t="s">
        <v>98</v>
      </c>
      <c r="E84" s="114" t="s">
        <v>82</v>
      </c>
      <c r="F84" s="114" t="s">
        <v>27</v>
      </c>
      <c r="G84" s="117" t="s">
        <v>99</v>
      </c>
      <c r="H84" s="117">
        <v>45947</v>
      </c>
      <c r="I84" s="122">
        <v>856.32799999999997</v>
      </c>
      <c r="J84" s="122">
        <f t="shared" ref="J84:J103" si="1">+(I84*K84)/1000</f>
        <v>847.00258808000001</v>
      </c>
      <c r="K84" s="122">
        <v>989.11</v>
      </c>
      <c r="L84" s="123">
        <f t="shared" si="0"/>
        <v>42</v>
      </c>
      <c r="M84" s="114" t="s">
        <v>29</v>
      </c>
      <c r="N84" s="123">
        <v>47</v>
      </c>
      <c r="O84" s="120"/>
      <c r="P84" s="120"/>
      <c r="Q84" s="120"/>
    </row>
    <row r="85" spans="1:17" s="121" customFormat="1" ht="22.5" customHeight="1">
      <c r="A85" s="114" t="s">
        <v>156</v>
      </c>
      <c r="B85" s="117" t="s">
        <v>157</v>
      </c>
      <c r="C85" s="117">
        <v>46053</v>
      </c>
      <c r="D85" s="114" t="s">
        <v>98</v>
      </c>
      <c r="E85" s="114" t="s">
        <v>82</v>
      </c>
      <c r="F85" s="114" t="s">
        <v>27</v>
      </c>
      <c r="G85" s="117" t="s">
        <v>99</v>
      </c>
      <c r="H85" s="117">
        <v>45947</v>
      </c>
      <c r="I85" s="122">
        <v>447.34245499999997</v>
      </c>
      <c r="J85" s="122">
        <f t="shared" si="1"/>
        <v>443.55346440615</v>
      </c>
      <c r="K85" s="122">
        <v>991.53</v>
      </c>
      <c r="L85" s="123">
        <f t="shared" si="0"/>
        <v>106</v>
      </c>
      <c r="M85" s="114" t="s">
        <v>29</v>
      </c>
      <c r="N85" s="123">
        <v>51</v>
      </c>
      <c r="O85" s="120"/>
      <c r="P85" s="120"/>
      <c r="Q85" s="120"/>
    </row>
    <row r="86" spans="1:17" s="121" customFormat="1" ht="22.5" customHeight="1">
      <c r="A86" s="114" t="s">
        <v>95</v>
      </c>
      <c r="B86" s="117">
        <v>45702</v>
      </c>
      <c r="C86" s="117">
        <v>45989</v>
      </c>
      <c r="D86" s="114" t="s">
        <v>96</v>
      </c>
      <c r="E86" s="114" t="s">
        <v>82</v>
      </c>
      <c r="F86" s="114" t="s">
        <v>27</v>
      </c>
      <c r="G86" s="117" t="s">
        <v>33</v>
      </c>
      <c r="H86" s="117">
        <v>45961</v>
      </c>
      <c r="I86" s="122">
        <v>1946082.958726</v>
      </c>
      <c r="J86" s="122">
        <f t="shared" si="1"/>
        <v>2337245.6334299259</v>
      </c>
      <c r="K86" s="122">
        <v>1201</v>
      </c>
      <c r="L86" s="123">
        <f t="shared" si="0"/>
        <v>28</v>
      </c>
      <c r="M86" s="114" t="s">
        <v>29</v>
      </c>
      <c r="N86" s="123" t="s">
        <v>158</v>
      </c>
      <c r="O86" s="120"/>
      <c r="P86" s="120"/>
      <c r="Q86" s="120"/>
    </row>
    <row r="87" spans="1:17" s="121" customFormat="1" ht="22.5" customHeight="1">
      <c r="A87" s="114" t="s">
        <v>151</v>
      </c>
      <c r="B87" s="117">
        <v>45930</v>
      </c>
      <c r="C87" s="117">
        <v>46142</v>
      </c>
      <c r="D87" s="114" t="s">
        <v>152</v>
      </c>
      <c r="E87" s="114" t="s">
        <v>82</v>
      </c>
      <c r="F87" s="114" t="s">
        <v>27</v>
      </c>
      <c r="G87" s="117" t="s">
        <v>33</v>
      </c>
      <c r="H87" s="117">
        <v>45961</v>
      </c>
      <c r="I87" s="122">
        <v>1373624.5524559999</v>
      </c>
      <c r="J87" s="122">
        <f t="shared" si="1"/>
        <v>1494228.7881616366</v>
      </c>
      <c r="K87" s="122">
        <v>1087.8</v>
      </c>
      <c r="L87" s="123">
        <f t="shared" si="0"/>
        <v>181</v>
      </c>
      <c r="M87" s="114" t="s">
        <v>29</v>
      </c>
      <c r="N87" s="123" t="s">
        <v>159</v>
      </c>
      <c r="O87" s="120"/>
      <c r="P87" s="120"/>
      <c r="Q87" s="120"/>
    </row>
    <row r="88" spans="1:17" s="121" customFormat="1" ht="22.5" customHeight="1">
      <c r="A88" s="114" t="s">
        <v>160</v>
      </c>
      <c r="B88" s="116">
        <v>45961</v>
      </c>
      <c r="C88" s="116">
        <v>46325</v>
      </c>
      <c r="D88" s="115" t="s">
        <v>161</v>
      </c>
      <c r="E88" s="115" t="s">
        <v>82</v>
      </c>
      <c r="F88" s="115" t="s">
        <v>27</v>
      </c>
      <c r="G88" s="116" t="s">
        <v>33</v>
      </c>
      <c r="H88" s="116">
        <v>45961</v>
      </c>
      <c r="I88" s="124">
        <v>670319.12011100003</v>
      </c>
      <c r="J88" s="124">
        <f t="shared" si="1"/>
        <v>670319.12011100003</v>
      </c>
      <c r="K88" s="124">
        <v>1000</v>
      </c>
      <c r="L88" s="125">
        <f t="shared" si="0"/>
        <v>364</v>
      </c>
      <c r="M88" s="115" t="s">
        <v>29</v>
      </c>
      <c r="N88" s="125">
        <v>54</v>
      </c>
      <c r="O88" s="120"/>
      <c r="P88" s="120"/>
      <c r="Q88" s="120"/>
    </row>
    <row r="89" spans="1:17" s="121" customFormat="1" ht="22.5" customHeight="1">
      <c r="A89" s="114" t="s">
        <v>147</v>
      </c>
      <c r="B89" s="117">
        <v>45898</v>
      </c>
      <c r="C89" s="117">
        <v>46080</v>
      </c>
      <c r="D89" s="114" t="s">
        <v>90</v>
      </c>
      <c r="E89" s="114" t="s">
        <v>82</v>
      </c>
      <c r="F89" s="114" t="s">
        <v>27</v>
      </c>
      <c r="G89" s="114" t="s">
        <v>33</v>
      </c>
      <c r="H89" s="117">
        <v>45971</v>
      </c>
      <c r="I89" s="122">
        <v>1947549.4473079999</v>
      </c>
      <c r="J89" s="124">
        <f t="shared" si="1"/>
        <v>2237150.0501226997</v>
      </c>
      <c r="K89" s="122">
        <v>1148.7</v>
      </c>
      <c r="L89" s="125">
        <f t="shared" si="0"/>
        <v>109</v>
      </c>
      <c r="M89" s="114" t="s">
        <v>29</v>
      </c>
      <c r="N89" s="123">
        <v>41</v>
      </c>
      <c r="O89" s="120"/>
      <c r="P89" s="120"/>
      <c r="Q89" s="120"/>
    </row>
    <row r="90" spans="1:17" s="121" customFormat="1" ht="22.5" customHeight="1">
      <c r="A90" s="114" t="s">
        <v>162</v>
      </c>
      <c r="B90" s="117">
        <v>45971</v>
      </c>
      <c r="C90" s="117">
        <v>46265</v>
      </c>
      <c r="D90" s="114" t="s">
        <v>163</v>
      </c>
      <c r="E90" s="114" t="s">
        <v>82</v>
      </c>
      <c r="F90" s="114" t="s">
        <v>27</v>
      </c>
      <c r="G90" s="114" t="s">
        <v>33</v>
      </c>
      <c r="H90" s="117">
        <v>45971</v>
      </c>
      <c r="I90" s="122">
        <v>1916493.5597860001</v>
      </c>
      <c r="J90" s="124">
        <f t="shared" si="1"/>
        <v>1916493.5597860001</v>
      </c>
      <c r="K90" s="124">
        <v>1000</v>
      </c>
      <c r="L90" s="125">
        <f t="shared" si="0"/>
        <v>294</v>
      </c>
      <c r="M90" s="114" t="s">
        <v>29</v>
      </c>
      <c r="N90" s="123">
        <v>58</v>
      </c>
      <c r="O90" s="120"/>
      <c r="P90" s="120"/>
      <c r="Q90" s="120"/>
    </row>
    <row r="91" spans="1:17" s="121" customFormat="1" ht="22.5" customHeight="1">
      <c r="A91" s="114" t="s">
        <v>164</v>
      </c>
      <c r="B91" s="117">
        <v>45971</v>
      </c>
      <c r="C91" s="117">
        <v>46265</v>
      </c>
      <c r="D91" s="114" t="s">
        <v>110</v>
      </c>
      <c r="E91" s="114" t="s">
        <v>82</v>
      </c>
      <c r="F91" s="114" t="s">
        <v>27</v>
      </c>
      <c r="G91" s="114" t="s">
        <v>33</v>
      </c>
      <c r="H91" s="117">
        <v>45971</v>
      </c>
      <c r="I91" s="122">
        <v>1323524.0816269999</v>
      </c>
      <c r="J91" s="122">
        <f t="shared" si="1"/>
        <v>1323524.0816269999</v>
      </c>
      <c r="K91" s="122">
        <v>1000</v>
      </c>
      <c r="L91" s="123">
        <f t="shared" si="0"/>
        <v>294</v>
      </c>
      <c r="M91" s="126" t="s">
        <v>29</v>
      </c>
      <c r="N91" s="123">
        <v>58</v>
      </c>
      <c r="O91" s="120"/>
      <c r="P91" s="120"/>
      <c r="Q91" s="120"/>
    </row>
    <row r="92" spans="1:17" s="121" customFormat="1" ht="22.5" customHeight="1">
      <c r="A92" s="114" t="s">
        <v>151</v>
      </c>
      <c r="B92" s="117">
        <v>45930</v>
      </c>
      <c r="C92" s="117">
        <v>46142</v>
      </c>
      <c r="D92" s="114" t="s">
        <v>152</v>
      </c>
      <c r="E92" s="114" t="s">
        <v>82</v>
      </c>
      <c r="F92" s="114" t="s">
        <v>27</v>
      </c>
      <c r="G92" s="117" t="s">
        <v>33</v>
      </c>
      <c r="H92" s="117">
        <v>45989</v>
      </c>
      <c r="I92" s="122">
        <v>1616646.817724</v>
      </c>
      <c r="J92" s="122">
        <f t="shared" si="1"/>
        <v>1814831.551108785</v>
      </c>
      <c r="K92" s="122">
        <v>1122.5899999999999</v>
      </c>
      <c r="L92" s="123">
        <f t="shared" si="0"/>
        <v>153</v>
      </c>
      <c r="M92" s="114" t="s">
        <v>29</v>
      </c>
      <c r="N92" s="123" t="s">
        <v>159</v>
      </c>
      <c r="O92" s="120"/>
      <c r="P92" s="120"/>
      <c r="Q92" s="120"/>
    </row>
    <row r="93" spans="1:17" s="121" customFormat="1" ht="22.5" customHeight="1">
      <c r="A93" s="114" t="s">
        <v>160</v>
      </c>
      <c r="B93" s="117">
        <v>45961</v>
      </c>
      <c r="C93" s="117">
        <v>46325</v>
      </c>
      <c r="D93" s="114" t="s">
        <v>161</v>
      </c>
      <c r="E93" s="114" t="s">
        <v>82</v>
      </c>
      <c r="F93" s="114" t="s">
        <v>27</v>
      </c>
      <c r="G93" s="117" t="s">
        <v>33</v>
      </c>
      <c r="H93" s="117">
        <v>45989</v>
      </c>
      <c r="I93" s="122">
        <v>822482.639035</v>
      </c>
      <c r="J93" s="122">
        <f t="shared" si="1"/>
        <v>822482.639035</v>
      </c>
      <c r="K93" s="122">
        <v>1000</v>
      </c>
      <c r="L93" s="123">
        <f t="shared" si="0"/>
        <v>336</v>
      </c>
      <c r="M93" s="114" t="s">
        <v>29</v>
      </c>
      <c r="N93" s="123">
        <v>54</v>
      </c>
      <c r="O93" s="120"/>
      <c r="P93" s="120"/>
      <c r="Q93" s="120"/>
    </row>
    <row r="94" spans="1:17" s="121" customFormat="1" ht="22.5" customHeight="1">
      <c r="A94" s="114" t="s">
        <v>155</v>
      </c>
      <c r="B94" s="117">
        <v>45930</v>
      </c>
      <c r="C94" s="117">
        <v>46142</v>
      </c>
      <c r="D94" s="114" t="s">
        <v>98</v>
      </c>
      <c r="E94" s="114" t="s">
        <v>82</v>
      </c>
      <c r="F94" s="114" t="s">
        <v>27</v>
      </c>
      <c r="G94" s="117" t="s">
        <v>99</v>
      </c>
      <c r="H94" s="117">
        <v>45989</v>
      </c>
      <c r="I94" s="122">
        <v>316.80575199999998</v>
      </c>
      <c r="J94" s="122">
        <f t="shared" si="1"/>
        <v>312.21206859599999</v>
      </c>
      <c r="K94" s="122">
        <v>985.5</v>
      </c>
      <c r="L94" s="123">
        <f t="shared" si="0"/>
        <v>153</v>
      </c>
      <c r="M94" s="114" t="s">
        <v>29</v>
      </c>
      <c r="N94" s="123" t="s">
        <v>165</v>
      </c>
      <c r="O94" s="120"/>
      <c r="P94" s="120"/>
      <c r="Q94" s="120"/>
    </row>
    <row r="95" spans="1:17" s="121" customFormat="1" ht="22.5" customHeight="1">
      <c r="A95" s="114" t="s">
        <v>166</v>
      </c>
      <c r="B95" s="117">
        <v>45989</v>
      </c>
      <c r="C95" s="117">
        <v>46142</v>
      </c>
      <c r="D95" s="114" t="s">
        <v>110</v>
      </c>
      <c r="E95" s="114" t="s">
        <v>82</v>
      </c>
      <c r="F95" s="114" t="s">
        <v>27</v>
      </c>
      <c r="G95" s="117" t="s">
        <v>33</v>
      </c>
      <c r="H95" s="117">
        <v>45989</v>
      </c>
      <c r="I95" s="122">
        <v>2728077.125678</v>
      </c>
      <c r="J95" s="122">
        <f t="shared" si="1"/>
        <v>2728077.125678</v>
      </c>
      <c r="K95" s="122">
        <v>1000</v>
      </c>
      <c r="L95" s="123">
        <f t="shared" si="0"/>
        <v>153</v>
      </c>
      <c r="M95" s="114" t="s">
        <v>29</v>
      </c>
      <c r="N95" s="123">
        <v>60</v>
      </c>
      <c r="O95" s="120"/>
      <c r="P95" s="120"/>
      <c r="Q95" s="120"/>
    </row>
    <row r="96" spans="1:17" s="121" customFormat="1" ht="22.5" customHeight="1">
      <c r="A96" s="114" t="s">
        <v>167</v>
      </c>
      <c r="B96" s="117">
        <v>45989</v>
      </c>
      <c r="C96" s="117">
        <v>46171</v>
      </c>
      <c r="D96" s="114" t="s">
        <v>98</v>
      </c>
      <c r="E96" s="114" t="s">
        <v>82</v>
      </c>
      <c r="F96" s="114" t="s">
        <v>27</v>
      </c>
      <c r="G96" s="117" t="s">
        <v>33</v>
      </c>
      <c r="H96" s="117">
        <v>45989</v>
      </c>
      <c r="I96" s="122">
        <v>1193042.4625500001</v>
      </c>
      <c r="J96" s="122">
        <f t="shared" si="1"/>
        <v>1151285.9763607499</v>
      </c>
      <c r="K96" s="122">
        <v>965</v>
      </c>
      <c r="L96" s="123">
        <f t="shared" si="0"/>
        <v>182</v>
      </c>
      <c r="M96" s="114" t="s">
        <v>29</v>
      </c>
      <c r="N96" s="123">
        <v>60</v>
      </c>
      <c r="O96" s="120"/>
      <c r="P96" s="120"/>
      <c r="Q96" s="120"/>
    </row>
    <row r="97" spans="1:17" s="121" customFormat="1" ht="22.5" customHeight="1">
      <c r="A97" s="114" t="s">
        <v>168</v>
      </c>
      <c r="B97" s="117">
        <v>46006</v>
      </c>
      <c r="C97" s="117">
        <v>46356</v>
      </c>
      <c r="D97" s="114" t="s">
        <v>98</v>
      </c>
      <c r="E97" s="114" t="s">
        <v>82</v>
      </c>
      <c r="F97" s="114" t="s">
        <v>27</v>
      </c>
      <c r="G97" s="117" t="s">
        <v>33</v>
      </c>
      <c r="H97" s="117">
        <v>46006</v>
      </c>
      <c r="I97" s="122">
        <v>3361095.1298969998</v>
      </c>
      <c r="J97" s="122">
        <f t="shared" si="1"/>
        <v>3142287.8369407048</v>
      </c>
      <c r="K97" s="122">
        <v>934.9</v>
      </c>
      <c r="L97" s="123">
        <f t="shared" si="0"/>
        <v>350</v>
      </c>
      <c r="M97" s="114" t="s">
        <v>29</v>
      </c>
      <c r="N97" s="123">
        <v>63</v>
      </c>
      <c r="O97" s="120"/>
      <c r="P97" s="120"/>
      <c r="Q97" s="120"/>
    </row>
    <row r="98" spans="1:17" s="121" customFormat="1" ht="22.5" customHeight="1">
      <c r="A98" s="114" t="s">
        <v>169</v>
      </c>
      <c r="B98" s="117">
        <v>46006</v>
      </c>
      <c r="C98" s="117">
        <v>46129</v>
      </c>
      <c r="D98" s="114" t="s">
        <v>170</v>
      </c>
      <c r="E98" s="114" t="s">
        <v>82</v>
      </c>
      <c r="F98" s="114" t="s">
        <v>27</v>
      </c>
      <c r="G98" s="117" t="s">
        <v>33</v>
      </c>
      <c r="H98" s="117">
        <v>46006</v>
      </c>
      <c r="I98" s="122">
        <v>2721249.6207400002</v>
      </c>
      <c r="J98" s="122">
        <f t="shared" si="1"/>
        <v>2721249.6207400002</v>
      </c>
      <c r="K98" s="122">
        <v>1000</v>
      </c>
      <c r="L98" s="123">
        <f t="shared" si="0"/>
        <v>123</v>
      </c>
      <c r="M98" s="114" t="s">
        <v>29</v>
      </c>
      <c r="N98" s="123">
        <v>63</v>
      </c>
      <c r="O98" s="120"/>
      <c r="P98" s="120"/>
      <c r="Q98" s="120"/>
    </row>
    <row r="99" spans="1:17" s="121" customFormat="1" ht="22.5" customHeight="1">
      <c r="A99" s="114" t="s">
        <v>171</v>
      </c>
      <c r="B99" s="117">
        <v>46006</v>
      </c>
      <c r="C99" s="117">
        <v>46356</v>
      </c>
      <c r="D99" s="114" t="s">
        <v>161</v>
      </c>
      <c r="E99" s="114" t="s">
        <v>82</v>
      </c>
      <c r="F99" s="114" t="s">
        <v>27</v>
      </c>
      <c r="G99" s="117" t="s">
        <v>33</v>
      </c>
      <c r="H99" s="117">
        <v>46006</v>
      </c>
      <c r="I99" s="122">
        <v>1402884.493796</v>
      </c>
      <c r="J99" s="122">
        <f t="shared" si="1"/>
        <v>1402884.493796</v>
      </c>
      <c r="K99" s="122">
        <v>1000</v>
      </c>
      <c r="L99" s="123">
        <f t="shared" si="0"/>
        <v>350</v>
      </c>
      <c r="M99" s="114" t="s">
        <v>29</v>
      </c>
      <c r="N99" s="123">
        <v>63</v>
      </c>
      <c r="O99" s="120"/>
      <c r="P99" s="120"/>
      <c r="Q99" s="120"/>
    </row>
    <row r="100" spans="1:17" s="121" customFormat="1" ht="22.5" customHeight="1">
      <c r="A100" s="114" t="s">
        <v>155</v>
      </c>
      <c r="B100" s="117">
        <v>45930</v>
      </c>
      <c r="C100" s="117">
        <v>46142</v>
      </c>
      <c r="D100" s="114" t="s">
        <v>98</v>
      </c>
      <c r="E100" s="114" t="s">
        <v>82</v>
      </c>
      <c r="F100" s="114" t="s">
        <v>27</v>
      </c>
      <c r="G100" s="117" t="s">
        <v>99</v>
      </c>
      <c r="H100" s="117">
        <v>46006</v>
      </c>
      <c r="I100" s="122">
        <v>35.938231000000002</v>
      </c>
      <c r="J100" s="122">
        <f t="shared" si="1"/>
        <v>35.578848690000001</v>
      </c>
      <c r="K100" s="122">
        <v>990</v>
      </c>
      <c r="L100" s="123">
        <f t="shared" si="0"/>
        <v>136</v>
      </c>
      <c r="M100" s="114" t="s">
        <v>29</v>
      </c>
      <c r="N100" s="123" t="s">
        <v>165</v>
      </c>
      <c r="O100" s="120"/>
      <c r="P100" s="120"/>
      <c r="Q100" s="120"/>
    </row>
    <row r="101" spans="1:17" s="121" customFormat="1" ht="22.5" customHeight="1">
      <c r="A101" s="114" t="s">
        <v>164</v>
      </c>
      <c r="B101" s="117">
        <v>45971</v>
      </c>
      <c r="C101" s="117">
        <v>46265</v>
      </c>
      <c r="D101" s="114" t="s">
        <v>110</v>
      </c>
      <c r="E101" s="114" t="s">
        <v>82</v>
      </c>
      <c r="F101" s="114" t="s">
        <v>27</v>
      </c>
      <c r="G101" s="114" t="s">
        <v>33</v>
      </c>
      <c r="H101" s="117">
        <v>46006</v>
      </c>
      <c r="I101" s="122">
        <v>2429903.816292</v>
      </c>
      <c r="J101" s="122">
        <f t="shared" si="1"/>
        <v>2539735.4687883989</v>
      </c>
      <c r="K101" s="122">
        <v>1045.2</v>
      </c>
      <c r="L101" s="123">
        <f t="shared" si="0"/>
        <v>259</v>
      </c>
      <c r="M101" s="114" t="s">
        <v>29</v>
      </c>
      <c r="N101" s="123" t="s">
        <v>172</v>
      </c>
      <c r="O101" s="120"/>
      <c r="P101" s="120"/>
      <c r="Q101" s="120"/>
    </row>
    <row r="102" spans="1:17" s="121" customFormat="1" ht="22.5" customHeight="1">
      <c r="A102" s="114" t="s">
        <v>167</v>
      </c>
      <c r="B102" s="117">
        <v>45989</v>
      </c>
      <c r="C102" s="117">
        <v>46171</v>
      </c>
      <c r="D102" s="114" t="s">
        <v>98</v>
      </c>
      <c r="E102" s="114" t="s">
        <v>82</v>
      </c>
      <c r="F102" s="114" t="s">
        <v>27</v>
      </c>
      <c r="G102" s="117" t="s">
        <v>33</v>
      </c>
      <c r="H102" s="117">
        <v>46006</v>
      </c>
      <c r="I102" s="122">
        <v>1163350.9276449999</v>
      </c>
      <c r="J102" s="122">
        <f t="shared" si="1"/>
        <v>1144737.3128026801</v>
      </c>
      <c r="K102" s="122">
        <v>984</v>
      </c>
      <c r="L102" s="123">
        <f t="shared" si="0"/>
        <v>165</v>
      </c>
      <c r="M102" s="114" t="s">
        <v>29</v>
      </c>
      <c r="N102" s="123" t="s">
        <v>173</v>
      </c>
      <c r="O102" s="120"/>
      <c r="P102" s="120"/>
      <c r="Q102" s="120"/>
    </row>
    <row r="103" spans="1:17" s="121" customFormat="1" ht="22.5" customHeight="1">
      <c r="A103" s="114" t="s">
        <v>126</v>
      </c>
      <c r="B103" s="117">
        <v>45807</v>
      </c>
      <c r="C103" s="117">
        <v>46171</v>
      </c>
      <c r="D103" s="114" t="s">
        <v>127</v>
      </c>
      <c r="E103" s="114" t="s">
        <v>82</v>
      </c>
      <c r="F103" s="114" t="s">
        <v>27</v>
      </c>
      <c r="G103" s="114" t="s">
        <v>33</v>
      </c>
      <c r="H103" s="117">
        <v>46006</v>
      </c>
      <c r="I103" s="122">
        <v>2141163.334173</v>
      </c>
      <c r="J103" s="122">
        <f t="shared" si="1"/>
        <v>2494669.4006449617</v>
      </c>
      <c r="K103" s="122">
        <v>1165.0999999999999</v>
      </c>
      <c r="L103" s="123">
        <f t="shared" si="0"/>
        <v>165</v>
      </c>
      <c r="M103" s="114" t="s">
        <v>29</v>
      </c>
      <c r="N103" s="123" t="s">
        <v>174</v>
      </c>
      <c r="O103" s="120"/>
      <c r="P103" s="120"/>
      <c r="Q103" s="120"/>
    </row>
    <row r="104" spans="1:17" ht="22.5" customHeight="1">
      <c r="A104" s="19"/>
      <c r="B104" s="47"/>
      <c r="C104" s="47"/>
      <c r="D104" s="1"/>
      <c r="E104" s="1"/>
      <c r="F104" s="1"/>
      <c r="G104" s="1"/>
      <c r="H104" s="47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22.5" customHeight="1">
      <c r="A105" s="19" t="s">
        <v>77</v>
      </c>
      <c r="B105" s="47"/>
      <c r="C105" s="47"/>
      <c r="D105" s="1"/>
      <c r="E105" s="1"/>
      <c r="F105" s="1"/>
      <c r="G105" s="1"/>
      <c r="H105" s="47"/>
      <c r="I105" s="58"/>
      <c r="J105" s="1"/>
      <c r="K105" s="1"/>
      <c r="L105" s="1"/>
      <c r="M105" s="1"/>
      <c r="N105" s="1"/>
      <c r="O105" s="1"/>
      <c r="P105" s="1"/>
      <c r="Q105" s="1"/>
    </row>
    <row r="106" spans="1:17" ht="22.5" customHeight="1">
      <c r="A106" s="47"/>
      <c r="B106" s="47"/>
      <c r="C106" s="47"/>
      <c r="D106" s="1"/>
      <c r="E106" s="1"/>
      <c r="F106" s="1"/>
      <c r="G106" s="1"/>
      <c r="H106" s="47"/>
      <c r="I106" s="58"/>
      <c r="J106" s="1"/>
      <c r="K106" s="1"/>
      <c r="L106" s="1"/>
      <c r="M106" s="1"/>
      <c r="N106" s="1"/>
      <c r="O106" s="1"/>
      <c r="P106" s="1"/>
      <c r="Q106" s="1"/>
    </row>
    <row r="107" spans="1:17" ht="22.5" customHeight="1">
      <c r="A107" s="47"/>
      <c r="B107" s="47"/>
      <c r="C107" s="47"/>
      <c r="D107" s="1"/>
      <c r="E107" s="1"/>
      <c r="F107" s="1"/>
      <c r="G107" s="1"/>
      <c r="H107" s="47"/>
      <c r="I107" s="58"/>
      <c r="J107" s="1"/>
      <c r="K107" s="1"/>
      <c r="L107" s="1"/>
      <c r="M107" s="1"/>
      <c r="N107" s="1"/>
      <c r="O107" s="1"/>
      <c r="P107" s="1"/>
      <c r="Q107" s="1"/>
    </row>
    <row r="108" spans="1:17" ht="22.5" customHeight="1">
      <c r="A108" s="47"/>
      <c r="B108" s="47"/>
      <c r="C108" s="47"/>
      <c r="D108" s="1"/>
      <c r="E108" s="1"/>
      <c r="F108" s="1"/>
      <c r="G108" s="1"/>
      <c r="H108" s="47"/>
      <c r="I108" s="57"/>
      <c r="J108" s="58"/>
      <c r="K108" s="1"/>
      <c r="L108" s="1"/>
      <c r="M108" s="1"/>
      <c r="N108" s="1"/>
      <c r="O108" s="1"/>
      <c r="P108" s="1"/>
      <c r="Q108" s="1"/>
    </row>
    <row r="109" spans="1:17" ht="22.5" customHeight="1">
      <c r="A109" s="47"/>
      <c r="B109" s="47"/>
      <c r="C109" s="47"/>
      <c r="D109" s="1"/>
      <c r="E109" s="1"/>
      <c r="F109" s="1"/>
      <c r="G109" s="1"/>
      <c r="H109" s="57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22.5" customHeight="1">
      <c r="A110" s="47"/>
      <c r="B110" s="47"/>
      <c r="C110" s="47"/>
      <c r="D110" s="1"/>
      <c r="E110" s="1"/>
      <c r="F110" s="1"/>
      <c r="G110" s="1"/>
      <c r="H110" s="57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22.5" customHeight="1">
      <c r="A111" s="47"/>
      <c r="B111" s="47"/>
      <c r="C111" s="47"/>
      <c r="D111" s="1"/>
      <c r="E111" s="1"/>
      <c r="F111" s="1"/>
      <c r="G111" s="1"/>
      <c r="H111" s="57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22.5" customHeight="1">
      <c r="A112" s="47"/>
      <c r="B112" s="47"/>
      <c r="C112" s="47"/>
      <c r="D112" s="1"/>
      <c r="E112" s="1"/>
      <c r="F112" s="1"/>
      <c r="G112" s="1"/>
      <c r="H112" s="57"/>
      <c r="I112" s="59"/>
      <c r="J112" s="1"/>
      <c r="K112" s="1"/>
      <c r="L112" s="1"/>
      <c r="M112" s="1"/>
      <c r="N112" s="1"/>
      <c r="O112" s="1"/>
      <c r="P112" s="1"/>
      <c r="Q112" s="1"/>
    </row>
    <row r="113" spans="1:17" ht="22.5" customHeight="1">
      <c r="A113" s="47"/>
      <c r="B113" s="47"/>
      <c r="C113" s="47"/>
      <c r="D113" s="1"/>
      <c r="E113" s="1"/>
      <c r="F113" s="1"/>
      <c r="G113" s="1"/>
      <c r="H113" s="57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22.5" customHeight="1">
      <c r="A114" s="1"/>
      <c r="B114" s="47"/>
      <c r="C114" s="47"/>
      <c r="D114" s="1"/>
      <c r="E114" s="1"/>
      <c r="F114" s="1"/>
      <c r="G114" s="1"/>
      <c r="H114" s="57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22.5" customHeight="1">
      <c r="A115" s="46"/>
      <c r="B115" s="47"/>
      <c r="C115" s="47"/>
      <c r="D115" s="1"/>
      <c r="E115" s="1"/>
      <c r="F115" s="1"/>
      <c r="G115" s="1"/>
      <c r="H115" s="57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22.5" customHeight="1">
      <c r="A116" s="46"/>
      <c r="B116" s="47"/>
      <c r="C116" s="47"/>
      <c r="D116" s="1"/>
      <c r="E116" s="1"/>
      <c r="F116" s="1"/>
      <c r="G116" s="1"/>
      <c r="H116" s="57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22.5" customHeight="1">
      <c r="A117" s="46"/>
      <c r="B117" s="47"/>
      <c r="C117" s="47"/>
      <c r="D117" s="1"/>
      <c r="E117" s="1"/>
      <c r="F117" s="1"/>
      <c r="G117" s="1"/>
      <c r="H117" s="47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22.5" customHeight="1">
      <c r="A118" s="46"/>
      <c r="B118" s="47"/>
      <c r="C118" s="47"/>
      <c r="D118" s="1"/>
      <c r="E118" s="1"/>
      <c r="F118" s="1"/>
      <c r="G118" s="1"/>
      <c r="H118" s="47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22.5" customHeight="1">
      <c r="A119" s="46"/>
      <c r="B119" s="47"/>
      <c r="C119" s="47"/>
      <c r="D119" s="1"/>
      <c r="E119" s="1"/>
      <c r="F119" s="1"/>
      <c r="G119" s="1"/>
      <c r="H119" s="47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22.5" customHeight="1">
      <c r="A120" s="46"/>
      <c r="B120" s="47"/>
      <c r="C120" s="47"/>
      <c r="D120" s="1"/>
      <c r="E120" s="1"/>
      <c r="F120" s="1"/>
      <c r="G120" s="1"/>
      <c r="H120" s="47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22.5" customHeight="1">
      <c r="A121" s="46"/>
      <c r="B121" s="47"/>
      <c r="C121" s="47"/>
      <c r="D121" s="1"/>
      <c r="E121" s="1"/>
      <c r="F121" s="1"/>
      <c r="G121" s="1"/>
      <c r="H121" s="47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22.5" customHeight="1">
      <c r="A122" s="46"/>
      <c r="B122" s="47"/>
      <c r="C122" s="47"/>
      <c r="D122" s="1"/>
      <c r="E122" s="1"/>
      <c r="F122" s="1"/>
      <c r="G122" s="1"/>
      <c r="H122" s="47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22.5" customHeight="1">
      <c r="A123" s="46"/>
      <c r="B123" s="47"/>
      <c r="C123" s="47"/>
      <c r="D123" s="1"/>
      <c r="E123" s="1"/>
      <c r="F123" s="1"/>
      <c r="G123" s="1"/>
      <c r="H123" s="47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22.5" customHeight="1">
      <c r="A124" s="46"/>
      <c r="B124" s="47"/>
      <c r="C124" s="47"/>
      <c r="D124" s="1"/>
      <c r="E124" s="1"/>
      <c r="F124" s="1"/>
      <c r="G124" s="1"/>
      <c r="H124" s="47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22.5" customHeight="1">
      <c r="A125" s="46"/>
      <c r="B125" s="47"/>
      <c r="C125" s="47"/>
      <c r="D125" s="1"/>
      <c r="E125" s="1"/>
      <c r="F125" s="1"/>
      <c r="G125" s="1"/>
      <c r="H125" s="47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22.5" customHeight="1">
      <c r="A126" s="46"/>
      <c r="B126" s="47"/>
      <c r="C126" s="47"/>
      <c r="D126" s="1"/>
      <c r="E126" s="1"/>
      <c r="F126" s="1"/>
      <c r="G126" s="1"/>
      <c r="H126" s="47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22.5" customHeight="1">
      <c r="A127" s="46"/>
      <c r="B127" s="47"/>
      <c r="C127" s="47"/>
      <c r="D127" s="1"/>
      <c r="E127" s="1"/>
      <c r="F127" s="1"/>
      <c r="G127" s="1"/>
      <c r="H127" s="47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22.5" customHeight="1">
      <c r="A128" s="46"/>
      <c r="B128" s="47"/>
      <c r="C128" s="47"/>
      <c r="D128" s="1"/>
      <c r="E128" s="1"/>
      <c r="F128" s="1"/>
      <c r="G128" s="1"/>
      <c r="H128" s="47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22.5" customHeight="1">
      <c r="A129" s="46"/>
      <c r="B129" s="47"/>
      <c r="C129" s="47"/>
      <c r="D129" s="1"/>
      <c r="E129" s="1"/>
      <c r="F129" s="1"/>
      <c r="G129" s="1"/>
      <c r="H129" s="47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22.5" customHeight="1">
      <c r="A130" s="46"/>
      <c r="B130" s="47"/>
      <c r="C130" s="47"/>
      <c r="D130" s="1"/>
      <c r="E130" s="1"/>
      <c r="F130" s="1"/>
      <c r="G130" s="1"/>
      <c r="H130" s="47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22.5" customHeight="1">
      <c r="A131" s="46"/>
      <c r="B131" s="47"/>
      <c r="C131" s="47"/>
      <c r="D131" s="1"/>
      <c r="E131" s="1"/>
      <c r="F131" s="1"/>
      <c r="G131" s="1"/>
      <c r="H131" s="47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22.5" customHeight="1">
      <c r="A132" s="46"/>
      <c r="B132" s="47"/>
      <c r="C132" s="47"/>
      <c r="D132" s="1"/>
      <c r="E132" s="1"/>
      <c r="F132" s="1"/>
      <c r="G132" s="1"/>
      <c r="H132" s="47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22.5" customHeight="1">
      <c r="A133" s="46"/>
      <c r="B133" s="47"/>
      <c r="C133" s="47"/>
      <c r="D133" s="1"/>
      <c r="E133" s="1"/>
      <c r="F133" s="1"/>
      <c r="G133" s="1"/>
      <c r="H133" s="47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22.5" customHeight="1">
      <c r="A134" s="46"/>
      <c r="B134" s="47"/>
      <c r="C134" s="47"/>
      <c r="D134" s="1"/>
      <c r="E134" s="1"/>
      <c r="F134" s="1"/>
      <c r="G134" s="1"/>
      <c r="H134" s="47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22.5" customHeight="1">
      <c r="A135" s="46"/>
      <c r="B135" s="47"/>
      <c r="C135" s="47"/>
      <c r="D135" s="1"/>
      <c r="E135" s="1"/>
      <c r="F135" s="1"/>
      <c r="G135" s="1"/>
      <c r="H135" s="47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22.5" customHeight="1">
      <c r="A136" s="46"/>
      <c r="B136" s="47"/>
      <c r="C136" s="47"/>
      <c r="D136" s="1"/>
      <c r="E136" s="1"/>
      <c r="F136" s="1"/>
      <c r="G136" s="1"/>
      <c r="H136" s="47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22.5" customHeight="1">
      <c r="A137" s="46"/>
      <c r="B137" s="47"/>
      <c r="C137" s="47"/>
      <c r="D137" s="1"/>
      <c r="E137" s="1"/>
      <c r="F137" s="1"/>
      <c r="G137" s="1"/>
      <c r="H137" s="47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22.5" customHeight="1">
      <c r="A138" s="46"/>
      <c r="B138" s="47"/>
      <c r="C138" s="47"/>
      <c r="D138" s="1"/>
      <c r="E138" s="1"/>
      <c r="F138" s="1"/>
      <c r="G138" s="1"/>
      <c r="H138" s="47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22.5" customHeight="1">
      <c r="A139" s="46"/>
      <c r="B139" s="47"/>
      <c r="C139" s="47"/>
      <c r="D139" s="1"/>
      <c r="E139" s="1"/>
      <c r="F139" s="1"/>
      <c r="G139" s="1"/>
      <c r="H139" s="47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22.5" customHeight="1">
      <c r="A140" s="46"/>
      <c r="B140" s="47"/>
      <c r="C140" s="47"/>
      <c r="D140" s="1"/>
      <c r="E140" s="1"/>
      <c r="F140" s="1"/>
      <c r="G140" s="1"/>
      <c r="H140" s="47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22.5" customHeight="1">
      <c r="A141" s="46"/>
      <c r="B141" s="47"/>
      <c r="C141" s="47"/>
      <c r="D141" s="1"/>
      <c r="E141" s="1"/>
      <c r="F141" s="1"/>
      <c r="G141" s="1"/>
      <c r="H141" s="47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22.5" customHeight="1">
      <c r="A142" s="46"/>
      <c r="B142" s="47"/>
      <c r="C142" s="47"/>
      <c r="D142" s="1"/>
      <c r="E142" s="1"/>
      <c r="F142" s="1"/>
      <c r="G142" s="1"/>
      <c r="H142" s="47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22.5" customHeight="1">
      <c r="A143" s="46"/>
      <c r="B143" s="47"/>
      <c r="C143" s="47"/>
      <c r="D143" s="1"/>
      <c r="E143" s="1"/>
      <c r="F143" s="1"/>
      <c r="G143" s="1"/>
      <c r="H143" s="47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22.5" customHeight="1">
      <c r="A144" s="46"/>
      <c r="B144" s="47"/>
      <c r="C144" s="47"/>
      <c r="D144" s="1"/>
      <c r="E144" s="1"/>
      <c r="F144" s="1"/>
      <c r="G144" s="1"/>
      <c r="H144" s="47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22.5" customHeight="1">
      <c r="A145" s="46"/>
      <c r="B145" s="47"/>
      <c r="C145" s="47"/>
      <c r="D145" s="1"/>
      <c r="E145" s="1"/>
      <c r="F145" s="1"/>
      <c r="G145" s="1"/>
      <c r="H145" s="47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22.5" customHeight="1">
      <c r="A146" s="46"/>
      <c r="B146" s="47"/>
      <c r="C146" s="47"/>
      <c r="D146" s="1"/>
      <c r="E146" s="1"/>
      <c r="F146" s="1"/>
      <c r="G146" s="1"/>
      <c r="H146" s="47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22.5" customHeight="1">
      <c r="A147" s="46"/>
      <c r="B147" s="47"/>
      <c r="C147" s="47"/>
      <c r="D147" s="1"/>
      <c r="E147" s="1"/>
      <c r="F147" s="1"/>
      <c r="G147" s="1"/>
      <c r="H147" s="47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22.5" customHeight="1">
      <c r="A148" s="46"/>
      <c r="B148" s="47"/>
      <c r="C148" s="47"/>
      <c r="D148" s="1"/>
      <c r="E148" s="1"/>
      <c r="F148" s="1"/>
      <c r="G148" s="1"/>
      <c r="H148" s="47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22.5" customHeight="1">
      <c r="A149" s="46"/>
      <c r="B149" s="47"/>
      <c r="C149" s="47"/>
      <c r="D149" s="1"/>
      <c r="E149" s="1"/>
      <c r="F149" s="1"/>
      <c r="G149" s="1"/>
      <c r="H149" s="47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22.5" customHeight="1">
      <c r="A150" s="46"/>
      <c r="B150" s="47"/>
      <c r="C150" s="47"/>
      <c r="D150" s="1"/>
      <c r="E150" s="1"/>
      <c r="F150" s="1"/>
      <c r="G150" s="1"/>
      <c r="H150" s="47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22.5" customHeight="1">
      <c r="A151" s="46"/>
      <c r="B151" s="47"/>
      <c r="C151" s="47"/>
      <c r="D151" s="1"/>
      <c r="E151" s="1"/>
      <c r="F151" s="1"/>
      <c r="G151" s="1"/>
      <c r="H151" s="47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22.5" customHeight="1">
      <c r="A152" s="46"/>
      <c r="B152" s="47"/>
      <c r="C152" s="47"/>
      <c r="D152" s="1"/>
      <c r="E152" s="1"/>
      <c r="F152" s="1"/>
      <c r="G152" s="1"/>
      <c r="H152" s="47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22.5" customHeight="1">
      <c r="A153" s="46"/>
      <c r="B153" s="47"/>
      <c r="C153" s="47"/>
      <c r="D153" s="1"/>
      <c r="E153" s="1"/>
      <c r="F153" s="1"/>
      <c r="G153" s="1"/>
      <c r="H153" s="47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22.5" customHeight="1">
      <c r="A154" s="46"/>
      <c r="B154" s="47"/>
      <c r="C154" s="47"/>
      <c r="D154" s="1"/>
      <c r="E154" s="1"/>
      <c r="F154" s="1"/>
      <c r="G154" s="1"/>
      <c r="H154" s="47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22.5" customHeight="1">
      <c r="A155" s="46"/>
      <c r="B155" s="47"/>
      <c r="C155" s="47"/>
      <c r="D155" s="1"/>
      <c r="E155" s="1"/>
      <c r="F155" s="1"/>
      <c r="G155" s="1"/>
      <c r="H155" s="47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22.5" customHeight="1">
      <c r="A156" s="46"/>
      <c r="B156" s="47"/>
      <c r="C156" s="47"/>
      <c r="D156" s="1"/>
      <c r="E156" s="1"/>
      <c r="F156" s="1"/>
      <c r="G156" s="1"/>
      <c r="H156" s="47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22.5" customHeight="1">
      <c r="A157" s="46"/>
      <c r="B157" s="47"/>
      <c r="C157" s="47"/>
      <c r="D157" s="1"/>
      <c r="E157" s="1"/>
      <c r="F157" s="1"/>
      <c r="G157" s="1"/>
      <c r="H157" s="47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22.5" customHeight="1">
      <c r="A158" s="46"/>
      <c r="B158" s="47"/>
      <c r="C158" s="47"/>
      <c r="D158" s="1"/>
      <c r="E158" s="1"/>
      <c r="F158" s="1"/>
      <c r="G158" s="1"/>
      <c r="H158" s="47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22.5" customHeight="1">
      <c r="A159" s="46"/>
      <c r="B159" s="47"/>
      <c r="C159" s="47"/>
      <c r="D159" s="1"/>
      <c r="E159" s="1"/>
      <c r="F159" s="1"/>
      <c r="G159" s="1"/>
      <c r="H159" s="47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22.5" customHeight="1">
      <c r="A160" s="46"/>
      <c r="B160" s="47"/>
      <c r="C160" s="47"/>
      <c r="D160" s="1"/>
      <c r="E160" s="1"/>
      <c r="F160" s="1"/>
      <c r="G160" s="1"/>
      <c r="H160" s="47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22.5" customHeight="1">
      <c r="A161" s="46"/>
      <c r="B161" s="47"/>
      <c r="C161" s="47"/>
      <c r="D161" s="1"/>
      <c r="E161" s="1"/>
      <c r="F161" s="1"/>
      <c r="G161" s="1"/>
      <c r="H161" s="47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22.5" customHeight="1">
      <c r="A162" s="46"/>
      <c r="B162" s="47"/>
      <c r="C162" s="47"/>
      <c r="D162" s="1"/>
      <c r="E162" s="1"/>
      <c r="F162" s="1"/>
      <c r="G162" s="1"/>
      <c r="H162" s="47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22.5" customHeight="1">
      <c r="A163" s="46"/>
      <c r="B163" s="47"/>
      <c r="C163" s="47"/>
      <c r="D163" s="1"/>
      <c r="E163" s="1"/>
      <c r="F163" s="1"/>
      <c r="G163" s="1"/>
      <c r="H163" s="47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22.5" customHeight="1">
      <c r="A164" s="46"/>
      <c r="B164" s="47"/>
      <c r="C164" s="47"/>
      <c r="D164" s="1"/>
      <c r="E164" s="1"/>
      <c r="F164" s="1"/>
      <c r="G164" s="1"/>
      <c r="H164" s="47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22.5" customHeight="1">
      <c r="A165" s="46"/>
      <c r="B165" s="47"/>
      <c r="C165" s="47"/>
      <c r="D165" s="1"/>
      <c r="E165" s="1"/>
      <c r="F165" s="1"/>
      <c r="G165" s="1"/>
      <c r="H165" s="47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22.5" customHeight="1">
      <c r="A166" s="46"/>
      <c r="B166" s="47"/>
      <c r="C166" s="47"/>
      <c r="D166" s="1"/>
      <c r="E166" s="1"/>
      <c r="F166" s="1"/>
      <c r="G166" s="1"/>
      <c r="H166" s="47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22.5" customHeight="1">
      <c r="A167" s="46"/>
      <c r="B167" s="47"/>
      <c r="C167" s="47"/>
      <c r="D167" s="1"/>
      <c r="E167" s="1"/>
      <c r="F167" s="1"/>
      <c r="G167" s="1"/>
      <c r="H167" s="47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22.5" customHeight="1">
      <c r="A168" s="46"/>
      <c r="B168" s="47"/>
      <c r="C168" s="47"/>
      <c r="D168" s="1"/>
      <c r="E168" s="1"/>
      <c r="F168" s="1"/>
      <c r="G168" s="1"/>
      <c r="H168" s="47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22.5" customHeight="1">
      <c r="A169" s="46"/>
      <c r="B169" s="47"/>
      <c r="C169" s="47"/>
      <c r="D169" s="1"/>
      <c r="E169" s="1"/>
      <c r="F169" s="1"/>
      <c r="G169" s="1"/>
      <c r="H169" s="47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22.5" customHeight="1">
      <c r="A170" s="46"/>
      <c r="B170" s="47"/>
      <c r="C170" s="47"/>
      <c r="D170" s="1"/>
      <c r="E170" s="1"/>
      <c r="F170" s="1"/>
      <c r="G170" s="1"/>
      <c r="H170" s="47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22.5" customHeight="1">
      <c r="A171" s="46"/>
      <c r="B171" s="47"/>
      <c r="C171" s="47"/>
      <c r="D171" s="1"/>
      <c r="E171" s="1"/>
      <c r="F171" s="1"/>
      <c r="G171" s="1"/>
      <c r="H171" s="47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22.5" customHeight="1">
      <c r="A172" s="46"/>
      <c r="B172" s="47"/>
      <c r="C172" s="47"/>
      <c r="D172" s="1"/>
      <c r="E172" s="1"/>
      <c r="F172" s="1"/>
      <c r="G172" s="1"/>
      <c r="H172" s="47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22.5" customHeight="1">
      <c r="A173" s="46"/>
      <c r="B173" s="47"/>
      <c r="C173" s="47"/>
      <c r="D173" s="1"/>
      <c r="E173" s="1"/>
      <c r="F173" s="1"/>
      <c r="G173" s="1"/>
      <c r="H173" s="47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22.5" customHeight="1">
      <c r="A174" s="46"/>
      <c r="B174" s="47"/>
      <c r="C174" s="47"/>
      <c r="D174" s="1"/>
      <c r="E174" s="1"/>
      <c r="F174" s="1"/>
      <c r="G174" s="1"/>
      <c r="H174" s="47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22.5" customHeight="1">
      <c r="A175" s="46"/>
      <c r="B175" s="47"/>
      <c r="C175" s="47"/>
      <c r="D175" s="1"/>
      <c r="E175" s="1"/>
      <c r="F175" s="1"/>
      <c r="G175" s="1"/>
      <c r="H175" s="47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22.5" customHeight="1">
      <c r="A176" s="46"/>
      <c r="B176" s="47"/>
      <c r="C176" s="47"/>
      <c r="D176" s="1"/>
      <c r="E176" s="1"/>
      <c r="F176" s="1"/>
      <c r="G176" s="1"/>
      <c r="H176" s="47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22.5" customHeight="1">
      <c r="A177" s="46"/>
      <c r="B177" s="47"/>
      <c r="C177" s="47"/>
      <c r="D177" s="1"/>
      <c r="E177" s="1"/>
      <c r="F177" s="1"/>
      <c r="G177" s="1"/>
      <c r="H177" s="47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22.5" customHeight="1">
      <c r="A178" s="46"/>
      <c r="B178" s="47"/>
      <c r="C178" s="47"/>
      <c r="D178" s="1"/>
      <c r="E178" s="1"/>
      <c r="F178" s="1"/>
      <c r="G178" s="1"/>
      <c r="H178" s="47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22.5" customHeight="1">
      <c r="A179" s="46"/>
      <c r="B179" s="47"/>
      <c r="C179" s="47"/>
      <c r="D179" s="1"/>
      <c r="E179" s="1"/>
      <c r="F179" s="1"/>
      <c r="G179" s="1"/>
      <c r="H179" s="47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22.5" customHeight="1">
      <c r="A180" s="46"/>
      <c r="B180" s="47"/>
      <c r="C180" s="47"/>
      <c r="D180" s="1"/>
      <c r="E180" s="1"/>
      <c r="F180" s="1"/>
      <c r="G180" s="1"/>
      <c r="H180" s="47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22.5" customHeight="1">
      <c r="A181" s="46"/>
      <c r="B181" s="47"/>
      <c r="C181" s="47"/>
      <c r="D181" s="1"/>
      <c r="E181" s="1"/>
      <c r="F181" s="1"/>
      <c r="G181" s="1"/>
      <c r="H181" s="47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22.5" customHeight="1">
      <c r="A182" s="46"/>
      <c r="B182" s="47"/>
      <c r="C182" s="47"/>
      <c r="D182" s="1"/>
      <c r="E182" s="1"/>
      <c r="F182" s="1"/>
      <c r="G182" s="1"/>
      <c r="H182" s="47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22.5" customHeight="1">
      <c r="A183" s="46"/>
      <c r="B183" s="47"/>
      <c r="C183" s="47"/>
      <c r="D183" s="1"/>
      <c r="E183" s="1"/>
      <c r="F183" s="1"/>
      <c r="G183" s="1"/>
      <c r="H183" s="47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22.5" customHeight="1">
      <c r="A184" s="46"/>
      <c r="B184" s="47"/>
      <c r="C184" s="47"/>
      <c r="D184" s="1"/>
      <c r="E184" s="1"/>
      <c r="F184" s="1"/>
      <c r="G184" s="1"/>
      <c r="H184" s="47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22.5" customHeight="1">
      <c r="A185" s="46"/>
      <c r="B185" s="47"/>
      <c r="C185" s="47"/>
      <c r="D185" s="1"/>
      <c r="E185" s="1"/>
      <c r="F185" s="1"/>
      <c r="G185" s="1"/>
      <c r="H185" s="47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22.5" customHeight="1">
      <c r="A186" s="46"/>
      <c r="B186" s="47"/>
      <c r="C186" s="47"/>
      <c r="D186" s="1"/>
      <c r="E186" s="1"/>
      <c r="F186" s="1"/>
      <c r="G186" s="1"/>
      <c r="H186" s="47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22.5" customHeight="1">
      <c r="A187" s="46"/>
      <c r="B187" s="47"/>
      <c r="C187" s="47"/>
      <c r="D187" s="1"/>
      <c r="E187" s="1"/>
      <c r="F187" s="1"/>
      <c r="G187" s="1"/>
      <c r="H187" s="47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22.5" customHeight="1">
      <c r="A188" s="46"/>
      <c r="B188" s="47"/>
      <c r="C188" s="47"/>
      <c r="D188" s="1"/>
      <c r="E188" s="1"/>
      <c r="F188" s="1"/>
      <c r="G188" s="1"/>
      <c r="H188" s="47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22.5" customHeight="1">
      <c r="A189" s="46"/>
      <c r="B189" s="47"/>
      <c r="C189" s="47"/>
      <c r="D189" s="1"/>
      <c r="E189" s="1"/>
      <c r="F189" s="1"/>
      <c r="G189" s="1"/>
      <c r="H189" s="47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22.5" customHeight="1">
      <c r="A190" s="46"/>
      <c r="B190" s="47"/>
      <c r="C190" s="47"/>
      <c r="D190" s="1"/>
      <c r="E190" s="1"/>
      <c r="F190" s="1"/>
      <c r="G190" s="1"/>
      <c r="H190" s="47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22.5" customHeight="1">
      <c r="A191" s="46"/>
      <c r="B191" s="47"/>
      <c r="C191" s="47"/>
      <c r="D191" s="1"/>
      <c r="E191" s="1"/>
      <c r="F191" s="1"/>
      <c r="G191" s="1"/>
      <c r="H191" s="47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22.5" customHeight="1">
      <c r="A192" s="46"/>
      <c r="B192" s="47"/>
      <c r="C192" s="47"/>
      <c r="D192" s="1"/>
      <c r="E192" s="1"/>
      <c r="F192" s="1"/>
      <c r="G192" s="1"/>
      <c r="H192" s="47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22.5" customHeight="1">
      <c r="A193" s="46"/>
      <c r="B193" s="47"/>
      <c r="C193" s="47"/>
      <c r="D193" s="1"/>
      <c r="E193" s="1"/>
      <c r="F193" s="1"/>
      <c r="G193" s="1"/>
      <c r="H193" s="47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22.5" customHeight="1">
      <c r="A194" s="46"/>
      <c r="B194" s="47"/>
      <c r="C194" s="47"/>
      <c r="D194" s="1"/>
      <c r="E194" s="1"/>
      <c r="F194" s="1"/>
      <c r="G194" s="1"/>
      <c r="H194" s="47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22.5" customHeight="1">
      <c r="A195" s="46"/>
      <c r="B195" s="47"/>
      <c r="C195" s="47"/>
      <c r="D195" s="1"/>
      <c r="E195" s="1"/>
      <c r="F195" s="1"/>
      <c r="G195" s="1"/>
      <c r="H195" s="47"/>
      <c r="I195" s="1"/>
      <c r="J195" s="1"/>
      <c r="K195" s="1"/>
      <c r="L195" s="1"/>
      <c r="M195" s="1"/>
      <c r="N195" s="1"/>
      <c r="O195" s="1"/>
      <c r="P195" s="1"/>
      <c r="Q195" s="1"/>
    </row>
    <row r="196" spans="1:17" ht="22.5" customHeight="1">
      <c r="A196" s="46"/>
      <c r="B196" s="47"/>
      <c r="C196" s="47"/>
      <c r="D196" s="1"/>
      <c r="E196" s="1"/>
      <c r="F196" s="1"/>
      <c r="G196" s="1"/>
      <c r="H196" s="47"/>
      <c r="I196" s="1"/>
      <c r="J196" s="1"/>
      <c r="K196" s="1"/>
      <c r="L196" s="1"/>
      <c r="M196" s="1"/>
      <c r="N196" s="1"/>
      <c r="O196" s="1"/>
      <c r="P196" s="1"/>
      <c r="Q196" s="1"/>
    </row>
    <row r="197" spans="1:17" ht="22.5" customHeight="1">
      <c r="A197" s="46"/>
      <c r="B197" s="47"/>
      <c r="C197" s="47"/>
      <c r="D197" s="1"/>
      <c r="E197" s="1"/>
      <c r="F197" s="1"/>
      <c r="G197" s="1"/>
      <c r="H197" s="47"/>
      <c r="I197" s="1"/>
      <c r="J197" s="1"/>
      <c r="K197" s="1"/>
      <c r="L197" s="1"/>
      <c r="M197" s="1"/>
      <c r="N197" s="1"/>
      <c r="O197" s="1"/>
      <c r="P197" s="1"/>
      <c r="Q197" s="1"/>
    </row>
    <row r="198" spans="1:17" ht="22.5" customHeight="1">
      <c r="A198" s="46"/>
      <c r="B198" s="47"/>
      <c r="C198" s="47"/>
      <c r="D198" s="1"/>
      <c r="E198" s="1"/>
      <c r="F198" s="1"/>
      <c r="G198" s="1"/>
      <c r="H198" s="47"/>
      <c r="I198" s="1"/>
      <c r="J198" s="1"/>
      <c r="K198" s="1"/>
      <c r="L198" s="1"/>
      <c r="M198" s="1"/>
      <c r="N198" s="1"/>
      <c r="O198" s="1"/>
      <c r="P198" s="1"/>
      <c r="Q198" s="1"/>
    </row>
    <row r="199" spans="1:17" ht="22.5" customHeight="1">
      <c r="A199" s="46"/>
      <c r="B199" s="47"/>
      <c r="C199" s="47"/>
      <c r="D199" s="1"/>
      <c r="E199" s="1"/>
      <c r="F199" s="1"/>
      <c r="G199" s="1"/>
      <c r="H199" s="47"/>
      <c r="I199" s="1"/>
      <c r="J199" s="1"/>
      <c r="K199" s="1"/>
      <c r="L199" s="1"/>
      <c r="M199" s="1"/>
      <c r="N199" s="1"/>
      <c r="O199" s="1"/>
      <c r="P199" s="1"/>
      <c r="Q199" s="1"/>
    </row>
    <row r="200" spans="1:17" ht="22.5" customHeight="1">
      <c r="A200" s="46"/>
      <c r="B200" s="47"/>
      <c r="C200" s="47"/>
      <c r="D200" s="1"/>
      <c r="E200" s="1"/>
      <c r="F200" s="1"/>
      <c r="G200" s="1"/>
      <c r="H200" s="47"/>
      <c r="I200" s="1"/>
      <c r="J200" s="1"/>
      <c r="K200" s="1"/>
      <c r="L200" s="1"/>
      <c r="M200" s="1"/>
      <c r="N200" s="1"/>
      <c r="O200" s="1"/>
      <c r="P200" s="1"/>
      <c r="Q200" s="1"/>
    </row>
    <row r="201" spans="1:17" ht="22.5" customHeight="1">
      <c r="A201" s="46"/>
      <c r="B201" s="47"/>
      <c r="C201" s="47"/>
      <c r="D201" s="1"/>
      <c r="E201" s="1"/>
      <c r="F201" s="1"/>
      <c r="G201" s="1"/>
      <c r="H201" s="47"/>
      <c r="I201" s="1"/>
      <c r="J201" s="1"/>
      <c r="K201" s="1"/>
      <c r="L201" s="1"/>
      <c r="M201" s="1"/>
      <c r="N201" s="1"/>
      <c r="O201" s="1"/>
      <c r="P201" s="1"/>
      <c r="Q201" s="1"/>
    </row>
    <row r="202" spans="1:17" ht="22.5" customHeight="1">
      <c r="A202" s="46"/>
      <c r="B202" s="47"/>
      <c r="C202" s="47"/>
      <c r="D202" s="1"/>
      <c r="E202" s="1"/>
      <c r="F202" s="1"/>
      <c r="G202" s="1"/>
      <c r="H202" s="47"/>
      <c r="I202" s="1"/>
      <c r="J202" s="1"/>
      <c r="K202" s="1"/>
      <c r="L202" s="1"/>
      <c r="M202" s="1"/>
      <c r="N202" s="1"/>
      <c r="O202" s="1"/>
      <c r="P202" s="1"/>
      <c r="Q202" s="1"/>
    </row>
    <row r="203" spans="1:17" ht="22.5" customHeight="1">
      <c r="A203" s="46"/>
      <c r="B203" s="47"/>
      <c r="C203" s="47"/>
      <c r="D203" s="1"/>
      <c r="E203" s="1"/>
      <c r="F203" s="1"/>
      <c r="G203" s="1"/>
      <c r="H203" s="47"/>
      <c r="I203" s="1"/>
      <c r="J203" s="1"/>
      <c r="K203" s="1"/>
      <c r="L203" s="1"/>
      <c r="M203" s="1"/>
      <c r="N203" s="1"/>
      <c r="O203" s="1"/>
      <c r="P203" s="1"/>
      <c r="Q203" s="1"/>
    </row>
    <row r="204" spans="1:17" ht="22.5" customHeight="1">
      <c r="A204" s="46"/>
      <c r="B204" s="47"/>
      <c r="C204" s="47"/>
      <c r="D204" s="1"/>
      <c r="E204" s="1"/>
      <c r="F204" s="1"/>
      <c r="G204" s="1"/>
      <c r="H204" s="47"/>
      <c r="I204" s="1"/>
      <c r="J204" s="1"/>
      <c r="K204" s="1"/>
      <c r="L204" s="1"/>
      <c r="M204" s="1"/>
      <c r="N204" s="1"/>
      <c r="O204" s="1"/>
      <c r="P204" s="1"/>
      <c r="Q204" s="1"/>
    </row>
    <row r="205" spans="1:17" ht="22.5" customHeight="1">
      <c r="A205" s="46"/>
      <c r="B205" s="47"/>
      <c r="C205" s="47"/>
      <c r="D205" s="1"/>
      <c r="E205" s="1"/>
      <c r="F205" s="1"/>
      <c r="G205" s="1"/>
      <c r="H205" s="47"/>
      <c r="I205" s="1"/>
      <c r="J205" s="1"/>
      <c r="K205" s="1"/>
      <c r="L205" s="1"/>
      <c r="M205" s="1"/>
      <c r="N205" s="1"/>
      <c r="O205" s="1"/>
      <c r="P205" s="1"/>
      <c r="Q205" s="1"/>
    </row>
    <row r="206" spans="1:17" ht="22.5" customHeight="1">
      <c r="A206" s="46"/>
      <c r="B206" s="47"/>
      <c r="C206" s="47"/>
      <c r="D206" s="1"/>
      <c r="E206" s="1"/>
      <c r="F206" s="1"/>
      <c r="G206" s="1"/>
      <c r="H206" s="47"/>
      <c r="I206" s="1"/>
      <c r="J206" s="1"/>
      <c r="K206" s="1"/>
      <c r="L206" s="1"/>
      <c r="M206" s="1"/>
      <c r="N206" s="1"/>
      <c r="O206" s="1"/>
      <c r="P206" s="1"/>
      <c r="Q206" s="1"/>
    </row>
    <row r="207" spans="1:17" ht="22.5" customHeight="1">
      <c r="A207" s="46"/>
      <c r="B207" s="47"/>
      <c r="C207" s="47"/>
      <c r="D207" s="1"/>
      <c r="E207" s="1"/>
      <c r="F207" s="1"/>
      <c r="G207" s="1"/>
      <c r="H207" s="47"/>
      <c r="I207" s="1"/>
      <c r="J207" s="1"/>
      <c r="K207" s="1"/>
      <c r="L207" s="1"/>
      <c r="M207" s="1"/>
      <c r="N207" s="1"/>
      <c r="O207" s="1"/>
      <c r="P207" s="1"/>
      <c r="Q207" s="1"/>
    </row>
    <row r="208" spans="1:17" ht="22.5" customHeight="1">
      <c r="A208" s="46"/>
      <c r="B208" s="47"/>
      <c r="C208" s="47"/>
      <c r="D208" s="1"/>
      <c r="E208" s="1"/>
      <c r="F208" s="1"/>
      <c r="G208" s="1"/>
      <c r="H208" s="47"/>
      <c r="I208" s="1"/>
      <c r="J208" s="1"/>
      <c r="K208" s="1"/>
      <c r="L208" s="1"/>
      <c r="M208" s="1"/>
      <c r="N208" s="1"/>
      <c r="O208" s="1"/>
      <c r="P208" s="1"/>
      <c r="Q208" s="1"/>
    </row>
    <row r="209" spans="1:17" ht="22.5" customHeight="1">
      <c r="A209" s="46"/>
      <c r="B209" s="47"/>
      <c r="C209" s="47"/>
      <c r="D209" s="1"/>
      <c r="E209" s="1"/>
      <c r="F209" s="1"/>
      <c r="G209" s="1"/>
      <c r="H209" s="47"/>
      <c r="I209" s="1"/>
      <c r="J209" s="1"/>
      <c r="K209" s="1"/>
      <c r="L209" s="1"/>
      <c r="M209" s="1"/>
      <c r="N209" s="1"/>
      <c r="O209" s="1"/>
      <c r="P209" s="1"/>
      <c r="Q209" s="1"/>
    </row>
    <row r="210" spans="1:17" ht="22.5" customHeight="1">
      <c r="A210" s="46"/>
      <c r="B210" s="47"/>
      <c r="C210" s="47"/>
      <c r="D210" s="1"/>
      <c r="E210" s="1"/>
      <c r="F210" s="1"/>
      <c r="G210" s="1"/>
      <c r="H210" s="47"/>
      <c r="I210" s="1"/>
      <c r="J210" s="1"/>
      <c r="K210" s="1"/>
      <c r="L210" s="1"/>
      <c r="M210" s="1"/>
      <c r="N210" s="1"/>
      <c r="O210" s="1"/>
      <c r="P210" s="1"/>
      <c r="Q210" s="1"/>
    </row>
    <row r="211" spans="1:17" ht="22.5" customHeight="1">
      <c r="A211" s="46"/>
      <c r="B211" s="47"/>
      <c r="C211" s="47"/>
      <c r="D211" s="1"/>
      <c r="E211" s="1"/>
      <c r="F211" s="1"/>
      <c r="G211" s="1"/>
      <c r="H211" s="47"/>
      <c r="I211" s="1"/>
      <c r="J211" s="1"/>
      <c r="K211" s="1"/>
      <c r="L211" s="1"/>
      <c r="M211" s="1"/>
      <c r="N211" s="1"/>
      <c r="O211" s="1"/>
      <c r="P211" s="1"/>
      <c r="Q211" s="1"/>
    </row>
    <row r="212" spans="1:17" ht="22.5" customHeight="1">
      <c r="A212" s="46"/>
      <c r="B212" s="47"/>
      <c r="C212" s="47"/>
      <c r="D212" s="1"/>
      <c r="E212" s="1"/>
      <c r="F212" s="1"/>
      <c r="G212" s="1"/>
      <c r="H212" s="47"/>
      <c r="I212" s="1"/>
      <c r="J212" s="1"/>
      <c r="K212" s="1"/>
      <c r="L212" s="1"/>
      <c r="M212" s="1"/>
      <c r="N212" s="1"/>
      <c r="O212" s="1"/>
      <c r="P212" s="1"/>
      <c r="Q212" s="1"/>
    </row>
    <row r="213" spans="1:17" ht="22.5" customHeight="1">
      <c r="A213" s="46"/>
      <c r="B213" s="47"/>
      <c r="C213" s="47"/>
      <c r="D213" s="1"/>
      <c r="E213" s="1"/>
      <c r="F213" s="1"/>
      <c r="G213" s="1"/>
      <c r="H213" s="47"/>
      <c r="I213" s="1"/>
      <c r="J213" s="1"/>
      <c r="K213" s="1"/>
      <c r="L213" s="1"/>
      <c r="M213" s="1"/>
      <c r="N213" s="1"/>
      <c r="O213" s="1"/>
      <c r="P213" s="1"/>
      <c r="Q213" s="1"/>
    </row>
    <row r="214" spans="1:17" ht="22.5" customHeight="1">
      <c r="A214" s="46"/>
      <c r="B214" s="47"/>
      <c r="C214" s="47"/>
      <c r="D214" s="1"/>
      <c r="E214" s="1"/>
      <c r="F214" s="1"/>
      <c r="G214" s="1"/>
      <c r="H214" s="47"/>
      <c r="I214" s="1"/>
      <c r="J214" s="1"/>
      <c r="K214" s="1"/>
      <c r="L214" s="1"/>
      <c r="M214" s="1"/>
      <c r="N214" s="1"/>
      <c r="O214" s="1"/>
      <c r="P214" s="1"/>
      <c r="Q214" s="1"/>
    </row>
    <row r="215" spans="1:17" ht="22.5" customHeight="1">
      <c r="A215" s="46"/>
      <c r="B215" s="47"/>
      <c r="C215" s="47"/>
      <c r="D215" s="1"/>
      <c r="E215" s="1"/>
      <c r="F215" s="1"/>
      <c r="G215" s="1"/>
      <c r="H215" s="47"/>
      <c r="I215" s="1"/>
      <c r="J215" s="1"/>
      <c r="K215" s="1"/>
      <c r="L215" s="1"/>
      <c r="M215" s="1"/>
      <c r="N215" s="1"/>
      <c r="O215" s="1"/>
      <c r="P215" s="1"/>
      <c r="Q215" s="1"/>
    </row>
    <row r="216" spans="1:17" ht="22.5" customHeight="1">
      <c r="A216" s="46"/>
      <c r="B216" s="47"/>
      <c r="C216" s="47"/>
      <c r="D216" s="1"/>
      <c r="E216" s="1"/>
      <c r="F216" s="1"/>
      <c r="G216" s="1"/>
      <c r="H216" s="47"/>
      <c r="I216" s="1"/>
      <c r="J216" s="1"/>
      <c r="K216" s="1"/>
      <c r="L216" s="1"/>
      <c r="M216" s="1"/>
      <c r="N216" s="1"/>
      <c r="O216" s="1"/>
      <c r="P216" s="1"/>
      <c r="Q216" s="1"/>
    </row>
    <row r="217" spans="1:17" ht="22.5" customHeight="1">
      <c r="A217" s="46"/>
      <c r="B217" s="47"/>
      <c r="C217" s="47"/>
      <c r="D217" s="1"/>
      <c r="E217" s="1"/>
      <c r="F217" s="1"/>
      <c r="G217" s="1"/>
      <c r="H217" s="47"/>
      <c r="I217" s="1"/>
      <c r="J217" s="1"/>
      <c r="K217" s="1"/>
      <c r="L217" s="1"/>
      <c r="M217" s="1"/>
      <c r="N217" s="1"/>
      <c r="O217" s="1"/>
      <c r="P217" s="1"/>
      <c r="Q217" s="1"/>
    </row>
    <row r="218" spans="1:17" ht="22.5" customHeight="1">
      <c r="A218" s="46"/>
      <c r="B218" s="47"/>
      <c r="C218" s="47"/>
      <c r="D218" s="1"/>
      <c r="E218" s="1"/>
      <c r="F218" s="1"/>
      <c r="G218" s="1"/>
      <c r="H218" s="47"/>
      <c r="I218" s="1"/>
      <c r="J218" s="1"/>
      <c r="K218" s="1"/>
      <c r="L218" s="1"/>
      <c r="M218" s="1"/>
      <c r="N218" s="1"/>
      <c r="O218" s="1"/>
      <c r="P218" s="1"/>
      <c r="Q218" s="1"/>
    </row>
    <row r="219" spans="1:17" ht="22.5" customHeight="1">
      <c r="A219" s="46"/>
      <c r="B219" s="47"/>
      <c r="C219" s="47"/>
      <c r="D219" s="1"/>
      <c r="E219" s="1"/>
      <c r="F219" s="1"/>
      <c r="G219" s="1"/>
      <c r="H219" s="47"/>
      <c r="I219" s="1"/>
      <c r="J219" s="1"/>
      <c r="K219" s="1"/>
      <c r="L219" s="1"/>
      <c r="M219" s="1"/>
      <c r="N219" s="1"/>
      <c r="O219" s="1"/>
      <c r="P219" s="1"/>
      <c r="Q219" s="1"/>
    </row>
    <row r="220" spans="1:17" ht="22.5" customHeight="1">
      <c r="A220" s="46"/>
      <c r="B220" s="47"/>
      <c r="C220" s="47"/>
      <c r="D220" s="1"/>
      <c r="E220" s="1"/>
      <c r="F220" s="1"/>
      <c r="G220" s="1"/>
      <c r="H220" s="47"/>
      <c r="I220" s="1"/>
      <c r="J220" s="1"/>
      <c r="K220" s="1"/>
      <c r="L220" s="1"/>
      <c r="M220" s="1"/>
      <c r="N220" s="1"/>
      <c r="O220" s="1"/>
      <c r="P220" s="1"/>
      <c r="Q220" s="1"/>
    </row>
    <row r="221" spans="1:17" ht="22.5" customHeight="1">
      <c r="A221" s="46"/>
      <c r="B221" s="47"/>
      <c r="C221" s="47"/>
      <c r="D221" s="1"/>
      <c r="E221" s="1"/>
      <c r="F221" s="1"/>
      <c r="G221" s="1"/>
      <c r="H221" s="47"/>
      <c r="I221" s="1"/>
      <c r="J221" s="1"/>
      <c r="K221" s="1"/>
      <c r="L221" s="1"/>
      <c r="M221" s="1"/>
      <c r="N221" s="1"/>
      <c r="O221" s="1"/>
      <c r="P221" s="1"/>
      <c r="Q221" s="1"/>
    </row>
    <row r="222" spans="1:17" ht="22.5" customHeight="1">
      <c r="A222" s="46"/>
      <c r="B222" s="47"/>
      <c r="C222" s="47"/>
      <c r="D222" s="1"/>
      <c r="E222" s="1"/>
      <c r="F222" s="1"/>
      <c r="G222" s="1"/>
      <c r="H222" s="47"/>
      <c r="I222" s="1"/>
      <c r="J222" s="1"/>
      <c r="K222" s="1"/>
      <c r="L222" s="1"/>
      <c r="M222" s="1"/>
      <c r="N222" s="1"/>
      <c r="O222" s="1"/>
      <c r="P222" s="1"/>
      <c r="Q222" s="1"/>
    </row>
    <row r="223" spans="1:17" ht="22.5" customHeight="1">
      <c r="A223" s="46"/>
      <c r="B223" s="47"/>
      <c r="C223" s="47"/>
      <c r="D223" s="1"/>
      <c r="E223" s="1"/>
      <c r="F223" s="1"/>
      <c r="G223" s="1"/>
      <c r="H223" s="47"/>
      <c r="I223" s="1"/>
      <c r="J223" s="1"/>
      <c r="K223" s="1"/>
      <c r="L223" s="1"/>
      <c r="M223" s="1"/>
      <c r="N223" s="1"/>
      <c r="O223" s="1"/>
      <c r="P223" s="1"/>
      <c r="Q223" s="1"/>
    </row>
    <row r="224" spans="1:17" ht="22.5" customHeight="1">
      <c r="A224" s="46"/>
      <c r="B224" s="47"/>
      <c r="C224" s="47"/>
      <c r="D224" s="1"/>
      <c r="E224" s="1"/>
      <c r="F224" s="1"/>
      <c r="G224" s="1"/>
      <c r="H224" s="47"/>
      <c r="I224" s="1"/>
      <c r="J224" s="1"/>
      <c r="K224" s="1"/>
      <c r="L224" s="1"/>
      <c r="M224" s="1"/>
      <c r="N224" s="1"/>
      <c r="O224" s="1"/>
      <c r="P224" s="1"/>
      <c r="Q224" s="1"/>
    </row>
    <row r="225" spans="1:17" ht="22.5" customHeight="1">
      <c r="A225" s="46"/>
      <c r="B225" s="47"/>
      <c r="C225" s="47"/>
      <c r="D225" s="1"/>
      <c r="E225" s="1"/>
      <c r="F225" s="1"/>
      <c r="G225" s="1"/>
      <c r="H225" s="47"/>
      <c r="I225" s="1"/>
      <c r="J225" s="1"/>
      <c r="K225" s="1"/>
      <c r="L225" s="1"/>
      <c r="M225" s="1"/>
      <c r="N225" s="1"/>
      <c r="O225" s="1"/>
      <c r="P225" s="1"/>
      <c r="Q225" s="1"/>
    </row>
    <row r="226" spans="1:17" ht="22.5" customHeight="1">
      <c r="A226" s="46"/>
      <c r="B226" s="47"/>
      <c r="C226" s="47"/>
      <c r="D226" s="1"/>
      <c r="E226" s="1"/>
      <c r="F226" s="1"/>
      <c r="G226" s="1"/>
      <c r="H226" s="47"/>
      <c r="I226" s="1"/>
      <c r="J226" s="1"/>
      <c r="K226" s="1"/>
      <c r="L226" s="1"/>
      <c r="M226" s="1"/>
      <c r="N226" s="1"/>
      <c r="O226" s="1"/>
      <c r="P226" s="1"/>
      <c r="Q226" s="1"/>
    </row>
    <row r="227" spans="1:17" ht="22.5" customHeight="1">
      <c r="A227" s="46"/>
      <c r="B227" s="47"/>
      <c r="C227" s="47"/>
      <c r="D227" s="1"/>
      <c r="E227" s="1"/>
      <c r="F227" s="1"/>
      <c r="G227" s="1"/>
      <c r="H227" s="47"/>
      <c r="I227" s="1"/>
      <c r="J227" s="1"/>
      <c r="K227" s="1"/>
      <c r="L227" s="1"/>
      <c r="M227" s="1"/>
      <c r="N227" s="1"/>
      <c r="O227" s="1"/>
      <c r="P227" s="1"/>
      <c r="Q227" s="1"/>
    </row>
    <row r="228" spans="1:17" ht="22.5" customHeight="1">
      <c r="A228" s="46"/>
      <c r="B228" s="47"/>
      <c r="C228" s="47"/>
      <c r="D228" s="1"/>
      <c r="E228" s="1"/>
      <c r="F228" s="1"/>
      <c r="G228" s="1"/>
      <c r="H228" s="47"/>
      <c r="I228" s="1"/>
      <c r="J228" s="1"/>
      <c r="K228" s="1"/>
      <c r="L228" s="1"/>
      <c r="M228" s="1"/>
      <c r="N228" s="1"/>
      <c r="O228" s="1"/>
      <c r="P228" s="1"/>
      <c r="Q228" s="1"/>
    </row>
    <row r="229" spans="1:17" ht="22.5" customHeight="1">
      <c r="A229" s="46"/>
      <c r="B229" s="47"/>
      <c r="C229" s="47"/>
      <c r="D229" s="1"/>
      <c r="E229" s="1"/>
      <c r="F229" s="1"/>
      <c r="G229" s="1"/>
      <c r="H229" s="47"/>
      <c r="I229" s="1"/>
      <c r="J229" s="1"/>
      <c r="K229" s="1"/>
      <c r="L229" s="1"/>
      <c r="M229" s="1"/>
      <c r="N229" s="1"/>
      <c r="O229" s="1"/>
      <c r="P229" s="1"/>
      <c r="Q229" s="1"/>
    </row>
    <row r="230" spans="1:17" ht="22.5" customHeight="1">
      <c r="A230" s="46"/>
      <c r="B230" s="47"/>
      <c r="C230" s="47"/>
      <c r="D230" s="1"/>
      <c r="E230" s="1"/>
      <c r="F230" s="1"/>
      <c r="G230" s="1"/>
      <c r="H230" s="47"/>
      <c r="I230" s="1"/>
      <c r="J230" s="1"/>
      <c r="K230" s="1"/>
      <c r="L230" s="1"/>
      <c r="M230" s="1"/>
      <c r="N230" s="1"/>
      <c r="O230" s="1"/>
      <c r="P230" s="1"/>
      <c r="Q230" s="1"/>
    </row>
    <row r="231" spans="1:17" ht="22.5" customHeight="1">
      <c r="A231" s="46"/>
      <c r="B231" s="47"/>
      <c r="C231" s="47"/>
      <c r="D231" s="1"/>
      <c r="E231" s="1"/>
      <c r="F231" s="1"/>
      <c r="G231" s="1"/>
      <c r="H231" s="47"/>
      <c r="I231" s="1"/>
      <c r="J231" s="1"/>
      <c r="K231" s="1"/>
      <c r="L231" s="1"/>
      <c r="M231" s="1"/>
      <c r="N231" s="1"/>
      <c r="O231" s="1"/>
      <c r="P231" s="1"/>
      <c r="Q231" s="1"/>
    </row>
    <row r="232" spans="1:17" ht="22.5" customHeight="1">
      <c r="A232" s="46"/>
      <c r="B232" s="47"/>
      <c r="C232" s="47"/>
      <c r="D232" s="1"/>
      <c r="E232" s="1"/>
      <c r="F232" s="1"/>
      <c r="G232" s="1"/>
      <c r="H232" s="47"/>
      <c r="I232" s="1"/>
      <c r="J232" s="1"/>
      <c r="K232" s="1"/>
      <c r="L232" s="1"/>
      <c r="M232" s="1"/>
      <c r="N232" s="1"/>
      <c r="O232" s="1"/>
      <c r="P232" s="1"/>
      <c r="Q232" s="1"/>
    </row>
    <row r="233" spans="1:17" ht="22.5" customHeight="1">
      <c r="A233" s="46"/>
      <c r="B233" s="47"/>
      <c r="C233" s="47"/>
      <c r="D233" s="1"/>
      <c r="E233" s="1"/>
      <c r="F233" s="1"/>
      <c r="G233" s="1"/>
      <c r="H233" s="47"/>
      <c r="I233" s="1"/>
      <c r="J233" s="1"/>
      <c r="K233" s="1"/>
      <c r="L233" s="1"/>
      <c r="M233" s="1"/>
      <c r="N233" s="1"/>
      <c r="O233" s="1"/>
      <c r="P233" s="1"/>
      <c r="Q233" s="1"/>
    </row>
    <row r="234" spans="1:17" ht="22.5" customHeight="1">
      <c r="A234" s="46"/>
      <c r="B234" s="47"/>
      <c r="C234" s="47"/>
      <c r="D234" s="1"/>
      <c r="E234" s="1"/>
      <c r="F234" s="1"/>
      <c r="G234" s="1"/>
      <c r="H234" s="47"/>
      <c r="I234" s="1"/>
      <c r="J234" s="1"/>
      <c r="K234" s="1"/>
      <c r="L234" s="1"/>
      <c r="M234" s="1"/>
      <c r="N234" s="1"/>
      <c r="O234" s="1"/>
      <c r="P234" s="1"/>
      <c r="Q234" s="1"/>
    </row>
    <row r="235" spans="1:17" ht="22.5" customHeight="1">
      <c r="A235" s="46"/>
      <c r="B235" s="47"/>
      <c r="C235" s="47"/>
      <c r="D235" s="1"/>
      <c r="E235" s="1"/>
      <c r="F235" s="1"/>
      <c r="G235" s="1"/>
      <c r="H235" s="47"/>
      <c r="I235" s="1"/>
      <c r="J235" s="1"/>
      <c r="K235" s="1"/>
      <c r="L235" s="1"/>
      <c r="M235" s="1"/>
      <c r="N235" s="1"/>
      <c r="O235" s="1"/>
      <c r="P235" s="1"/>
      <c r="Q235" s="1"/>
    </row>
    <row r="236" spans="1:17" ht="22.5" customHeight="1">
      <c r="A236" s="46"/>
      <c r="B236" s="47"/>
      <c r="C236" s="47"/>
      <c r="D236" s="1"/>
      <c r="E236" s="1"/>
      <c r="F236" s="1"/>
      <c r="G236" s="1"/>
      <c r="H236" s="47"/>
      <c r="I236" s="1"/>
      <c r="J236" s="1"/>
      <c r="K236" s="1"/>
      <c r="L236" s="1"/>
      <c r="M236" s="1"/>
      <c r="N236" s="1"/>
      <c r="O236" s="1"/>
      <c r="P236" s="1"/>
      <c r="Q236" s="1"/>
    </row>
    <row r="237" spans="1:17" ht="22.5" customHeight="1">
      <c r="A237" s="46"/>
      <c r="B237" s="47"/>
      <c r="C237" s="47"/>
      <c r="D237" s="1"/>
      <c r="E237" s="1"/>
      <c r="F237" s="1"/>
      <c r="G237" s="1"/>
      <c r="H237" s="47"/>
      <c r="I237" s="1"/>
      <c r="J237" s="1"/>
      <c r="K237" s="1"/>
      <c r="L237" s="1"/>
      <c r="M237" s="1"/>
      <c r="N237" s="1"/>
      <c r="O237" s="1"/>
      <c r="P237" s="1"/>
      <c r="Q237" s="1"/>
    </row>
    <row r="238" spans="1:17" ht="22.5" customHeight="1">
      <c r="A238" s="46"/>
      <c r="B238" s="47"/>
      <c r="C238" s="47"/>
      <c r="D238" s="1"/>
      <c r="E238" s="1"/>
      <c r="F238" s="1"/>
      <c r="G238" s="1"/>
      <c r="H238" s="47"/>
      <c r="I238" s="1"/>
      <c r="J238" s="1"/>
      <c r="K238" s="1"/>
      <c r="L238" s="1"/>
      <c r="M238" s="1"/>
      <c r="N238" s="1"/>
      <c r="O238" s="1"/>
      <c r="P238" s="1"/>
      <c r="Q238" s="1"/>
    </row>
    <row r="239" spans="1:17" ht="22.5" customHeight="1">
      <c r="A239" s="46"/>
      <c r="B239" s="47"/>
      <c r="C239" s="47"/>
      <c r="D239" s="1"/>
      <c r="E239" s="1"/>
      <c r="F239" s="1"/>
      <c r="G239" s="1"/>
      <c r="H239" s="47"/>
      <c r="I239" s="1"/>
      <c r="J239" s="1"/>
      <c r="K239" s="1"/>
      <c r="L239" s="1"/>
      <c r="M239" s="1"/>
      <c r="N239" s="1"/>
      <c r="O239" s="1"/>
      <c r="P239" s="1"/>
      <c r="Q239" s="1"/>
    </row>
    <row r="240" spans="1:17" ht="22.5" customHeight="1">
      <c r="A240" s="46"/>
      <c r="B240" s="47"/>
      <c r="C240" s="47"/>
      <c r="D240" s="1"/>
      <c r="E240" s="1"/>
      <c r="F240" s="1"/>
      <c r="G240" s="1"/>
      <c r="H240" s="47"/>
      <c r="I240" s="1"/>
      <c r="J240" s="1"/>
      <c r="K240" s="1"/>
      <c r="L240" s="1"/>
      <c r="M240" s="1"/>
      <c r="N240" s="1"/>
      <c r="O240" s="1"/>
      <c r="P240" s="1"/>
      <c r="Q240" s="1"/>
    </row>
    <row r="241" spans="1:17" ht="22.5" customHeight="1">
      <c r="A241" s="46"/>
      <c r="B241" s="47"/>
      <c r="C241" s="47"/>
      <c r="D241" s="1"/>
      <c r="E241" s="1"/>
      <c r="F241" s="1"/>
      <c r="G241" s="1"/>
      <c r="H241" s="47"/>
      <c r="I241" s="1"/>
      <c r="J241" s="1"/>
      <c r="K241" s="1"/>
      <c r="L241" s="1"/>
      <c r="M241" s="1"/>
      <c r="N241" s="1"/>
      <c r="O241" s="1"/>
      <c r="P241" s="1"/>
      <c r="Q241" s="1"/>
    </row>
    <row r="242" spans="1:17" ht="22.5" customHeight="1">
      <c r="A242" s="46"/>
      <c r="B242" s="47"/>
      <c r="C242" s="47"/>
      <c r="D242" s="1"/>
      <c r="E242" s="1"/>
      <c r="F242" s="1"/>
      <c r="G242" s="1"/>
      <c r="H242" s="47"/>
      <c r="I242" s="1"/>
      <c r="J242" s="1"/>
      <c r="K242" s="1"/>
      <c r="L242" s="1"/>
      <c r="M242" s="1"/>
      <c r="N242" s="1"/>
      <c r="O242" s="1"/>
      <c r="P242" s="1"/>
      <c r="Q242" s="1"/>
    </row>
    <row r="243" spans="1:17" ht="22.5" customHeight="1">
      <c r="A243" s="46"/>
      <c r="B243" s="47"/>
      <c r="C243" s="47"/>
      <c r="D243" s="1"/>
      <c r="E243" s="1"/>
      <c r="F243" s="1"/>
      <c r="G243" s="1"/>
      <c r="H243" s="47"/>
      <c r="I243" s="1"/>
      <c r="J243" s="1"/>
      <c r="K243" s="1"/>
      <c r="L243" s="1"/>
      <c r="M243" s="1"/>
      <c r="N243" s="1"/>
      <c r="O243" s="1"/>
      <c r="P243" s="1"/>
      <c r="Q243" s="1"/>
    </row>
    <row r="244" spans="1:17" ht="22.5" customHeight="1">
      <c r="A244" s="46"/>
      <c r="B244" s="47"/>
      <c r="C244" s="47"/>
      <c r="D244" s="1"/>
      <c r="E244" s="1"/>
      <c r="F244" s="1"/>
      <c r="G244" s="1"/>
      <c r="H244" s="47"/>
      <c r="I244" s="1"/>
      <c r="J244" s="1"/>
      <c r="K244" s="1"/>
      <c r="L244" s="1"/>
      <c r="M244" s="1"/>
      <c r="N244" s="1"/>
      <c r="O244" s="1"/>
      <c r="P244" s="1"/>
      <c r="Q244" s="1"/>
    </row>
    <row r="245" spans="1:17" ht="22.5" customHeight="1">
      <c r="A245" s="46"/>
      <c r="B245" s="47"/>
      <c r="C245" s="47"/>
      <c r="D245" s="1"/>
      <c r="E245" s="1"/>
      <c r="F245" s="1"/>
      <c r="G245" s="1"/>
      <c r="H245" s="47"/>
      <c r="I245" s="1"/>
      <c r="J245" s="1"/>
      <c r="K245" s="1"/>
      <c r="L245" s="1"/>
      <c r="M245" s="1"/>
      <c r="N245" s="1"/>
      <c r="O245" s="1"/>
      <c r="P245" s="1"/>
      <c r="Q245" s="1"/>
    </row>
    <row r="246" spans="1:17" ht="22.5" customHeight="1">
      <c r="A246" s="46"/>
      <c r="B246" s="47"/>
      <c r="C246" s="47"/>
      <c r="D246" s="1"/>
      <c r="E246" s="1"/>
      <c r="F246" s="1"/>
      <c r="G246" s="1"/>
      <c r="H246" s="47"/>
      <c r="I246" s="1"/>
      <c r="J246" s="1"/>
      <c r="K246" s="1"/>
      <c r="L246" s="1"/>
      <c r="M246" s="1"/>
      <c r="N246" s="1"/>
      <c r="O246" s="1"/>
      <c r="P246" s="1"/>
      <c r="Q246" s="1"/>
    </row>
    <row r="247" spans="1:17" ht="22.5" customHeight="1">
      <c r="A247" s="46"/>
      <c r="B247" s="47"/>
      <c r="C247" s="47"/>
      <c r="D247" s="1"/>
      <c r="E247" s="1"/>
      <c r="F247" s="1"/>
      <c r="G247" s="1"/>
      <c r="H247" s="47"/>
      <c r="I247" s="1"/>
      <c r="J247" s="1"/>
      <c r="K247" s="1"/>
      <c r="L247" s="1"/>
      <c r="M247" s="1"/>
      <c r="N247" s="1"/>
      <c r="O247" s="1"/>
      <c r="P247" s="1"/>
      <c r="Q247" s="1"/>
    </row>
    <row r="248" spans="1:17" ht="22.5" customHeight="1">
      <c r="A248" s="46"/>
      <c r="B248" s="47"/>
      <c r="C248" s="47"/>
      <c r="D248" s="1"/>
      <c r="E248" s="1"/>
      <c r="F248" s="1"/>
      <c r="G248" s="1"/>
      <c r="H248" s="47"/>
      <c r="I248" s="1"/>
      <c r="J248" s="1"/>
      <c r="K248" s="1"/>
      <c r="L248" s="1"/>
      <c r="M248" s="1"/>
      <c r="N248" s="1"/>
      <c r="O248" s="1"/>
      <c r="P248" s="1"/>
      <c r="Q248" s="1"/>
    </row>
    <row r="249" spans="1:17" ht="22.5" customHeight="1">
      <c r="A249" s="46"/>
      <c r="B249" s="47"/>
      <c r="C249" s="47"/>
      <c r="D249" s="1"/>
      <c r="E249" s="1"/>
      <c r="F249" s="1"/>
      <c r="G249" s="1"/>
      <c r="H249" s="47"/>
      <c r="I249" s="1"/>
      <c r="J249" s="1"/>
      <c r="K249" s="1"/>
      <c r="L249" s="1"/>
      <c r="M249" s="1"/>
      <c r="N249" s="1"/>
      <c r="O249" s="1"/>
      <c r="P249" s="1"/>
      <c r="Q249" s="1"/>
    </row>
    <row r="250" spans="1:17" ht="22.5" customHeight="1">
      <c r="A250" s="46"/>
      <c r="B250" s="47"/>
      <c r="C250" s="47"/>
      <c r="D250" s="1"/>
      <c r="E250" s="1"/>
      <c r="F250" s="1"/>
      <c r="G250" s="1"/>
      <c r="H250" s="47"/>
      <c r="I250" s="1"/>
      <c r="J250" s="1"/>
      <c r="K250" s="1"/>
      <c r="L250" s="1"/>
      <c r="M250" s="1"/>
      <c r="N250" s="1"/>
      <c r="O250" s="1"/>
      <c r="P250" s="1"/>
      <c r="Q250" s="1"/>
    </row>
    <row r="251" spans="1:17" ht="22.5" customHeight="1">
      <c r="A251" s="46"/>
      <c r="B251" s="47"/>
      <c r="C251" s="47"/>
      <c r="D251" s="1"/>
      <c r="E251" s="1"/>
      <c r="F251" s="1"/>
      <c r="G251" s="1"/>
      <c r="H251" s="47"/>
      <c r="I251" s="1"/>
      <c r="J251" s="1"/>
      <c r="K251" s="1"/>
      <c r="L251" s="1"/>
      <c r="M251" s="1"/>
      <c r="N251" s="1"/>
      <c r="O251" s="1"/>
      <c r="P251" s="1"/>
      <c r="Q251" s="1"/>
    </row>
    <row r="252" spans="1:17" ht="22.5" customHeight="1">
      <c r="A252" s="46"/>
      <c r="B252" s="47"/>
      <c r="C252" s="47"/>
      <c r="D252" s="1"/>
      <c r="E252" s="1"/>
      <c r="F252" s="1"/>
      <c r="G252" s="1"/>
      <c r="H252" s="47"/>
      <c r="I252" s="1"/>
      <c r="J252" s="1"/>
      <c r="K252" s="1"/>
      <c r="L252" s="1"/>
      <c r="M252" s="1"/>
      <c r="N252" s="1"/>
      <c r="O252" s="1"/>
      <c r="P252" s="1"/>
      <c r="Q252" s="1"/>
    </row>
    <row r="253" spans="1:17" ht="22.5" customHeight="1">
      <c r="A253" s="46"/>
      <c r="B253" s="47"/>
      <c r="C253" s="47"/>
      <c r="D253" s="1"/>
      <c r="E253" s="1"/>
      <c r="F253" s="1"/>
      <c r="G253" s="1"/>
      <c r="H253" s="47"/>
      <c r="I253" s="1"/>
      <c r="J253" s="1"/>
      <c r="K253" s="1"/>
      <c r="L253" s="1"/>
      <c r="M253" s="1"/>
      <c r="N253" s="1"/>
      <c r="O253" s="1"/>
      <c r="P253" s="1"/>
      <c r="Q253" s="1"/>
    </row>
    <row r="254" spans="1:17" ht="22.5" customHeight="1">
      <c r="A254" s="46"/>
      <c r="B254" s="47"/>
      <c r="C254" s="47"/>
      <c r="D254" s="1"/>
      <c r="E254" s="1"/>
      <c r="F254" s="1"/>
      <c r="G254" s="1"/>
      <c r="H254" s="47"/>
      <c r="I254" s="1"/>
      <c r="J254" s="1"/>
      <c r="K254" s="1"/>
      <c r="L254" s="1"/>
      <c r="M254" s="1"/>
      <c r="N254" s="1"/>
      <c r="O254" s="1"/>
      <c r="P254" s="1"/>
      <c r="Q254" s="1"/>
    </row>
    <row r="255" spans="1:17" ht="22.5" customHeight="1">
      <c r="A255" s="46"/>
      <c r="B255" s="47"/>
      <c r="C255" s="47"/>
      <c r="D255" s="1"/>
      <c r="E255" s="1"/>
      <c r="F255" s="1"/>
      <c r="G255" s="1"/>
      <c r="H255" s="47"/>
      <c r="I255" s="1"/>
      <c r="J255" s="1"/>
      <c r="K255" s="1"/>
      <c r="L255" s="1"/>
      <c r="M255" s="1"/>
      <c r="N255" s="1"/>
      <c r="O255" s="1"/>
      <c r="P255" s="1"/>
      <c r="Q255" s="1"/>
    </row>
    <row r="256" spans="1:17" ht="22.5" customHeight="1">
      <c r="A256" s="46"/>
      <c r="B256" s="47"/>
      <c r="C256" s="47"/>
      <c r="D256" s="1"/>
      <c r="E256" s="1"/>
      <c r="F256" s="1"/>
      <c r="G256" s="1"/>
      <c r="H256" s="47"/>
      <c r="I256" s="1"/>
      <c r="J256" s="1"/>
      <c r="K256" s="1"/>
      <c r="L256" s="1"/>
      <c r="M256" s="1"/>
      <c r="N256" s="1"/>
      <c r="O256" s="1"/>
      <c r="P256" s="1"/>
      <c r="Q256" s="1"/>
    </row>
    <row r="257" spans="1:17" ht="22.5" customHeight="1">
      <c r="A257" s="46"/>
      <c r="B257" s="47"/>
      <c r="C257" s="47"/>
      <c r="D257" s="1"/>
      <c r="E257" s="1"/>
      <c r="F257" s="1"/>
      <c r="G257" s="1"/>
      <c r="H257" s="47"/>
      <c r="I257" s="1"/>
      <c r="J257" s="1"/>
      <c r="K257" s="1"/>
      <c r="L257" s="1"/>
      <c r="M257" s="1"/>
      <c r="N257" s="1"/>
      <c r="O257" s="1"/>
      <c r="P257" s="1"/>
      <c r="Q257" s="1"/>
    </row>
    <row r="258" spans="1:17" ht="22.5" customHeight="1">
      <c r="A258" s="46"/>
      <c r="B258" s="47"/>
      <c r="C258" s="47"/>
      <c r="D258" s="1"/>
      <c r="E258" s="1"/>
      <c r="F258" s="1"/>
      <c r="G258" s="1"/>
      <c r="H258" s="47"/>
      <c r="I258" s="1"/>
      <c r="J258" s="1"/>
      <c r="K258" s="1"/>
      <c r="L258" s="1"/>
      <c r="M258" s="1"/>
      <c r="N258" s="1"/>
      <c r="O258" s="1"/>
      <c r="P258" s="1"/>
      <c r="Q258" s="1"/>
    </row>
    <row r="259" spans="1:17" ht="22.5" customHeight="1">
      <c r="A259" s="46"/>
      <c r="B259" s="47"/>
      <c r="C259" s="47"/>
      <c r="D259" s="1"/>
      <c r="E259" s="1"/>
      <c r="F259" s="1"/>
      <c r="G259" s="1"/>
      <c r="H259" s="47"/>
      <c r="I259" s="1"/>
      <c r="J259" s="1"/>
      <c r="K259" s="1"/>
      <c r="L259" s="1"/>
      <c r="M259" s="1"/>
      <c r="N259" s="1"/>
      <c r="O259" s="1"/>
      <c r="P259" s="1"/>
      <c r="Q259" s="1"/>
    </row>
    <row r="260" spans="1:17" ht="22.5" customHeight="1">
      <c r="A260" s="46"/>
      <c r="B260" s="47"/>
      <c r="C260" s="47"/>
      <c r="D260" s="1"/>
      <c r="E260" s="1"/>
      <c r="F260" s="1"/>
      <c r="G260" s="1"/>
      <c r="H260" s="47"/>
      <c r="I260" s="1"/>
      <c r="J260" s="1"/>
      <c r="K260" s="1"/>
      <c r="L260" s="1"/>
      <c r="M260" s="1"/>
      <c r="N260" s="1"/>
      <c r="O260" s="1"/>
      <c r="P260" s="1"/>
      <c r="Q260" s="1"/>
    </row>
    <row r="261" spans="1:17" ht="22.5" customHeight="1">
      <c r="A261" s="46"/>
      <c r="B261" s="47"/>
      <c r="C261" s="47"/>
      <c r="D261" s="1"/>
      <c r="E261" s="1"/>
      <c r="F261" s="1"/>
      <c r="G261" s="1"/>
      <c r="H261" s="47"/>
      <c r="I261" s="1"/>
      <c r="J261" s="1"/>
      <c r="K261" s="1"/>
      <c r="L261" s="1"/>
      <c r="M261" s="1"/>
      <c r="N261" s="1"/>
      <c r="O261" s="1"/>
      <c r="P261" s="1"/>
      <c r="Q261" s="1"/>
    </row>
    <row r="262" spans="1:17" ht="22.5" customHeight="1">
      <c r="A262" s="46"/>
      <c r="B262" s="47"/>
      <c r="C262" s="47"/>
      <c r="D262" s="1"/>
      <c r="E262" s="1"/>
      <c r="F262" s="1"/>
      <c r="G262" s="1"/>
      <c r="H262" s="47"/>
      <c r="I262" s="1"/>
      <c r="J262" s="1"/>
      <c r="K262" s="1"/>
      <c r="L262" s="1"/>
      <c r="M262" s="1"/>
      <c r="N262" s="1"/>
      <c r="O262" s="1"/>
      <c r="P262" s="1"/>
      <c r="Q262" s="1"/>
    </row>
    <row r="263" spans="1:17" ht="22.5" customHeight="1">
      <c r="A263" s="46"/>
      <c r="B263" s="47"/>
      <c r="C263" s="47"/>
      <c r="D263" s="1"/>
      <c r="E263" s="1"/>
      <c r="F263" s="1"/>
      <c r="G263" s="1"/>
      <c r="H263" s="47"/>
      <c r="I263" s="1"/>
      <c r="J263" s="1"/>
      <c r="K263" s="1"/>
      <c r="L263" s="1"/>
      <c r="M263" s="1"/>
      <c r="N263" s="1"/>
      <c r="O263" s="1"/>
      <c r="P263" s="1"/>
      <c r="Q263" s="1"/>
    </row>
    <row r="264" spans="1:17" ht="22.5" customHeight="1">
      <c r="A264" s="46"/>
      <c r="B264" s="47"/>
      <c r="C264" s="47"/>
      <c r="D264" s="1"/>
      <c r="E264" s="1"/>
      <c r="F264" s="1"/>
      <c r="G264" s="1"/>
      <c r="H264" s="47"/>
      <c r="I264" s="1"/>
      <c r="J264" s="1"/>
      <c r="K264" s="1"/>
      <c r="L264" s="1"/>
      <c r="M264" s="1"/>
      <c r="N264" s="1"/>
      <c r="O264" s="1"/>
      <c r="P264" s="1"/>
      <c r="Q264" s="1"/>
    </row>
    <row r="265" spans="1:17" ht="22.5" customHeight="1">
      <c r="A265" s="46"/>
      <c r="B265" s="47"/>
      <c r="C265" s="47"/>
      <c r="D265" s="1"/>
      <c r="E265" s="1"/>
      <c r="F265" s="1"/>
      <c r="G265" s="1"/>
      <c r="H265" s="47"/>
      <c r="I265" s="1"/>
      <c r="J265" s="1"/>
      <c r="K265" s="1"/>
      <c r="L265" s="1"/>
      <c r="M265" s="1"/>
      <c r="N265" s="1"/>
      <c r="O265" s="1"/>
      <c r="P265" s="1"/>
      <c r="Q265" s="1"/>
    </row>
    <row r="266" spans="1:17" ht="22.5" customHeight="1">
      <c r="A266" s="46"/>
      <c r="B266" s="47"/>
      <c r="C266" s="47"/>
      <c r="D266" s="1"/>
      <c r="E266" s="1"/>
      <c r="F266" s="1"/>
      <c r="G266" s="1"/>
      <c r="H266" s="47"/>
      <c r="I266" s="1"/>
      <c r="J266" s="1"/>
      <c r="K266" s="1"/>
      <c r="L266" s="1"/>
      <c r="M266" s="1"/>
      <c r="N266" s="1"/>
      <c r="O266" s="1"/>
      <c r="P266" s="1"/>
      <c r="Q266" s="1"/>
    </row>
    <row r="267" spans="1:17" ht="22.5" customHeight="1">
      <c r="A267" s="46"/>
      <c r="B267" s="47"/>
      <c r="C267" s="47"/>
      <c r="D267" s="1"/>
      <c r="E267" s="1"/>
      <c r="F267" s="1"/>
      <c r="G267" s="1"/>
      <c r="H267" s="47"/>
      <c r="I267" s="1"/>
      <c r="J267" s="1"/>
      <c r="K267" s="1"/>
      <c r="L267" s="1"/>
      <c r="M267" s="1"/>
      <c r="N267" s="1"/>
      <c r="O267" s="1"/>
      <c r="P267" s="1"/>
      <c r="Q267" s="1"/>
    </row>
    <row r="268" spans="1:17" ht="22.5" customHeight="1">
      <c r="A268" s="46"/>
      <c r="B268" s="47"/>
      <c r="C268" s="47"/>
      <c r="D268" s="1"/>
      <c r="E268" s="1"/>
      <c r="F268" s="1"/>
      <c r="G268" s="1"/>
      <c r="H268" s="47"/>
      <c r="I268" s="1"/>
      <c r="J268" s="1"/>
      <c r="K268" s="1"/>
      <c r="L268" s="1"/>
      <c r="M268" s="1"/>
      <c r="N268" s="1"/>
      <c r="O268" s="1"/>
      <c r="P268" s="1"/>
      <c r="Q268" s="1"/>
    </row>
    <row r="269" spans="1:17" ht="22.5" customHeight="1">
      <c r="A269" s="46"/>
      <c r="B269" s="47"/>
      <c r="C269" s="47"/>
      <c r="D269" s="1"/>
      <c r="E269" s="1"/>
      <c r="F269" s="1"/>
      <c r="G269" s="1"/>
      <c r="H269" s="47"/>
      <c r="I269" s="1"/>
      <c r="J269" s="1"/>
      <c r="K269" s="1"/>
      <c r="L269" s="1"/>
      <c r="M269" s="1"/>
      <c r="N269" s="1"/>
      <c r="O269" s="1"/>
      <c r="P269" s="1"/>
      <c r="Q269" s="1"/>
    </row>
    <row r="270" spans="1:17" ht="22.5" customHeight="1">
      <c r="A270" s="46"/>
      <c r="B270" s="47"/>
      <c r="C270" s="47"/>
      <c r="D270" s="1"/>
      <c r="E270" s="1"/>
      <c r="F270" s="1"/>
      <c r="G270" s="1"/>
      <c r="H270" s="47"/>
      <c r="I270" s="1"/>
      <c r="J270" s="1"/>
      <c r="K270" s="1"/>
      <c r="L270" s="1"/>
      <c r="M270" s="1"/>
      <c r="N270" s="1"/>
      <c r="O270" s="1"/>
      <c r="P270" s="1"/>
      <c r="Q270" s="1"/>
    </row>
    <row r="271" spans="1:17" ht="22.5" customHeight="1">
      <c r="A271" s="46"/>
      <c r="B271" s="47"/>
      <c r="C271" s="47"/>
      <c r="D271" s="1"/>
      <c r="E271" s="1"/>
      <c r="F271" s="1"/>
      <c r="G271" s="1"/>
      <c r="H271" s="47"/>
      <c r="I271" s="1"/>
      <c r="J271" s="1"/>
      <c r="K271" s="1"/>
      <c r="L271" s="1"/>
      <c r="M271" s="1"/>
      <c r="N271" s="1"/>
      <c r="O271" s="1"/>
      <c r="P271" s="1"/>
      <c r="Q271" s="1"/>
    </row>
    <row r="272" spans="1:17" ht="22.5" customHeight="1">
      <c r="A272" s="46"/>
      <c r="B272" s="47"/>
      <c r="C272" s="47"/>
      <c r="D272" s="1"/>
      <c r="E272" s="1"/>
      <c r="F272" s="1"/>
      <c r="G272" s="1"/>
      <c r="H272" s="47"/>
      <c r="I272" s="1"/>
      <c r="J272" s="1"/>
      <c r="K272" s="1"/>
      <c r="L272" s="1"/>
      <c r="M272" s="1"/>
      <c r="N272" s="1"/>
      <c r="O272" s="1"/>
      <c r="P272" s="1"/>
      <c r="Q272" s="1"/>
    </row>
    <row r="273" spans="1:17" ht="22.5" customHeight="1">
      <c r="A273" s="46"/>
      <c r="B273" s="47"/>
      <c r="C273" s="47"/>
      <c r="D273" s="1"/>
      <c r="E273" s="1"/>
      <c r="F273" s="1"/>
      <c r="G273" s="1"/>
      <c r="H273" s="47"/>
      <c r="I273" s="1"/>
      <c r="J273" s="1"/>
      <c r="K273" s="1"/>
      <c r="L273" s="1"/>
      <c r="M273" s="1"/>
      <c r="N273" s="1"/>
      <c r="O273" s="1"/>
      <c r="P273" s="1"/>
      <c r="Q273" s="1"/>
    </row>
    <row r="274" spans="1:17" ht="22.5" customHeight="1">
      <c r="A274" s="46"/>
      <c r="B274" s="47"/>
      <c r="C274" s="47"/>
      <c r="D274" s="1"/>
      <c r="E274" s="1"/>
      <c r="F274" s="1"/>
      <c r="G274" s="1"/>
      <c r="H274" s="47"/>
      <c r="I274" s="1"/>
      <c r="J274" s="1"/>
      <c r="K274" s="1"/>
      <c r="L274" s="1"/>
      <c r="M274" s="1"/>
      <c r="N274" s="1"/>
      <c r="O274" s="1"/>
      <c r="P274" s="1"/>
      <c r="Q274" s="1"/>
    </row>
    <row r="275" spans="1:17" ht="22.5" customHeight="1">
      <c r="A275" s="46"/>
      <c r="B275" s="47"/>
      <c r="C275" s="47"/>
      <c r="D275" s="1"/>
      <c r="E275" s="1"/>
      <c r="F275" s="1"/>
      <c r="G275" s="1"/>
      <c r="H275" s="47"/>
      <c r="I275" s="1"/>
      <c r="J275" s="1"/>
      <c r="K275" s="1"/>
      <c r="L275" s="1"/>
      <c r="M275" s="1"/>
      <c r="N275" s="1"/>
      <c r="O275" s="1"/>
      <c r="P275" s="1"/>
      <c r="Q275" s="1"/>
    </row>
    <row r="276" spans="1:17" ht="22.5" customHeight="1">
      <c r="A276" s="46"/>
      <c r="B276" s="47"/>
      <c r="C276" s="47"/>
      <c r="D276" s="1"/>
      <c r="E276" s="1"/>
      <c r="F276" s="1"/>
      <c r="G276" s="1"/>
      <c r="H276" s="47"/>
      <c r="I276" s="1"/>
      <c r="J276" s="1"/>
      <c r="K276" s="1"/>
      <c r="L276" s="1"/>
      <c r="M276" s="1"/>
      <c r="N276" s="1"/>
      <c r="O276" s="1"/>
      <c r="P276" s="1"/>
      <c r="Q276" s="1"/>
    </row>
    <row r="277" spans="1:17" ht="22.5" customHeight="1">
      <c r="A277" s="46"/>
      <c r="B277" s="47"/>
      <c r="C277" s="47"/>
      <c r="D277" s="1"/>
      <c r="E277" s="1"/>
      <c r="F277" s="1"/>
      <c r="G277" s="1"/>
      <c r="H277" s="47"/>
      <c r="I277" s="1"/>
      <c r="J277" s="1"/>
      <c r="K277" s="1"/>
      <c r="L277" s="1"/>
      <c r="M277" s="1"/>
      <c r="N277" s="1"/>
      <c r="O277" s="1"/>
      <c r="P277" s="1"/>
      <c r="Q277" s="1"/>
    </row>
    <row r="278" spans="1:17" ht="22.5" customHeight="1">
      <c r="A278" s="46"/>
      <c r="B278" s="47"/>
      <c r="C278" s="47"/>
      <c r="D278" s="1"/>
      <c r="E278" s="1"/>
      <c r="F278" s="1"/>
      <c r="G278" s="1"/>
      <c r="H278" s="47"/>
      <c r="I278" s="1"/>
      <c r="J278" s="1"/>
      <c r="K278" s="1"/>
      <c r="L278" s="1"/>
      <c r="M278" s="1"/>
      <c r="N278" s="1"/>
      <c r="O278" s="1"/>
      <c r="P278" s="1"/>
      <c r="Q278" s="1"/>
    </row>
    <row r="279" spans="1:17" ht="22.5" customHeight="1">
      <c r="A279" s="46"/>
      <c r="B279" s="47"/>
      <c r="C279" s="47"/>
      <c r="D279" s="1"/>
      <c r="E279" s="1"/>
      <c r="F279" s="1"/>
      <c r="G279" s="1"/>
      <c r="H279" s="47"/>
      <c r="I279" s="1"/>
      <c r="J279" s="1"/>
      <c r="K279" s="1"/>
      <c r="L279" s="1"/>
      <c r="M279" s="1"/>
      <c r="N279" s="1"/>
      <c r="O279" s="1"/>
      <c r="P279" s="1"/>
      <c r="Q279" s="1"/>
    </row>
    <row r="280" spans="1:17" ht="22.5" customHeight="1">
      <c r="A280" s="46"/>
      <c r="B280" s="47"/>
      <c r="C280" s="47"/>
      <c r="D280" s="1"/>
      <c r="E280" s="1"/>
      <c r="F280" s="1"/>
      <c r="G280" s="1"/>
      <c r="H280" s="47"/>
      <c r="I280" s="1"/>
      <c r="J280" s="1"/>
      <c r="K280" s="1"/>
      <c r="L280" s="1"/>
      <c r="M280" s="1"/>
      <c r="N280" s="1"/>
      <c r="O280" s="1"/>
      <c r="P280" s="1"/>
      <c r="Q280" s="1"/>
    </row>
    <row r="281" spans="1:17" ht="22.5" customHeight="1">
      <c r="A281" s="46"/>
      <c r="B281" s="47"/>
      <c r="C281" s="47"/>
      <c r="D281" s="1"/>
      <c r="E281" s="1"/>
      <c r="F281" s="1"/>
      <c r="G281" s="1"/>
      <c r="H281" s="47"/>
      <c r="I281" s="1"/>
      <c r="J281" s="1"/>
      <c r="K281" s="1"/>
      <c r="L281" s="1"/>
      <c r="M281" s="1"/>
      <c r="N281" s="1"/>
      <c r="O281" s="1"/>
      <c r="P281" s="1"/>
      <c r="Q281" s="1"/>
    </row>
    <row r="282" spans="1:17" ht="22.5" customHeight="1">
      <c r="A282" s="46"/>
      <c r="B282" s="47"/>
      <c r="C282" s="47"/>
      <c r="D282" s="1"/>
      <c r="E282" s="1"/>
      <c r="F282" s="1"/>
      <c r="G282" s="1"/>
      <c r="H282" s="47"/>
      <c r="I282" s="1"/>
      <c r="J282" s="1"/>
      <c r="K282" s="1"/>
      <c r="L282" s="1"/>
      <c r="M282" s="1"/>
      <c r="N282" s="1"/>
      <c r="O282" s="1"/>
      <c r="P282" s="1"/>
      <c r="Q282" s="1"/>
    </row>
    <row r="283" spans="1:17" ht="22.5" customHeight="1">
      <c r="A283" s="46"/>
      <c r="B283" s="47"/>
      <c r="C283" s="47"/>
      <c r="D283" s="1"/>
      <c r="E283" s="1"/>
      <c r="F283" s="1"/>
      <c r="G283" s="1"/>
      <c r="H283" s="47"/>
      <c r="I283" s="1"/>
      <c r="J283" s="1"/>
      <c r="K283" s="1"/>
      <c r="L283" s="1"/>
      <c r="M283" s="1"/>
      <c r="N283" s="1"/>
      <c r="O283" s="1"/>
      <c r="P283" s="1"/>
      <c r="Q283" s="1"/>
    </row>
    <row r="284" spans="1:17" ht="22.5" customHeight="1">
      <c r="A284" s="46"/>
      <c r="B284" s="47"/>
      <c r="C284" s="47"/>
      <c r="D284" s="1"/>
      <c r="E284" s="1"/>
      <c r="F284" s="1"/>
      <c r="G284" s="1"/>
      <c r="H284" s="47"/>
      <c r="I284" s="1"/>
      <c r="J284" s="1"/>
      <c r="K284" s="1"/>
      <c r="L284" s="1"/>
      <c r="M284" s="1"/>
      <c r="N284" s="1"/>
      <c r="O284" s="1"/>
      <c r="P284" s="1"/>
      <c r="Q284" s="1"/>
    </row>
    <row r="285" spans="1:17" ht="22.5" customHeight="1">
      <c r="A285" s="46"/>
      <c r="B285" s="47"/>
      <c r="C285" s="47"/>
      <c r="D285" s="1"/>
      <c r="E285" s="1"/>
      <c r="F285" s="1"/>
      <c r="G285" s="1"/>
      <c r="H285" s="47"/>
      <c r="I285" s="1"/>
      <c r="J285" s="1"/>
      <c r="K285" s="1"/>
      <c r="L285" s="1"/>
      <c r="M285" s="1"/>
      <c r="N285" s="1"/>
      <c r="O285" s="1"/>
      <c r="P285" s="1"/>
      <c r="Q285" s="1"/>
    </row>
    <row r="286" spans="1:17" ht="22.5" customHeight="1">
      <c r="A286" s="46"/>
      <c r="B286" s="47"/>
      <c r="C286" s="47"/>
      <c r="D286" s="1"/>
      <c r="E286" s="1"/>
      <c r="F286" s="1"/>
      <c r="G286" s="1"/>
      <c r="H286" s="47"/>
      <c r="I286" s="1"/>
      <c r="J286" s="1"/>
      <c r="K286" s="1"/>
      <c r="L286" s="1"/>
      <c r="M286" s="1"/>
      <c r="N286" s="1"/>
      <c r="O286" s="1"/>
      <c r="P286" s="1"/>
      <c r="Q286" s="1"/>
    </row>
    <row r="287" spans="1:17" ht="22.5" customHeight="1">
      <c r="A287" s="46"/>
      <c r="B287" s="47"/>
      <c r="C287" s="47"/>
      <c r="D287" s="1"/>
      <c r="E287" s="1"/>
      <c r="F287" s="1"/>
      <c r="G287" s="1"/>
      <c r="H287" s="47"/>
      <c r="I287" s="1"/>
      <c r="J287" s="1"/>
      <c r="K287" s="1"/>
      <c r="L287" s="1"/>
      <c r="M287" s="1"/>
      <c r="N287" s="1"/>
      <c r="O287" s="1"/>
      <c r="P287" s="1"/>
      <c r="Q287" s="1"/>
    </row>
    <row r="288" spans="1:17" ht="22.5" customHeight="1">
      <c r="A288" s="46"/>
      <c r="B288" s="47"/>
      <c r="C288" s="47"/>
      <c r="D288" s="1"/>
      <c r="E288" s="1"/>
      <c r="F288" s="1"/>
      <c r="G288" s="1"/>
      <c r="H288" s="47"/>
      <c r="I288" s="1"/>
      <c r="J288" s="1"/>
      <c r="K288" s="1"/>
      <c r="L288" s="1"/>
      <c r="M288" s="1"/>
      <c r="N288" s="1"/>
      <c r="O288" s="1"/>
      <c r="P288" s="1"/>
      <c r="Q288" s="1"/>
    </row>
    <row r="289" spans="1:17" ht="22.5" customHeight="1">
      <c r="A289" s="46"/>
      <c r="B289" s="47"/>
      <c r="C289" s="47"/>
      <c r="D289" s="1"/>
      <c r="E289" s="1"/>
      <c r="F289" s="1"/>
      <c r="G289" s="1"/>
      <c r="H289" s="47"/>
      <c r="I289" s="1"/>
      <c r="J289" s="1"/>
      <c r="K289" s="1"/>
      <c r="L289" s="1"/>
      <c r="M289" s="1"/>
      <c r="N289" s="1"/>
      <c r="O289" s="1"/>
      <c r="P289" s="1"/>
      <c r="Q289" s="1"/>
    </row>
    <row r="290" spans="1:17" ht="22.5" customHeight="1">
      <c r="A290" s="46"/>
      <c r="B290" s="47"/>
      <c r="C290" s="47"/>
      <c r="D290" s="1"/>
      <c r="E290" s="1"/>
      <c r="F290" s="1"/>
      <c r="G290" s="1"/>
      <c r="H290" s="47"/>
      <c r="I290" s="1"/>
      <c r="J290" s="1"/>
      <c r="K290" s="1"/>
      <c r="L290" s="1"/>
      <c r="M290" s="1"/>
      <c r="N290" s="1"/>
      <c r="O290" s="1"/>
      <c r="P290" s="1"/>
      <c r="Q290" s="1"/>
    </row>
    <row r="291" spans="1:17" ht="22.5" customHeight="1">
      <c r="A291" s="46"/>
      <c r="B291" s="47"/>
      <c r="C291" s="47"/>
      <c r="D291" s="1"/>
      <c r="E291" s="1"/>
      <c r="F291" s="1"/>
      <c r="G291" s="1"/>
      <c r="H291" s="47"/>
      <c r="I291" s="1"/>
      <c r="J291" s="1"/>
      <c r="K291" s="1"/>
      <c r="L291" s="1"/>
      <c r="M291" s="1"/>
      <c r="N291" s="1"/>
      <c r="O291" s="1"/>
      <c r="P291" s="1"/>
      <c r="Q291" s="1"/>
    </row>
    <row r="292" spans="1:17" ht="22.5" customHeight="1">
      <c r="A292" s="46"/>
      <c r="B292" s="47"/>
      <c r="C292" s="47"/>
      <c r="D292" s="1"/>
      <c r="E292" s="1"/>
      <c r="F292" s="1"/>
      <c r="G292" s="1"/>
      <c r="H292" s="47"/>
      <c r="I292" s="1"/>
      <c r="J292" s="1"/>
      <c r="K292" s="1"/>
      <c r="L292" s="1"/>
      <c r="M292" s="1"/>
      <c r="N292" s="1"/>
      <c r="O292" s="1"/>
      <c r="P292" s="1"/>
      <c r="Q292" s="1"/>
    </row>
    <row r="293" spans="1:17" ht="22.5" customHeight="1">
      <c r="A293" s="46"/>
      <c r="B293" s="47"/>
      <c r="C293" s="47"/>
      <c r="D293" s="1"/>
      <c r="E293" s="1"/>
      <c r="F293" s="1"/>
      <c r="G293" s="1"/>
      <c r="H293" s="47"/>
      <c r="I293" s="1"/>
      <c r="J293" s="1"/>
      <c r="K293" s="1"/>
      <c r="L293" s="1"/>
      <c r="M293" s="1"/>
      <c r="N293" s="1"/>
      <c r="O293" s="1"/>
      <c r="P293" s="1"/>
      <c r="Q293" s="1"/>
    </row>
    <row r="294" spans="1:17" ht="22.5" customHeight="1">
      <c r="A294" s="46"/>
      <c r="B294" s="47"/>
      <c r="C294" s="47"/>
      <c r="D294" s="1"/>
      <c r="E294" s="1"/>
      <c r="F294" s="1"/>
      <c r="G294" s="1"/>
      <c r="H294" s="47"/>
      <c r="I294" s="1"/>
      <c r="J294" s="1"/>
      <c r="K294" s="1"/>
      <c r="L294" s="1"/>
      <c r="M294" s="1"/>
      <c r="N294" s="1"/>
      <c r="O294" s="1"/>
      <c r="P294" s="1"/>
      <c r="Q294" s="1"/>
    </row>
    <row r="295" spans="1:17" ht="22.5" customHeight="1">
      <c r="A295" s="46"/>
      <c r="B295" s="47"/>
      <c r="C295" s="47"/>
      <c r="D295" s="1"/>
      <c r="E295" s="1"/>
      <c r="F295" s="1"/>
      <c r="G295" s="1"/>
      <c r="H295" s="47"/>
      <c r="I295" s="1"/>
      <c r="J295" s="1"/>
      <c r="K295" s="1"/>
      <c r="L295" s="1"/>
      <c r="M295" s="1"/>
      <c r="N295" s="1"/>
      <c r="O295" s="1"/>
      <c r="P295" s="1"/>
      <c r="Q295" s="1"/>
    </row>
    <row r="296" spans="1:17" ht="22.5" customHeight="1">
      <c r="A296" s="46"/>
      <c r="B296" s="47"/>
      <c r="C296" s="47"/>
      <c r="D296" s="1"/>
      <c r="E296" s="1"/>
      <c r="F296" s="1"/>
      <c r="G296" s="1"/>
      <c r="H296" s="47"/>
      <c r="I296" s="1"/>
      <c r="J296" s="1"/>
      <c r="K296" s="1"/>
      <c r="L296" s="1"/>
      <c r="M296" s="1"/>
      <c r="N296" s="1"/>
      <c r="O296" s="1"/>
      <c r="P296" s="1"/>
      <c r="Q296" s="1"/>
    </row>
    <row r="297" spans="1:17" ht="22.5" customHeight="1">
      <c r="A297" s="46"/>
      <c r="B297" s="47"/>
      <c r="C297" s="47"/>
      <c r="D297" s="1"/>
      <c r="E297" s="1"/>
      <c r="F297" s="1"/>
      <c r="G297" s="1"/>
      <c r="H297" s="47"/>
      <c r="I297" s="1"/>
      <c r="J297" s="1"/>
      <c r="K297" s="1"/>
      <c r="L297" s="1"/>
      <c r="M297" s="1"/>
      <c r="N297" s="1"/>
      <c r="O297" s="1"/>
      <c r="P297" s="1"/>
      <c r="Q297" s="1"/>
    </row>
    <row r="298" spans="1:17" ht="22.5" customHeight="1">
      <c r="A298" s="46"/>
      <c r="B298" s="47"/>
      <c r="C298" s="47"/>
      <c r="D298" s="1"/>
      <c r="E298" s="1"/>
      <c r="F298" s="1"/>
      <c r="G298" s="1"/>
      <c r="H298" s="47"/>
      <c r="I298" s="1"/>
      <c r="J298" s="1"/>
      <c r="K298" s="1"/>
      <c r="L298" s="1"/>
      <c r="M298" s="1"/>
      <c r="N298" s="1"/>
      <c r="O298" s="1"/>
      <c r="P298" s="1"/>
      <c r="Q298" s="1"/>
    </row>
    <row r="299" spans="1:17" ht="22.5" customHeight="1">
      <c r="A299" s="46"/>
      <c r="B299" s="47"/>
      <c r="C299" s="47"/>
      <c r="D299" s="1"/>
      <c r="E299" s="1"/>
      <c r="F299" s="1"/>
      <c r="G299" s="1"/>
      <c r="H299" s="47"/>
      <c r="I299" s="1"/>
      <c r="J299" s="1"/>
      <c r="K299" s="1"/>
      <c r="L299" s="1"/>
      <c r="M299" s="1"/>
      <c r="N299" s="1"/>
      <c r="O299" s="1"/>
      <c r="P299" s="1"/>
      <c r="Q299" s="1"/>
    </row>
    <row r="300" spans="1:17" ht="22.5" customHeight="1">
      <c r="A300" s="46"/>
      <c r="B300" s="47"/>
      <c r="C300" s="47"/>
      <c r="D300" s="1"/>
      <c r="E300" s="1"/>
      <c r="F300" s="1"/>
      <c r="G300" s="1"/>
      <c r="H300" s="47"/>
      <c r="I300" s="1"/>
      <c r="J300" s="1"/>
      <c r="K300" s="1"/>
      <c r="L300" s="1"/>
      <c r="M300" s="1"/>
      <c r="N300" s="1"/>
      <c r="O300" s="1"/>
      <c r="P300" s="1"/>
      <c r="Q300" s="1"/>
    </row>
    <row r="301" spans="1:17" ht="22.5" customHeight="1">
      <c r="A301" s="46"/>
      <c r="B301" s="47"/>
      <c r="C301" s="47"/>
      <c r="D301" s="1"/>
      <c r="E301" s="1"/>
      <c r="F301" s="1"/>
      <c r="G301" s="1"/>
      <c r="H301" s="47"/>
      <c r="I301" s="1"/>
      <c r="J301" s="1"/>
      <c r="K301" s="1"/>
      <c r="L301" s="1"/>
      <c r="M301" s="1"/>
      <c r="N301" s="1"/>
      <c r="O301" s="1"/>
      <c r="P301" s="1"/>
      <c r="Q301" s="1"/>
    </row>
    <row r="302" spans="1:17" ht="22.5" customHeight="1">
      <c r="A302" s="46"/>
      <c r="B302" s="47"/>
      <c r="C302" s="47"/>
      <c r="D302" s="1"/>
      <c r="E302" s="1"/>
      <c r="F302" s="1"/>
      <c r="G302" s="1"/>
      <c r="H302" s="47"/>
      <c r="I302" s="1"/>
      <c r="J302" s="1"/>
      <c r="K302" s="1"/>
      <c r="L302" s="1"/>
      <c r="M302" s="1"/>
      <c r="N302" s="1"/>
      <c r="O302" s="1"/>
      <c r="P302" s="1"/>
      <c r="Q302" s="1"/>
    </row>
    <row r="303" spans="1:17" ht="22.5" customHeight="1">
      <c r="A303" s="46"/>
      <c r="B303" s="47"/>
      <c r="C303" s="47"/>
      <c r="D303" s="1"/>
      <c r="E303" s="1"/>
      <c r="F303" s="1"/>
      <c r="G303" s="1"/>
      <c r="H303" s="47"/>
      <c r="I303" s="1"/>
      <c r="J303" s="1"/>
      <c r="K303" s="1"/>
      <c r="L303" s="1"/>
      <c r="M303" s="1"/>
      <c r="N303" s="1"/>
      <c r="O303" s="1"/>
      <c r="P303" s="1"/>
      <c r="Q303" s="1"/>
    </row>
    <row r="304" spans="1:17" ht="22.5" customHeight="1">
      <c r="A304" s="46"/>
      <c r="B304" s="47"/>
      <c r="C304" s="47"/>
      <c r="D304" s="1"/>
      <c r="E304" s="1"/>
      <c r="F304" s="1"/>
      <c r="G304" s="1"/>
      <c r="H304" s="47"/>
      <c r="I304" s="1"/>
      <c r="J304" s="1"/>
      <c r="K304" s="1"/>
      <c r="L304" s="1"/>
      <c r="M304" s="1"/>
      <c r="N304" s="1"/>
      <c r="O304" s="1"/>
      <c r="P304" s="1"/>
      <c r="Q304" s="1"/>
    </row>
    <row r="305" spans="1:17" ht="22.5" customHeight="1">
      <c r="A305" s="46"/>
      <c r="B305" s="47"/>
      <c r="C305" s="47"/>
      <c r="D305" s="1"/>
      <c r="E305" s="1"/>
      <c r="F305" s="1"/>
      <c r="G305" s="1"/>
      <c r="H305" s="47"/>
      <c r="I305" s="1"/>
      <c r="J305" s="1"/>
      <c r="K305" s="1"/>
      <c r="L305" s="1"/>
      <c r="M305" s="1"/>
      <c r="N305" s="1"/>
      <c r="O305" s="1"/>
      <c r="P305" s="1"/>
      <c r="Q305" s="1"/>
    </row>
    <row r="306" spans="1:17" ht="15.75" customHeight="1"/>
    <row r="307" spans="1:17" ht="15.75" customHeight="1"/>
    <row r="308" spans="1:17" ht="15.75" customHeight="1"/>
    <row r="309" spans="1:17" ht="15.75" customHeight="1"/>
    <row r="310" spans="1:17" ht="15.75" customHeight="1"/>
    <row r="311" spans="1:17" ht="15.75" customHeight="1"/>
    <row r="312" spans="1:17" ht="15.75" customHeight="1"/>
    <row r="313" spans="1:17" ht="15.75" customHeight="1"/>
    <row r="314" spans="1:17" ht="15.75" customHeight="1"/>
    <row r="315" spans="1:17" ht="15.75" customHeight="1"/>
    <row r="316" spans="1:17" ht="15.75" customHeight="1"/>
    <row r="317" spans="1:17" ht="15.75" customHeight="1"/>
    <row r="318" spans="1:17" ht="15.75" customHeight="1"/>
    <row r="319" spans="1:17" ht="15.75" customHeight="1"/>
    <row r="320" spans="1:17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mergeCells count="1">
    <mergeCell ref="M1:N1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>
      <pane ySplit="4" topLeftCell="A18" activePane="bottomLeft" state="frozen"/>
      <selection pane="bottomLeft" activeCell="A4" sqref="A4:XFD20"/>
    </sheetView>
  </sheetViews>
  <sheetFormatPr baseColWidth="10" defaultColWidth="14.453125" defaultRowHeight="15" customHeight="1"/>
  <cols>
    <col min="1" max="1" width="26.54296875" customWidth="1"/>
    <col min="2" max="2" width="13.08984375" customWidth="1"/>
    <col min="3" max="3" width="18" customWidth="1"/>
    <col min="4" max="4" width="34.08984375" customWidth="1"/>
    <col min="5" max="5" width="25.54296875" customWidth="1"/>
    <col min="6" max="6" width="15.54296875" customWidth="1"/>
    <col min="7" max="7" width="15.08984375" customWidth="1"/>
    <col min="8" max="8" width="18.08984375" customWidth="1"/>
    <col min="9" max="9" width="19.08984375" customWidth="1"/>
    <col min="10" max="10" width="17.26953125" customWidth="1"/>
    <col min="11" max="11" width="15.08984375" customWidth="1"/>
    <col min="12" max="13" width="18.81640625" customWidth="1"/>
    <col min="14" max="14" width="13.54296875" customWidth="1"/>
    <col min="15" max="15" width="12.81640625" customWidth="1"/>
    <col min="16" max="16" width="13.81640625" customWidth="1"/>
    <col min="17" max="26" width="11.54296875" customWidth="1"/>
  </cols>
  <sheetData>
    <row r="1" spans="1:26" ht="49.5" customHeight="1">
      <c r="A1" s="16" t="s">
        <v>8</v>
      </c>
      <c r="B1" s="17"/>
      <c r="C1" s="17"/>
      <c r="D1" s="18"/>
      <c r="E1" s="18"/>
      <c r="F1" s="18"/>
      <c r="G1" s="18"/>
      <c r="H1" s="17"/>
      <c r="I1" s="60"/>
      <c r="J1" s="60"/>
      <c r="K1" s="18"/>
      <c r="L1" s="18"/>
      <c r="M1" s="158" t="s">
        <v>9</v>
      </c>
      <c r="N1" s="157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5.75" customHeight="1">
      <c r="A2" s="19"/>
      <c r="B2" s="20"/>
      <c r="C2" s="20"/>
      <c r="D2" s="19"/>
      <c r="E2" s="19"/>
      <c r="F2" s="19"/>
      <c r="G2" s="19"/>
      <c r="H2" s="20"/>
      <c r="I2" s="61"/>
      <c r="J2" s="61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51" customHeight="1">
      <c r="A3" s="22" t="s">
        <v>10</v>
      </c>
      <c r="B3" s="23" t="s">
        <v>11</v>
      </c>
      <c r="C3" s="23" t="s">
        <v>12</v>
      </c>
      <c r="D3" s="22" t="s">
        <v>13</v>
      </c>
      <c r="E3" s="22" t="s">
        <v>14</v>
      </c>
      <c r="F3" s="22" t="s">
        <v>78</v>
      </c>
      <c r="G3" s="22" t="s">
        <v>175</v>
      </c>
      <c r="H3" s="23" t="s">
        <v>17</v>
      </c>
      <c r="I3" s="62" t="s">
        <v>18</v>
      </c>
      <c r="J3" s="62" t="s">
        <v>19</v>
      </c>
      <c r="K3" s="22" t="s">
        <v>20</v>
      </c>
      <c r="L3" s="24" t="s">
        <v>176</v>
      </c>
      <c r="M3" s="22" t="s">
        <v>22</v>
      </c>
      <c r="N3" s="22" t="s">
        <v>23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s="121" customFormat="1" ht="25.5" customHeight="1">
      <c r="A4" s="114" t="s">
        <v>177</v>
      </c>
      <c r="B4" s="117">
        <v>45664</v>
      </c>
      <c r="C4" s="117">
        <v>47490</v>
      </c>
      <c r="D4" s="114" t="s">
        <v>178</v>
      </c>
      <c r="E4" s="114" t="s">
        <v>26</v>
      </c>
      <c r="F4" s="114" t="s">
        <v>45</v>
      </c>
      <c r="G4" s="114" t="s">
        <v>99</v>
      </c>
      <c r="H4" s="117">
        <v>45664</v>
      </c>
      <c r="I4" s="138">
        <v>34.796945000000001</v>
      </c>
      <c r="J4" s="138">
        <v>34.796945000000001</v>
      </c>
      <c r="K4" s="118">
        <v>1000</v>
      </c>
      <c r="L4" s="133">
        <v>1826</v>
      </c>
      <c r="M4" s="114" t="s">
        <v>29</v>
      </c>
      <c r="N4" s="114">
        <v>1</v>
      </c>
      <c r="O4" s="139"/>
      <c r="P4" s="140"/>
      <c r="Q4" s="120"/>
      <c r="R4" s="141"/>
      <c r="S4" s="120"/>
      <c r="T4" s="120"/>
      <c r="U4" s="120"/>
      <c r="V4" s="120"/>
      <c r="W4" s="120"/>
      <c r="X4" s="120"/>
      <c r="Y4" s="120"/>
      <c r="Z4" s="120"/>
    </row>
    <row r="5" spans="1:26" s="121" customFormat="1" ht="30" customHeight="1">
      <c r="A5" s="114" t="s">
        <v>177</v>
      </c>
      <c r="B5" s="117">
        <v>45664</v>
      </c>
      <c r="C5" s="117">
        <v>47490</v>
      </c>
      <c r="D5" s="114" t="s">
        <v>178</v>
      </c>
      <c r="E5" s="114" t="s">
        <v>26</v>
      </c>
      <c r="F5" s="114" t="s">
        <v>45</v>
      </c>
      <c r="G5" s="114" t="s">
        <v>99</v>
      </c>
      <c r="H5" s="117">
        <v>45665</v>
      </c>
      <c r="I5" s="138">
        <v>3.1631830000000001</v>
      </c>
      <c r="J5" s="138">
        <v>3.1631830000000001</v>
      </c>
      <c r="K5" s="118">
        <v>1000</v>
      </c>
      <c r="L5" s="133">
        <v>1825</v>
      </c>
      <c r="M5" s="114" t="s">
        <v>29</v>
      </c>
      <c r="N5" s="114">
        <v>1</v>
      </c>
      <c r="O5" s="139"/>
      <c r="P5" s="140"/>
      <c r="Q5" s="128"/>
      <c r="R5" s="128"/>
      <c r="S5" s="128"/>
      <c r="T5" s="128"/>
      <c r="U5" s="128"/>
      <c r="V5" s="128"/>
      <c r="W5" s="128"/>
      <c r="X5" s="128"/>
      <c r="Y5" s="128"/>
      <c r="Z5" s="128"/>
    </row>
    <row r="6" spans="1:26" s="121" customFormat="1" ht="26.25" customHeight="1">
      <c r="A6" s="114" t="s">
        <v>177</v>
      </c>
      <c r="B6" s="117">
        <v>45664</v>
      </c>
      <c r="C6" s="117">
        <v>47490</v>
      </c>
      <c r="D6" s="114" t="s">
        <v>178</v>
      </c>
      <c r="E6" s="114" t="s">
        <v>26</v>
      </c>
      <c r="F6" s="114" t="s">
        <v>45</v>
      </c>
      <c r="G6" s="114" t="s">
        <v>99</v>
      </c>
      <c r="H6" s="117">
        <v>45673</v>
      </c>
      <c r="I6" s="138">
        <v>20.007615999999999</v>
      </c>
      <c r="J6" s="138">
        <v>20.007615999999999</v>
      </c>
      <c r="K6" s="118">
        <v>1000</v>
      </c>
      <c r="L6" s="133">
        <v>1817</v>
      </c>
      <c r="M6" s="114" t="s">
        <v>29</v>
      </c>
      <c r="N6" s="114">
        <v>2</v>
      </c>
      <c r="O6" s="139"/>
      <c r="P6" s="140"/>
      <c r="Q6" s="128"/>
      <c r="R6" s="128"/>
      <c r="S6" s="128"/>
      <c r="T6" s="128"/>
      <c r="U6" s="128"/>
      <c r="V6" s="128"/>
      <c r="W6" s="128"/>
      <c r="X6" s="128"/>
      <c r="Y6" s="128"/>
      <c r="Z6" s="128"/>
    </row>
    <row r="7" spans="1:26" s="121" customFormat="1" ht="24" customHeight="1">
      <c r="A7" s="142" t="s">
        <v>179</v>
      </c>
      <c r="B7" s="143">
        <v>45705</v>
      </c>
      <c r="C7" s="143">
        <v>46066</v>
      </c>
      <c r="D7" s="142" t="s">
        <v>25</v>
      </c>
      <c r="E7" s="142" t="s">
        <v>26</v>
      </c>
      <c r="F7" s="142" t="s">
        <v>45</v>
      </c>
      <c r="G7" s="142" t="s">
        <v>99</v>
      </c>
      <c r="H7" s="143">
        <v>45705</v>
      </c>
      <c r="I7" s="144">
        <v>1214.669382</v>
      </c>
      <c r="J7" s="144">
        <v>1196.9109156351599</v>
      </c>
      <c r="K7" s="145">
        <v>985.38</v>
      </c>
      <c r="L7" s="146">
        <v>361</v>
      </c>
      <c r="M7" s="142" t="s">
        <v>29</v>
      </c>
      <c r="N7" s="142">
        <v>7</v>
      </c>
      <c r="O7" s="139"/>
      <c r="P7" s="137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 spans="1:26" s="121" customFormat="1" ht="28.5" customHeight="1">
      <c r="A8" s="114" t="s">
        <v>177</v>
      </c>
      <c r="B8" s="117">
        <v>45664</v>
      </c>
      <c r="C8" s="117">
        <v>47490</v>
      </c>
      <c r="D8" s="114" t="s">
        <v>178</v>
      </c>
      <c r="E8" s="114" t="s">
        <v>26</v>
      </c>
      <c r="F8" s="114" t="s">
        <v>45</v>
      </c>
      <c r="G8" s="114" t="s">
        <v>99</v>
      </c>
      <c r="H8" s="117">
        <v>45733</v>
      </c>
      <c r="I8" s="138">
        <v>5.1487059999999998</v>
      </c>
      <c r="J8" s="138">
        <v>5.1487059999999998</v>
      </c>
      <c r="K8" s="118">
        <v>1000</v>
      </c>
      <c r="L8" s="146">
        <v>1757</v>
      </c>
      <c r="M8" s="114" t="s">
        <v>29</v>
      </c>
      <c r="N8" s="114">
        <v>10</v>
      </c>
      <c r="O8" s="139"/>
      <c r="P8" s="140"/>
      <c r="Q8" s="128"/>
      <c r="R8" s="128"/>
      <c r="S8" s="128"/>
      <c r="T8" s="128"/>
      <c r="U8" s="128"/>
      <c r="V8" s="128"/>
      <c r="W8" s="128"/>
      <c r="X8" s="128"/>
      <c r="Y8" s="128"/>
      <c r="Z8" s="128"/>
    </row>
    <row r="9" spans="1:26" s="121" customFormat="1" ht="30" customHeight="1">
      <c r="A9" s="114" t="s">
        <v>177</v>
      </c>
      <c r="B9" s="117">
        <v>45664</v>
      </c>
      <c r="C9" s="117">
        <v>47490</v>
      </c>
      <c r="D9" s="114" t="s">
        <v>178</v>
      </c>
      <c r="E9" s="114" t="s">
        <v>26</v>
      </c>
      <c r="F9" s="114" t="s">
        <v>45</v>
      </c>
      <c r="G9" s="114" t="s">
        <v>99</v>
      </c>
      <c r="H9" s="117">
        <v>45737</v>
      </c>
      <c r="I9" s="138">
        <v>10.81831</v>
      </c>
      <c r="J9" s="138">
        <v>10.81831</v>
      </c>
      <c r="K9" s="118">
        <v>1000</v>
      </c>
      <c r="L9" s="146">
        <v>1753</v>
      </c>
      <c r="M9" s="114" t="s">
        <v>29</v>
      </c>
      <c r="N9" s="114">
        <v>12</v>
      </c>
      <c r="O9" s="139"/>
      <c r="P9" s="140"/>
      <c r="Q9" s="128"/>
      <c r="R9" s="128"/>
      <c r="S9" s="128"/>
      <c r="T9" s="128"/>
      <c r="U9" s="128"/>
      <c r="V9" s="128"/>
      <c r="W9" s="128"/>
      <c r="X9" s="128"/>
      <c r="Y9" s="128"/>
      <c r="Z9" s="128"/>
    </row>
    <row r="10" spans="1:26" s="121" customFormat="1" ht="27" customHeight="1">
      <c r="A10" s="114" t="s">
        <v>177</v>
      </c>
      <c r="B10" s="117">
        <v>45664</v>
      </c>
      <c r="C10" s="117">
        <v>47490</v>
      </c>
      <c r="D10" s="114" t="s">
        <v>178</v>
      </c>
      <c r="E10" s="114" t="s">
        <v>26</v>
      </c>
      <c r="F10" s="114" t="s">
        <v>45</v>
      </c>
      <c r="G10" s="114" t="s">
        <v>99</v>
      </c>
      <c r="H10" s="117">
        <v>45747</v>
      </c>
      <c r="I10" s="138">
        <v>7.6709100000000001</v>
      </c>
      <c r="J10" s="138">
        <v>7.6709100000000001</v>
      </c>
      <c r="K10" s="118">
        <v>1000</v>
      </c>
      <c r="L10" s="146">
        <v>1743</v>
      </c>
      <c r="M10" s="114" t="s">
        <v>29</v>
      </c>
      <c r="N10" s="114">
        <v>14</v>
      </c>
      <c r="O10" s="139"/>
      <c r="P10" s="140"/>
      <c r="Q10" s="128"/>
      <c r="R10" s="128"/>
      <c r="S10" s="128"/>
      <c r="T10" s="128"/>
      <c r="U10" s="128"/>
      <c r="V10" s="128"/>
      <c r="W10" s="128"/>
      <c r="X10" s="128"/>
      <c r="Y10" s="128"/>
      <c r="Z10" s="128"/>
    </row>
    <row r="11" spans="1:26" s="121" customFormat="1" ht="27" customHeight="1">
      <c r="A11" s="114" t="s">
        <v>177</v>
      </c>
      <c r="B11" s="117">
        <v>45664</v>
      </c>
      <c r="C11" s="117">
        <v>47490</v>
      </c>
      <c r="D11" s="114" t="s">
        <v>178</v>
      </c>
      <c r="E11" s="114" t="s">
        <v>26</v>
      </c>
      <c r="F11" s="114" t="s">
        <v>45</v>
      </c>
      <c r="G11" s="114" t="s">
        <v>99</v>
      </c>
      <c r="H11" s="117">
        <v>45750</v>
      </c>
      <c r="I11" s="138">
        <v>15.489576</v>
      </c>
      <c r="J11" s="138">
        <v>15.489576</v>
      </c>
      <c r="K11" s="118">
        <v>1000</v>
      </c>
      <c r="L11" s="146">
        <v>1740</v>
      </c>
      <c r="M11" s="114" t="s">
        <v>29</v>
      </c>
      <c r="N11" s="114">
        <v>14</v>
      </c>
      <c r="O11" s="139"/>
      <c r="P11" s="139"/>
      <c r="Q11" s="128"/>
      <c r="R11" s="128"/>
      <c r="S11" s="128"/>
      <c r="T11" s="128"/>
      <c r="U11" s="128"/>
      <c r="V11" s="128"/>
      <c r="W11" s="128"/>
      <c r="X11" s="128"/>
      <c r="Y11" s="128"/>
      <c r="Z11" s="128"/>
    </row>
    <row r="12" spans="1:26" s="121" customFormat="1" ht="27" customHeight="1">
      <c r="A12" s="114" t="s">
        <v>177</v>
      </c>
      <c r="B12" s="117">
        <v>45664</v>
      </c>
      <c r="C12" s="117">
        <v>47490</v>
      </c>
      <c r="D12" s="114" t="s">
        <v>178</v>
      </c>
      <c r="E12" s="114" t="s">
        <v>26</v>
      </c>
      <c r="F12" s="114" t="s">
        <v>45</v>
      </c>
      <c r="G12" s="114" t="s">
        <v>99</v>
      </c>
      <c r="H12" s="117">
        <v>45768</v>
      </c>
      <c r="I12" s="138">
        <v>23.611148</v>
      </c>
      <c r="J12" s="138">
        <v>23.611148</v>
      </c>
      <c r="K12" s="118">
        <v>1000</v>
      </c>
      <c r="L12" s="146">
        <v>1722</v>
      </c>
      <c r="M12" s="114" t="s">
        <v>29</v>
      </c>
      <c r="N12" s="114">
        <v>17</v>
      </c>
      <c r="O12" s="139"/>
      <c r="P12" s="140"/>
      <c r="Q12" s="128"/>
      <c r="R12" s="128"/>
      <c r="S12" s="128"/>
      <c r="T12" s="128"/>
      <c r="U12" s="128"/>
      <c r="V12" s="128"/>
      <c r="W12" s="128"/>
      <c r="X12" s="128"/>
      <c r="Y12" s="128"/>
      <c r="Z12" s="128"/>
    </row>
    <row r="13" spans="1:26" s="121" customFormat="1" ht="25.5" customHeight="1">
      <c r="A13" s="114" t="s">
        <v>177</v>
      </c>
      <c r="B13" s="117">
        <v>45664</v>
      </c>
      <c r="C13" s="117">
        <v>47490</v>
      </c>
      <c r="D13" s="114" t="s">
        <v>178</v>
      </c>
      <c r="E13" s="114" t="s">
        <v>26</v>
      </c>
      <c r="F13" s="114" t="s">
        <v>45</v>
      </c>
      <c r="G13" s="114" t="s">
        <v>99</v>
      </c>
      <c r="H13" s="117">
        <v>45776</v>
      </c>
      <c r="I13" s="138">
        <v>0.67814300000000005</v>
      </c>
      <c r="J13" s="138">
        <v>0.67814300000000005</v>
      </c>
      <c r="K13" s="118">
        <v>1000</v>
      </c>
      <c r="L13" s="146">
        <v>1714</v>
      </c>
      <c r="M13" s="114" t="s">
        <v>29</v>
      </c>
      <c r="N13" s="114">
        <v>19</v>
      </c>
      <c r="O13" s="139"/>
      <c r="P13" s="140"/>
      <c r="Q13" s="128"/>
      <c r="R13" s="128"/>
      <c r="S13" s="128"/>
      <c r="T13" s="128"/>
      <c r="U13" s="128"/>
      <c r="V13" s="128"/>
      <c r="W13" s="128"/>
      <c r="X13" s="128"/>
      <c r="Y13" s="128"/>
      <c r="Z13" s="128"/>
    </row>
    <row r="14" spans="1:26" s="121" customFormat="1" ht="29.25" customHeight="1">
      <c r="A14" s="114" t="s">
        <v>177</v>
      </c>
      <c r="B14" s="117">
        <v>45664</v>
      </c>
      <c r="C14" s="117">
        <v>47490</v>
      </c>
      <c r="D14" s="114" t="s">
        <v>178</v>
      </c>
      <c r="E14" s="114" t="s">
        <v>26</v>
      </c>
      <c r="F14" s="114" t="s">
        <v>45</v>
      </c>
      <c r="G14" s="114" t="s">
        <v>99</v>
      </c>
      <c r="H14" s="117">
        <v>45845</v>
      </c>
      <c r="I14" s="138">
        <v>0.15865599999999999</v>
      </c>
      <c r="J14" s="138">
        <v>0.15865599999999996</v>
      </c>
      <c r="K14" s="118">
        <v>1000</v>
      </c>
      <c r="L14" s="147">
        <v>1645</v>
      </c>
      <c r="M14" s="114" t="s">
        <v>29</v>
      </c>
      <c r="N14" s="114">
        <v>30</v>
      </c>
      <c r="O14" s="139"/>
      <c r="P14" s="140"/>
      <c r="Q14" s="128"/>
      <c r="R14" s="128"/>
      <c r="S14" s="128"/>
      <c r="T14" s="128"/>
      <c r="U14" s="128"/>
      <c r="V14" s="128"/>
      <c r="W14" s="128"/>
      <c r="X14" s="128"/>
      <c r="Y14" s="128"/>
      <c r="Z14" s="128"/>
    </row>
    <row r="15" spans="1:26" s="121" customFormat="1" ht="27.75" customHeight="1">
      <c r="A15" s="114" t="s">
        <v>177</v>
      </c>
      <c r="B15" s="117">
        <v>45664</v>
      </c>
      <c r="C15" s="117">
        <v>47490</v>
      </c>
      <c r="D15" s="114" t="s">
        <v>178</v>
      </c>
      <c r="E15" s="114" t="s">
        <v>26</v>
      </c>
      <c r="F15" s="114" t="s">
        <v>45</v>
      </c>
      <c r="G15" s="114" t="s">
        <v>99</v>
      </c>
      <c r="H15" s="117">
        <v>45854</v>
      </c>
      <c r="I15" s="138">
        <v>1.5194529999999999</v>
      </c>
      <c r="J15" s="138">
        <v>1.5194529999999999</v>
      </c>
      <c r="K15" s="118">
        <v>1000</v>
      </c>
      <c r="L15" s="147">
        <v>1636</v>
      </c>
      <c r="M15" s="114" t="s">
        <v>29</v>
      </c>
      <c r="N15" s="114">
        <v>33</v>
      </c>
      <c r="O15" s="139"/>
      <c r="P15" s="140"/>
      <c r="Q15" s="128"/>
      <c r="R15" s="128"/>
      <c r="S15" s="128"/>
      <c r="T15" s="128"/>
      <c r="U15" s="128"/>
      <c r="V15" s="128"/>
      <c r="W15" s="128"/>
      <c r="X15" s="128"/>
      <c r="Y15" s="128"/>
      <c r="Z15" s="128"/>
    </row>
    <row r="16" spans="1:26" s="121" customFormat="1" ht="25.5" customHeight="1">
      <c r="A16" s="114" t="s">
        <v>177</v>
      </c>
      <c r="B16" s="117">
        <v>45664</v>
      </c>
      <c r="C16" s="117">
        <v>47490</v>
      </c>
      <c r="D16" s="114" t="s">
        <v>178</v>
      </c>
      <c r="E16" s="114" t="s">
        <v>26</v>
      </c>
      <c r="F16" s="114" t="s">
        <v>45</v>
      </c>
      <c r="G16" s="114" t="s">
        <v>99</v>
      </c>
      <c r="H16" s="117">
        <v>45915</v>
      </c>
      <c r="I16" s="138">
        <v>1.5194529999999999</v>
      </c>
      <c r="J16" s="148">
        <v>1.5194529999999999</v>
      </c>
      <c r="K16" s="118">
        <v>1000</v>
      </c>
      <c r="L16" s="147">
        <v>1575</v>
      </c>
      <c r="M16" s="114" t="s">
        <v>29</v>
      </c>
      <c r="N16" s="114">
        <v>33</v>
      </c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</row>
    <row r="17" spans="1:26" s="121" customFormat="1" ht="30" customHeight="1">
      <c r="A17" s="114" t="s">
        <v>177</v>
      </c>
      <c r="B17" s="149">
        <v>45664</v>
      </c>
      <c r="C17" s="149">
        <v>47490</v>
      </c>
      <c r="D17" s="150" t="s">
        <v>178</v>
      </c>
      <c r="E17" s="150" t="s">
        <v>26</v>
      </c>
      <c r="F17" s="150" t="s">
        <v>45</v>
      </c>
      <c r="G17" s="150" t="s">
        <v>99</v>
      </c>
      <c r="H17" s="149">
        <v>45922</v>
      </c>
      <c r="I17" s="138">
        <v>3.2151380000000001</v>
      </c>
      <c r="J17" s="148">
        <v>3.2151380000000001</v>
      </c>
      <c r="K17" s="151">
        <v>1000</v>
      </c>
      <c r="L17" s="152">
        <v>1568</v>
      </c>
      <c r="M17" s="150" t="s">
        <v>29</v>
      </c>
      <c r="N17" s="150">
        <v>46</v>
      </c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</row>
    <row r="18" spans="1:26" s="121" customFormat="1" ht="30" customHeight="1">
      <c r="A18" s="114" t="s">
        <v>177</v>
      </c>
      <c r="B18" s="149">
        <v>45664</v>
      </c>
      <c r="C18" s="149">
        <v>47490</v>
      </c>
      <c r="D18" s="150" t="s">
        <v>178</v>
      </c>
      <c r="E18" s="150" t="s">
        <v>26</v>
      </c>
      <c r="F18" s="150" t="s">
        <v>45</v>
      </c>
      <c r="G18" s="150" t="s">
        <v>99</v>
      </c>
      <c r="H18" s="149">
        <v>45930</v>
      </c>
      <c r="I18" s="138">
        <v>2.647167</v>
      </c>
      <c r="J18" s="148">
        <v>2.647167</v>
      </c>
      <c r="K18" s="151">
        <v>1000</v>
      </c>
      <c r="L18" s="152">
        <v>1560</v>
      </c>
      <c r="M18" s="150" t="s">
        <v>29</v>
      </c>
      <c r="N18" s="150">
        <v>48</v>
      </c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</row>
    <row r="19" spans="1:26" s="121" customFormat="1" ht="30" customHeight="1">
      <c r="A19" s="114" t="s">
        <v>177</v>
      </c>
      <c r="B19" s="149">
        <v>45664</v>
      </c>
      <c r="C19" s="149">
        <v>47490</v>
      </c>
      <c r="D19" s="150" t="s">
        <v>178</v>
      </c>
      <c r="E19" s="150" t="s">
        <v>26</v>
      </c>
      <c r="F19" s="150" t="s">
        <v>45</v>
      </c>
      <c r="G19" s="150" t="s">
        <v>99</v>
      </c>
      <c r="H19" s="149">
        <v>45933</v>
      </c>
      <c r="I19" s="138">
        <v>4.2825000000000002E-2</v>
      </c>
      <c r="J19" s="148">
        <v>4.2825000000000002E-2</v>
      </c>
      <c r="K19" s="148">
        <v>1000</v>
      </c>
      <c r="L19" s="152">
        <f>C19-H19</f>
        <v>1557</v>
      </c>
      <c r="M19" s="150" t="s">
        <v>29</v>
      </c>
      <c r="N19" s="150">
        <v>48</v>
      </c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</row>
    <row r="20" spans="1:26" s="121" customFormat="1" ht="30" customHeight="1">
      <c r="A20" s="114" t="s">
        <v>177</v>
      </c>
      <c r="B20" s="149">
        <v>45664</v>
      </c>
      <c r="C20" s="149">
        <v>47490</v>
      </c>
      <c r="D20" s="150" t="s">
        <v>178</v>
      </c>
      <c r="E20" s="150" t="s">
        <v>26</v>
      </c>
      <c r="F20" s="150" t="s">
        <v>45</v>
      </c>
      <c r="G20" s="150" t="s">
        <v>99</v>
      </c>
      <c r="H20" s="149">
        <v>45950</v>
      </c>
      <c r="I20" s="138">
        <v>5.9513490000000004</v>
      </c>
      <c r="J20" s="148">
        <v>5.9513490000000004</v>
      </c>
      <c r="K20" s="148">
        <v>1000</v>
      </c>
      <c r="L20" s="152">
        <f>C20-H20</f>
        <v>1540</v>
      </c>
      <c r="M20" s="150" t="s">
        <v>29</v>
      </c>
      <c r="N20" s="150">
        <v>48</v>
      </c>
      <c r="O20" s="153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</row>
    <row r="21" spans="1:26" ht="30" customHeight="1">
      <c r="A21" s="65"/>
      <c r="B21" s="66"/>
      <c r="C21" s="66"/>
      <c r="D21" s="67"/>
      <c r="E21" s="67"/>
      <c r="F21" s="67"/>
      <c r="G21" s="67"/>
      <c r="H21" s="66"/>
      <c r="I21" s="68"/>
      <c r="J21" s="69"/>
      <c r="K21" s="70"/>
      <c r="L21" s="71"/>
      <c r="M21" s="67"/>
      <c r="N21" s="67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</row>
    <row r="22" spans="1:26" ht="15.75" customHeight="1">
      <c r="A22" s="38" t="s">
        <v>77</v>
      </c>
      <c r="B22" s="39"/>
      <c r="C22" s="39"/>
      <c r="D22" s="38"/>
      <c r="E22" s="38"/>
      <c r="F22" s="38"/>
      <c r="G22" s="38"/>
      <c r="H22" s="39"/>
      <c r="I22" s="72"/>
      <c r="J22" s="72"/>
      <c r="K22" s="38"/>
      <c r="L22" s="38"/>
      <c r="M22" s="38"/>
      <c r="N22" s="38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5.75" customHeight="1">
      <c r="A23" s="38" t="s">
        <v>180</v>
      </c>
      <c r="B23" s="39"/>
      <c r="C23" s="39"/>
      <c r="D23" s="38"/>
      <c r="E23" s="38"/>
      <c r="F23" s="38"/>
      <c r="G23" s="38"/>
      <c r="H23" s="39"/>
      <c r="I23" s="72"/>
      <c r="J23" s="72"/>
      <c r="K23" s="38"/>
      <c r="L23" s="38"/>
      <c r="M23" s="38"/>
      <c r="N23" s="38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5.75" customHeight="1">
      <c r="A24" s="19"/>
      <c r="B24" s="40"/>
      <c r="C24" s="40"/>
      <c r="D24" s="19"/>
      <c r="E24" s="19"/>
      <c r="F24" s="19"/>
      <c r="G24" s="19"/>
      <c r="H24" s="40"/>
      <c r="I24" s="61"/>
      <c r="J24" s="61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5.75" customHeight="1">
      <c r="A25" s="19"/>
      <c r="B25" s="40"/>
      <c r="C25" s="40"/>
      <c r="D25" s="19"/>
      <c r="E25" s="19"/>
      <c r="F25" s="19"/>
      <c r="G25" s="19"/>
      <c r="H25" s="40"/>
      <c r="I25" s="61"/>
      <c r="J25" s="61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5.75" customHeight="1">
      <c r="A26" s="19"/>
      <c r="B26" s="40"/>
      <c r="C26" s="40"/>
      <c r="D26" s="19"/>
      <c r="E26" s="19"/>
      <c r="F26" s="19"/>
      <c r="G26" s="19"/>
      <c r="H26" s="40"/>
      <c r="I26" s="61"/>
      <c r="J26" s="61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5.75" customHeight="1">
      <c r="A27" s="19"/>
      <c r="B27" s="40"/>
      <c r="C27" s="40"/>
      <c r="D27" s="19"/>
      <c r="E27" s="19"/>
      <c r="F27" s="19"/>
      <c r="G27" s="19"/>
      <c r="H27" s="40"/>
      <c r="I27" s="61"/>
      <c r="J27" s="61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5.75" customHeight="1">
      <c r="A28" s="19"/>
      <c r="B28" s="40"/>
      <c r="C28" s="40"/>
      <c r="D28" s="19"/>
      <c r="E28" s="19"/>
      <c r="F28" s="19"/>
      <c r="G28" s="19"/>
      <c r="H28" s="40"/>
      <c r="I28" s="61"/>
      <c r="J28" s="61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5.75" customHeight="1">
      <c r="A29" s="19"/>
      <c r="B29" s="40"/>
      <c r="C29" s="40"/>
      <c r="D29" s="19"/>
      <c r="E29" s="19"/>
      <c r="F29" s="19"/>
      <c r="G29" s="19"/>
      <c r="H29" s="40"/>
      <c r="I29" s="61"/>
      <c r="J29" s="61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5.75" customHeight="1">
      <c r="A30" s="19"/>
      <c r="B30" s="40"/>
      <c r="C30" s="40"/>
      <c r="D30" s="19"/>
      <c r="E30" s="19"/>
      <c r="F30" s="19"/>
      <c r="G30" s="19"/>
      <c r="H30" s="40"/>
      <c r="I30" s="61"/>
      <c r="J30" s="61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5.75" customHeight="1">
      <c r="A31" s="19"/>
      <c r="B31" s="40"/>
      <c r="C31" s="40"/>
      <c r="D31" s="19"/>
      <c r="E31" s="19"/>
      <c r="F31" s="19"/>
      <c r="G31" s="19"/>
      <c r="H31" s="40"/>
      <c r="I31" s="61"/>
      <c r="J31" s="61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5.75" customHeight="1">
      <c r="A32" s="19"/>
      <c r="B32" s="40"/>
      <c r="C32" s="40"/>
      <c r="D32" s="19"/>
      <c r="E32" s="19"/>
      <c r="F32" s="19"/>
      <c r="G32" s="19"/>
      <c r="H32" s="40"/>
      <c r="I32" s="61"/>
      <c r="J32" s="61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5.75" customHeight="1">
      <c r="A33" s="19"/>
      <c r="B33" s="40"/>
      <c r="C33" s="40"/>
      <c r="D33" s="19"/>
      <c r="E33" s="19"/>
      <c r="F33" s="19"/>
      <c r="G33" s="19"/>
      <c r="H33" s="40"/>
      <c r="I33" s="61"/>
      <c r="J33" s="61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5.75" customHeight="1">
      <c r="A34" s="19"/>
      <c r="B34" s="40"/>
      <c r="C34" s="40"/>
      <c r="D34" s="19"/>
      <c r="E34" s="19"/>
      <c r="F34" s="19"/>
      <c r="G34" s="19"/>
      <c r="H34" s="40"/>
      <c r="I34" s="61"/>
      <c r="J34" s="61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5.75" customHeight="1">
      <c r="A35" s="19"/>
      <c r="B35" s="40"/>
      <c r="C35" s="40"/>
      <c r="D35" s="19"/>
      <c r="E35" s="19"/>
      <c r="F35" s="19"/>
      <c r="G35" s="19"/>
      <c r="H35" s="40"/>
      <c r="I35" s="61"/>
      <c r="J35" s="61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5.75" customHeight="1">
      <c r="A36" s="19"/>
      <c r="B36" s="40"/>
      <c r="C36" s="40"/>
      <c r="D36" s="19"/>
      <c r="E36" s="19"/>
      <c r="F36" s="19"/>
      <c r="G36" s="19"/>
      <c r="H36" s="40"/>
      <c r="I36" s="61"/>
      <c r="J36" s="61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5.75" customHeight="1">
      <c r="A37" s="19"/>
      <c r="B37" s="40"/>
      <c r="C37" s="40"/>
      <c r="D37" s="19"/>
      <c r="E37" s="19"/>
      <c r="F37" s="19"/>
      <c r="G37" s="19"/>
      <c r="H37" s="40"/>
      <c r="I37" s="61"/>
      <c r="J37" s="61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5.75" customHeight="1">
      <c r="A38" s="19"/>
      <c r="B38" s="40"/>
      <c r="C38" s="40"/>
      <c r="D38" s="19"/>
      <c r="E38" s="19"/>
      <c r="F38" s="19"/>
      <c r="G38" s="19"/>
      <c r="H38" s="40"/>
      <c r="I38" s="61"/>
      <c r="J38" s="61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5.75" customHeight="1">
      <c r="A39" s="19"/>
      <c r="B39" s="40"/>
      <c r="C39" s="40"/>
      <c r="D39" s="19"/>
      <c r="E39" s="19"/>
      <c r="F39" s="19"/>
      <c r="G39" s="19"/>
      <c r="H39" s="40"/>
      <c r="I39" s="61"/>
      <c r="J39" s="61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5.75" customHeight="1">
      <c r="A40" s="19"/>
      <c r="B40" s="40"/>
      <c r="C40" s="40"/>
      <c r="D40" s="19"/>
      <c r="E40" s="19"/>
      <c r="F40" s="19"/>
      <c r="G40" s="19"/>
      <c r="H40" s="40"/>
      <c r="I40" s="61"/>
      <c r="J40" s="61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5.75" customHeight="1">
      <c r="A41" s="19"/>
      <c r="B41" s="40"/>
      <c r="C41" s="40"/>
      <c r="D41" s="19"/>
      <c r="E41" s="19"/>
      <c r="F41" s="19"/>
      <c r="G41" s="19"/>
      <c r="H41" s="40"/>
      <c r="I41" s="61"/>
      <c r="J41" s="61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5.75" customHeight="1">
      <c r="A42" s="19"/>
      <c r="B42" s="40"/>
      <c r="C42" s="40"/>
      <c r="D42" s="19"/>
      <c r="E42" s="19"/>
      <c r="F42" s="19"/>
      <c r="G42" s="19"/>
      <c r="H42" s="40"/>
      <c r="I42" s="61"/>
      <c r="J42" s="61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5.75" customHeight="1">
      <c r="A43" s="19"/>
      <c r="B43" s="40"/>
      <c r="C43" s="40"/>
      <c r="D43" s="19"/>
      <c r="E43" s="19"/>
      <c r="F43" s="19"/>
      <c r="G43" s="19"/>
      <c r="H43" s="40"/>
      <c r="I43" s="61"/>
      <c r="J43" s="61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5.75" customHeight="1">
      <c r="A44" s="19"/>
      <c r="B44" s="20"/>
      <c r="C44" s="20"/>
      <c r="D44" s="19"/>
      <c r="E44" s="19"/>
      <c r="F44" s="19"/>
      <c r="G44" s="19"/>
      <c r="H44" s="40"/>
      <c r="I44" s="61"/>
      <c r="J44" s="61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5.75" customHeight="1">
      <c r="A45" s="19"/>
      <c r="B45" s="20"/>
      <c r="C45" s="20"/>
      <c r="D45" s="19"/>
      <c r="E45" s="19"/>
      <c r="F45" s="19"/>
      <c r="G45" s="19"/>
      <c r="H45" s="20"/>
      <c r="I45" s="61"/>
      <c r="J45" s="61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5.75" customHeight="1">
      <c r="A46" s="19"/>
      <c r="B46" s="20"/>
      <c r="C46" s="20"/>
      <c r="D46" s="19"/>
      <c r="E46" s="19"/>
      <c r="F46" s="19"/>
      <c r="G46" s="19"/>
      <c r="H46" s="20"/>
      <c r="I46" s="61"/>
      <c r="J46" s="61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5.75" customHeight="1">
      <c r="A47" s="19"/>
      <c r="B47" s="20"/>
      <c r="C47" s="20"/>
      <c r="D47" s="19"/>
      <c r="E47" s="19"/>
      <c r="F47" s="19"/>
      <c r="G47" s="19"/>
      <c r="H47" s="20"/>
      <c r="I47" s="61"/>
      <c r="J47" s="61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5.75" customHeight="1">
      <c r="A48" s="19"/>
      <c r="B48" s="20"/>
      <c r="C48" s="20"/>
      <c r="D48" s="19"/>
      <c r="E48" s="19"/>
      <c r="F48" s="19"/>
      <c r="G48" s="19"/>
      <c r="H48" s="20"/>
      <c r="I48" s="61"/>
      <c r="J48" s="61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5.75" customHeight="1">
      <c r="A49" s="19"/>
      <c r="B49" s="20"/>
      <c r="C49" s="20"/>
      <c r="D49" s="19"/>
      <c r="E49" s="19"/>
      <c r="F49" s="19"/>
      <c r="G49" s="19"/>
      <c r="H49" s="20"/>
      <c r="I49" s="61"/>
      <c r="J49" s="61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5.75" customHeight="1">
      <c r="A50" s="19"/>
      <c r="B50" s="20"/>
      <c r="C50" s="20"/>
      <c r="D50" s="19"/>
      <c r="E50" s="19"/>
      <c r="F50" s="19"/>
      <c r="G50" s="19"/>
      <c r="H50" s="20"/>
      <c r="I50" s="61"/>
      <c r="J50" s="61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5.75" customHeight="1">
      <c r="A51" s="19"/>
      <c r="B51" s="20"/>
      <c r="C51" s="20"/>
      <c r="D51" s="19"/>
      <c r="E51" s="19"/>
      <c r="F51" s="19"/>
      <c r="G51" s="19"/>
      <c r="H51" s="20"/>
      <c r="I51" s="61"/>
      <c r="J51" s="61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5.75" customHeight="1">
      <c r="A52" s="19"/>
      <c r="B52" s="20"/>
      <c r="C52" s="20"/>
      <c r="D52" s="19"/>
      <c r="E52" s="19"/>
      <c r="F52" s="19"/>
      <c r="G52" s="19"/>
      <c r="H52" s="20"/>
      <c r="I52" s="61"/>
      <c r="J52" s="61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5.75" customHeight="1">
      <c r="A53" s="19"/>
      <c r="B53" s="20"/>
      <c r="C53" s="20"/>
      <c r="D53" s="19"/>
      <c r="E53" s="19"/>
      <c r="F53" s="19"/>
      <c r="G53" s="19"/>
      <c r="H53" s="20"/>
      <c r="I53" s="61"/>
      <c r="J53" s="61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5.75" customHeight="1">
      <c r="A54" s="19"/>
      <c r="B54" s="20"/>
      <c r="C54" s="20"/>
      <c r="D54" s="19"/>
      <c r="E54" s="19"/>
      <c r="F54" s="19"/>
      <c r="G54" s="19"/>
      <c r="H54" s="20"/>
      <c r="I54" s="61"/>
      <c r="J54" s="61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5.75" customHeight="1">
      <c r="A55" s="19"/>
      <c r="B55" s="20"/>
      <c r="C55" s="20"/>
      <c r="D55" s="19"/>
      <c r="E55" s="19"/>
      <c r="F55" s="19"/>
      <c r="G55" s="19"/>
      <c r="H55" s="20"/>
      <c r="I55" s="61"/>
      <c r="J55" s="61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5.75" customHeight="1">
      <c r="A56" s="19"/>
      <c r="B56" s="20"/>
      <c r="C56" s="20"/>
      <c r="D56" s="19"/>
      <c r="E56" s="19"/>
      <c r="F56" s="19"/>
      <c r="G56" s="19"/>
      <c r="H56" s="20"/>
      <c r="I56" s="61"/>
      <c r="J56" s="61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5.75" customHeight="1">
      <c r="A57" s="19"/>
      <c r="B57" s="20"/>
      <c r="C57" s="20"/>
      <c r="D57" s="19"/>
      <c r="E57" s="19"/>
      <c r="F57" s="19"/>
      <c r="G57" s="19"/>
      <c r="H57" s="20"/>
      <c r="I57" s="61"/>
      <c r="J57" s="61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5.75" customHeight="1">
      <c r="A58" s="19"/>
      <c r="B58" s="20"/>
      <c r="C58" s="20"/>
      <c r="D58" s="19"/>
      <c r="E58" s="19"/>
      <c r="F58" s="19"/>
      <c r="G58" s="19"/>
      <c r="H58" s="20"/>
      <c r="I58" s="61"/>
      <c r="J58" s="61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5.75" customHeight="1">
      <c r="A59" s="19"/>
      <c r="B59" s="20"/>
      <c r="C59" s="20"/>
      <c r="D59" s="19"/>
      <c r="E59" s="19"/>
      <c r="F59" s="19"/>
      <c r="G59" s="19"/>
      <c r="H59" s="20"/>
      <c r="I59" s="61"/>
      <c r="J59" s="61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5.75" customHeight="1">
      <c r="A60" s="19"/>
      <c r="B60" s="20"/>
      <c r="C60" s="20"/>
      <c r="D60" s="19"/>
      <c r="E60" s="19"/>
      <c r="F60" s="19"/>
      <c r="G60" s="19"/>
      <c r="H60" s="20"/>
      <c r="I60" s="61"/>
      <c r="J60" s="61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5.75" customHeight="1">
      <c r="A61" s="19"/>
      <c r="B61" s="20"/>
      <c r="C61" s="20"/>
      <c r="D61" s="19"/>
      <c r="E61" s="19"/>
      <c r="F61" s="19"/>
      <c r="G61" s="19"/>
      <c r="H61" s="20"/>
      <c r="I61" s="61"/>
      <c r="J61" s="61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5.75" customHeight="1">
      <c r="A62" s="19"/>
      <c r="B62" s="20"/>
      <c r="C62" s="20"/>
      <c r="D62" s="19"/>
      <c r="E62" s="19"/>
      <c r="F62" s="19"/>
      <c r="G62" s="19"/>
      <c r="H62" s="20"/>
      <c r="I62" s="61"/>
      <c r="J62" s="61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5.75" customHeight="1">
      <c r="A63" s="19"/>
      <c r="B63" s="20"/>
      <c r="C63" s="20"/>
      <c r="D63" s="19"/>
      <c r="E63" s="19"/>
      <c r="F63" s="19"/>
      <c r="G63" s="19"/>
      <c r="H63" s="20"/>
      <c r="I63" s="61"/>
      <c r="J63" s="61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5.75" customHeight="1">
      <c r="A64" s="19"/>
      <c r="B64" s="20"/>
      <c r="C64" s="20"/>
      <c r="D64" s="19"/>
      <c r="E64" s="19"/>
      <c r="F64" s="19"/>
      <c r="G64" s="19"/>
      <c r="H64" s="20"/>
      <c r="I64" s="61"/>
      <c r="J64" s="61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5.75" customHeight="1">
      <c r="A65" s="19"/>
      <c r="B65" s="20"/>
      <c r="C65" s="20"/>
      <c r="D65" s="19"/>
      <c r="E65" s="19"/>
      <c r="F65" s="19"/>
      <c r="G65" s="19"/>
      <c r="H65" s="20"/>
      <c r="I65" s="61"/>
      <c r="J65" s="61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5.75" customHeight="1">
      <c r="A66" s="19"/>
      <c r="B66" s="20"/>
      <c r="C66" s="20"/>
      <c r="D66" s="19"/>
      <c r="E66" s="19"/>
      <c r="F66" s="19"/>
      <c r="G66" s="19"/>
      <c r="H66" s="20"/>
      <c r="I66" s="61"/>
      <c r="J66" s="61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5.75" customHeight="1">
      <c r="A67" s="19"/>
      <c r="B67" s="20"/>
      <c r="C67" s="20"/>
      <c r="D67" s="19"/>
      <c r="E67" s="19"/>
      <c r="F67" s="19"/>
      <c r="G67" s="19"/>
      <c r="H67" s="20"/>
      <c r="I67" s="61"/>
      <c r="J67" s="61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5.75" customHeight="1">
      <c r="A68" s="19"/>
      <c r="B68" s="20"/>
      <c r="C68" s="20"/>
      <c r="D68" s="19"/>
      <c r="E68" s="19"/>
      <c r="F68" s="19"/>
      <c r="G68" s="19"/>
      <c r="H68" s="20"/>
      <c r="I68" s="61"/>
      <c r="J68" s="61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5.75" customHeight="1">
      <c r="A69" s="19"/>
      <c r="B69" s="20"/>
      <c r="C69" s="20"/>
      <c r="D69" s="19"/>
      <c r="E69" s="19"/>
      <c r="F69" s="19"/>
      <c r="G69" s="19"/>
      <c r="H69" s="20"/>
      <c r="I69" s="61"/>
      <c r="J69" s="61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5.75" customHeight="1">
      <c r="A70" s="19"/>
      <c r="B70" s="20"/>
      <c r="C70" s="20"/>
      <c r="D70" s="19"/>
      <c r="E70" s="19"/>
      <c r="F70" s="19"/>
      <c r="G70" s="19"/>
      <c r="H70" s="20"/>
      <c r="I70" s="61"/>
      <c r="J70" s="61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5.75" customHeight="1">
      <c r="A71" s="19"/>
      <c r="B71" s="20"/>
      <c r="C71" s="20"/>
      <c r="D71" s="19"/>
      <c r="E71" s="19"/>
      <c r="F71" s="19"/>
      <c r="G71" s="19"/>
      <c r="H71" s="20"/>
      <c r="I71" s="61"/>
      <c r="J71" s="61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5.75" customHeight="1">
      <c r="A72" s="19"/>
      <c r="B72" s="20"/>
      <c r="C72" s="20"/>
      <c r="D72" s="19"/>
      <c r="E72" s="19"/>
      <c r="F72" s="19"/>
      <c r="G72" s="19"/>
      <c r="H72" s="20"/>
      <c r="I72" s="61"/>
      <c r="J72" s="61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5.75" customHeight="1">
      <c r="A73" s="19"/>
      <c r="B73" s="20"/>
      <c r="C73" s="20"/>
      <c r="D73" s="19"/>
      <c r="E73" s="19"/>
      <c r="F73" s="19"/>
      <c r="G73" s="19"/>
      <c r="H73" s="20"/>
      <c r="I73" s="61"/>
      <c r="J73" s="61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5.75" customHeight="1">
      <c r="A74" s="19"/>
      <c r="B74" s="20"/>
      <c r="C74" s="20"/>
      <c r="D74" s="19"/>
      <c r="E74" s="19"/>
      <c r="F74" s="19"/>
      <c r="G74" s="19"/>
      <c r="H74" s="20"/>
      <c r="I74" s="61"/>
      <c r="J74" s="61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5.75" customHeight="1">
      <c r="A75" s="19"/>
      <c r="B75" s="20"/>
      <c r="C75" s="20"/>
      <c r="D75" s="19"/>
      <c r="E75" s="19"/>
      <c r="F75" s="19"/>
      <c r="G75" s="19"/>
      <c r="H75" s="20"/>
      <c r="I75" s="61"/>
      <c r="J75" s="61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5.75" customHeight="1">
      <c r="A76" s="19"/>
      <c r="B76" s="20"/>
      <c r="C76" s="20"/>
      <c r="D76" s="19"/>
      <c r="E76" s="19"/>
      <c r="F76" s="19"/>
      <c r="G76" s="19"/>
      <c r="H76" s="20"/>
      <c r="I76" s="61"/>
      <c r="J76" s="61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5.75" customHeight="1">
      <c r="A77" s="19"/>
      <c r="B77" s="20"/>
      <c r="C77" s="20"/>
      <c r="D77" s="19"/>
      <c r="E77" s="19"/>
      <c r="F77" s="19"/>
      <c r="G77" s="19"/>
      <c r="H77" s="20"/>
      <c r="I77" s="61"/>
      <c r="J77" s="61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5.75" customHeight="1">
      <c r="A78" s="19"/>
      <c r="B78" s="20"/>
      <c r="C78" s="20"/>
      <c r="D78" s="19"/>
      <c r="E78" s="19"/>
      <c r="F78" s="19"/>
      <c r="G78" s="19"/>
      <c r="H78" s="20"/>
      <c r="I78" s="61"/>
      <c r="J78" s="61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5.75" customHeight="1">
      <c r="A79" s="19"/>
      <c r="B79" s="20"/>
      <c r="C79" s="20"/>
      <c r="D79" s="19"/>
      <c r="E79" s="19"/>
      <c r="F79" s="19"/>
      <c r="G79" s="19"/>
      <c r="H79" s="20"/>
      <c r="I79" s="61"/>
      <c r="J79" s="61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5.75" customHeight="1">
      <c r="A80" s="19"/>
      <c r="B80" s="20"/>
      <c r="C80" s="20"/>
      <c r="D80" s="19"/>
      <c r="E80" s="19"/>
      <c r="F80" s="19"/>
      <c r="G80" s="19"/>
      <c r="H80" s="20"/>
      <c r="I80" s="61"/>
      <c r="J80" s="61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15.75" customHeight="1">
      <c r="A81" s="19"/>
      <c r="B81" s="20"/>
      <c r="C81" s="20"/>
      <c r="D81" s="19"/>
      <c r="E81" s="19"/>
      <c r="F81" s="19"/>
      <c r="G81" s="19"/>
      <c r="H81" s="20"/>
      <c r="I81" s="61"/>
      <c r="J81" s="61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5.75" customHeight="1">
      <c r="A82" s="19"/>
      <c r="B82" s="20"/>
      <c r="C82" s="20"/>
      <c r="D82" s="19"/>
      <c r="E82" s="19"/>
      <c r="F82" s="19"/>
      <c r="G82" s="19"/>
      <c r="H82" s="20"/>
      <c r="I82" s="61"/>
      <c r="J82" s="61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5.75" customHeight="1">
      <c r="A83" s="19"/>
      <c r="B83" s="20"/>
      <c r="C83" s="20"/>
      <c r="D83" s="19"/>
      <c r="E83" s="19"/>
      <c r="F83" s="19"/>
      <c r="G83" s="19"/>
      <c r="H83" s="20"/>
      <c r="I83" s="61"/>
      <c r="J83" s="61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5.75" customHeight="1">
      <c r="A84" s="19"/>
      <c r="B84" s="20"/>
      <c r="C84" s="20"/>
      <c r="D84" s="19"/>
      <c r="E84" s="19"/>
      <c r="F84" s="19"/>
      <c r="G84" s="19"/>
      <c r="H84" s="20"/>
      <c r="I84" s="61"/>
      <c r="J84" s="61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5.75" customHeight="1">
      <c r="A85" s="19"/>
      <c r="B85" s="20"/>
      <c r="C85" s="20"/>
      <c r="D85" s="19"/>
      <c r="E85" s="19"/>
      <c r="F85" s="19"/>
      <c r="G85" s="19"/>
      <c r="H85" s="20"/>
      <c r="I85" s="61"/>
      <c r="J85" s="61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5.75" customHeight="1">
      <c r="A86" s="19"/>
      <c r="B86" s="20"/>
      <c r="C86" s="20"/>
      <c r="D86" s="19"/>
      <c r="E86" s="19"/>
      <c r="F86" s="19"/>
      <c r="G86" s="19"/>
      <c r="H86" s="20"/>
      <c r="I86" s="61"/>
      <c r="J86" s="61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5.75" customHeight="1">
      <c r="A87" s="19"/>
      <c r="B87" s="20"/>
      <c r="C87" s="20"/>
      <c r="D87" s="19"/>
      <c r="E87" s="19"/>
      <c r="F87" s="19"/>
      <c r="G87" s="19"/>
      <c r="H87" s="20"/>
      <c r="I87" s="61"/>
      <c r="J87" s="61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5.75" customHeight="1">
      <c r="A88" s="19"/>
      <c r="B88" s="20"/>
      <c r="C88" s="20"/>
      <c r="D88" s="19"/>
      <c r="E88" s="19"/>
      <c r="F88" s="19"/>
      <c r="G88" s="19"/>
      <c r="H88" s="20"/>
      <c r="I88" s="61"/>
      <c r="J88" s="61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5.75" customHeight="1">
      <c r="A89" s="19"/>
      <c r="B89" s="20"/>
      <c r="C89" s="20"/>
      <c r="D89" s="19"/>
      <c r="E89" s="19"/>
      <c r="F89" s="19"/>
      <c r="G89" s="19"/>
      <c r="H89" s="20"/>
      <c r="I89" s="61"/>
      <c r="J89" s="61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5.75" customHeight="1">
      <c r="A90" s="19"/>
      <c r="B90" s="20"/>
      <c r="C90" s="20"/>
      <c r="D90" s="19"/>
      <c r="E90" s="19"/>
      <c r="F90" s="19"/>
      <c r="G90" s="19"/>
      <c r="H90" s="20"/>
      <c r="I90" s="61"/>
      <c r="J90" s="61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5.75" customHeight="1">
      <c r="A91" s="19"/>
      <c r="B91" s="20"/>
      <c r="C91" s="20"/>
      <c r="D91" s="19"/>
      <c r="E91" s="19"/>
      <c r="F91" s="19"/>
      <c r="G91" s="19"/>
      <c r="H91" s="20"/>
      <c r="I91" s="61"/>
      <c r="J91" s="61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5.75" customHeight="1">
      <c r="A92" s="19"/>
      <c r="B92" s="20"/>
      <c r="C92" s="20"/>
      <c r="D92" s="19"/>
      <c r="E92" s="19"/>
      <c r="F92" s="19"/>
      <c r="G92" s="19"/>
      <c r="H92" s="20"/>
      <c r="I92" s="61"/>
      <c r="J92" s="61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5.75" customHeight="1">
      <c r="A93" s="19"/>
      <c r="B93" s="20"/>
      <c r="C93" s="20"/>
      <c r="D93" s="19"/>
      <c r="E93" s="19"/>
      <c r="F93" s="19"/>
      <c r="G93" s="19"/>
      <c r="H93" s="20"/>
      <c r="I93" s="61"/>
      <c r="J93" s="61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5.75" customHeight="1">
      <c r="A94" s="19"/>
      <c r="B94" s="20"/>
      <c r="C94" s="20"/>
      <c r="D94" s="19"/>
      <c r="E94" s="19"/>
      <c r="F94" s="19"/>
      <c r="G94" s="19"/>
      <c r="H94" s="20"/>
      <c r="I94" s="61"/>
      <c r="J94" s="61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15.75" customHeight="1">
      <c r="A95" s="19"/>
      <c r="B95" s="20"/>
      <c r="C95" s="20"/>
      <c r="D95" s="19"/>
      <c r="E95" s="19"/>
      <c r="F95" s="19"/>
      <c r="G95" s="19"/>
      <c r="H95" s="20"/>
      <c r="I95" s="61"/>
      <c r="J95" s="61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5.75" customHeight="1">
      <c r="A96" s="19"/>
      <c r="B96" s="20"/>
      <c r="C96" s="20"/>
      <c r="D96" s="19"/>
      <c r="E96" s="19"/>
      <c r="F96" s="19"/>
      <c r="G96" s="19"/>
      <c r="H96" s="20"/>
      <c r="I96" s="61"/>
      <c r="J96" s="61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5.75" customHeight="1">
      <c r="A97" s="19"/>
      <c r="B97" s="20"/>
      <c r="C97" s="20"/>
      <c r="D97" s="19"/>
      <c r="E97" s="19"/>
      <c r="F97" s="19"/>
      <c r="G97" s="19"/>
      <c r="H97" s="20"/>
      <c r="I97" s="61"/>
      <c r="J97" s="61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5.75" customHeight="1">
      <c r="A98" s="19"/>
      <c r="B98" s="20"/>
      <c r="C98" s="20"/>
      <c r="D98" s="19"/>
      <c r="E98" s="19"/>
      <c r="F98" s="19"/>
      <c r="G98" s="19"/>
      <c r="H98" s="20"/>
      <c r="I98" s="61"/>
      <c r="J98" s="61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5.75" customHeight="1">
      <c r="A99" s="19"/>
      <c r="B99" s="20"/>
      <c r="C99" s="20"/>
      <c r="D99" s="19"/>
      <c r="E99" s="19"/>
      <c r="F99" s="19"/>
      <c r="G99" s="19"/>
      <c r="H99" s="20"/>
      <c r="I99" s="61"/>
      <c r="J99" s="61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5.75" customHeight="1">
      <c r="A100" s="19"/>
      <c r="B100" s="20"/>
      <c r="C100" s="20"/>
      <c r="D100" s="19"/>
      <c r="E100" s="19"/>
      <c r="F100" s="19"/>
      <c r="G100" s="19"/>
      <c r="H100" s="20"/>
      <c r="I100" s="61"/>
      <c r="J100" s="61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5.75" customHeight="1">
      <c r="A101" s="19"/>
      <c r="B101" s="20"/>
      <c r="C101" s="20"/>
      <c r="D101" s="19"/>
      <c r="E101" s="19"/>
      <c r="F101" s="19"/>
      <c r="G101" s="19"/>
      <c r="H101" s="20"/>
      <c r="I101" s="61"/>
      <c r="J101" s="61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5.75" customHeight="1">
      <c r="A102" s="19"/>
      <c r="B102" s="20"/>
      <c r="C102" s="20"/>
      <c r="D102" s="19"/>
      <c r="E102" s="19"/>
      <c r="F102" s="19"/>
      <c r="G102" s="19"/>
      <c r="H102" s="20"/>
      <c r="I102" s="61"/>
      <c r="J102" s="61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5.75" customHeight="1">
      <c r="A103" s="19"/>
      <c r="B103" s="20"/>
      <c r="C103" s="20"/>
      <c r="D103" s="19"/>
      <c r="E103" s="19"/>
      <c r="F103" s="19"/>
      <c r="G103" s="19"/>
      <c r="H103" s="20"/>
      <c r="I103" s="61"/>
      <c r="J103" s="61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5.75" customHeight="1">
      <c r="A104" s="19"/>
      <c r="B104" s="20"/>
      <c r="C104" s="20"/>
      <c r="D104" s="19"/>
      <c r="E104" s="19"/>
      <c r="F104" s="19"/>
      <c r="G104" s="19"/>
      <c r="H104" s="20"/>
      <c r="I104" s="61"/>
      <c r="J104" s="61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5.75" customHeight="1">
      <c r="A105" s="19"/>
      <c r="B105" s="20"/>
      <c r="C105" s="20"/>
      <c r="D105" s="19"/>
      <c r="E105" s="19"/>
      <c r="F105" s="19"/>
      <c r="G105" s="19"/>
      <c r="H105" s="20"/>
      <c r="I105" s="61"/>
      <c r="J105" s="61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5.75" customHeight="1">
      <c r="A106" s="19"/>
      <c r="B106" s="20"/>
      <c r="C106" s="20"/>
      <c r="D106" s="19"/>
      <c r="E106" s="19"/>
      <c r="F106" s="19"/>
      <c r="G106" s="19"/>
      <c r="H106" s="20"/>
      <c r="I106" s="61"/>
      <c r="J106" s="61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5.75" customHeight="1">
      <c r="A107" s="19"/>
      <c r="B107" s="20"/>
      <c r="C107" s="20"/>
      <c r="D107" s="19"/>
      <c r="E107" s="19"/>
      <c r="F107" s="19"/>
      <c r="G107" s="19"/>
      <c r="H107" s="20"/>
      <c r="I107" s="61"/>
      <c r="J107" s="61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5.75" customHeight="1">
      <c r="A108" s="19"/>
      <c r="B108" s="20"/>
      <c r="C108" s="20"/>
      <c r="D108" s="19"/>
      <c r="E108" s="19"/>
      <c r="F108" s="19"/>
      <c r="G108" s="19"/>
      <c r="H108" s="20"/>
      <c r="I108" s="61"/>
      <c r="J108" s="61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5.75" customHeight="1">
      <c r="A109" s="19"/>
      <c r="B109" s="20"/>
      <c r="C109" s="20"/>
      <c r="D109" s="19"/>
      <c r="E109" s="19"/>
      <c r="F109" s="19"/>
      <c r="G109" s="19"/>
      <c r="H109" s="20"/>
      <c r="I109" s="61"/>
      <c r="J109" s="61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5.75" customHeight="1">
      <c r="A110" s="19"/>
      <c r="B110" s="20"/>
      <c r="C110" s="20"/>
      <c r="D110" s="19"/>
      <c r="E110" s="19"/>
      <c r="F110" s="19"/>
      <c r="G110" s="19"/>
      <c r="H110" s="20"/>
      <c r="I110" s="61"/>
      <c r="J110" s="61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5.75" customHeight="1">
      <c r="A111" s="19"/>
      <c r="B111" s="20"/>
      <c r="C111" s="20"/>
      <c r="D111" s="19"/>
      <c r="E111" s="19"/>
      <c r="F111" s="19"/>
      <c r="G111" s="19"/>
      <c r="H111" s="20"/>
      <c r="I111" s="61"/>
      <c r="J111" s="61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5.75" customHeight="1">
      <c r="A112" s="19"/>
      <c r="B112" s="20"/>
      <c r="C112" s="20"/>
      <c r="D112" s="19"/>
      <c r="E112" s="19"/>
      <c r="F112" s="19"/>
      <c r="G112" s="19"/>
      <c r="H112" s="20"/>
      <c r="I112" s="61"/>
      <c r="J112" s="61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15.75" customHeight="1">
      <c r="A113" s="19"/>
      <c r="B113" s="20"/>
      <c r="C113" s="20"/>
      <c r="D113" s="19"/>
      <c r="E113" s="19"/>
      <c r="F113" s="19"/>
      <c r="G113" s="19"/>
      <c r="H113" s="20"/>
      <c r="I113" s="61"/>
      <c r="J113" s="61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5.75" customHeight="1">
      <c r="A114" s="19"/>
      <c r="B114" s="20"/>
      <c r="C114" s="20"/>
      <c r="D114" s="19"/>
      <c r="E114" s="19"/>
      <c r="F114" s="19"/>
      <c r="G114" s="19"/>
      <c r="H114" s="20"/>
      <c r="I114" s="61"/>
      <c r="J114" s="61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5.75" customHeight="1">
      <c r="A115" s="19"/>
      <c r="B115" s="20"/>
      <c r="C115" s="20"/>
      <c r="D115" s="19"/>
      <c r="E115" s="19"/>
      <c r="F115" s="19"/>
      <c r="G115" s="19"/>
      <c r="H115" s="20"/>
      <c r="I115" s="61"/>
      <c r="J115" s="61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5.75" customHeight="1">
      <c r="A116" s="19"/>
      <c r="B116" s="20"/>
      <c r="C116" s="20"/>
      <c r="D116" s="19"/>
      <c r="E116" s="19"/>
      <c r="F116" s="19"/>
      <c r="G116" s="19"/>
      <c r="H116" s="20"/>
      <c r="I116" s="61"/>
      <c r="J116" s="61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5.75" customHeight="1">
      <c r="A117" s="19"/>
      <c r="B117" s="20"/>
      <c r="C117" s="20"/>
      <c r="D117" s="19"/>
      <c r="E117" s="19"/>
      <c r="F117" s="19"/>
      <c r="G117" s="19"/>
      <c r="H117" s="20"/>
      <c r="I117" s="61"/>
      <c r="J117" s="61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5.75" customHeight="1">
      <c r="A118" s="19"/>
      <c r="B118" s="20"/>
      <c r="C118" s="20"/>
      <c r="D118" s="19"/>
      <c r="E118" s="19"/>
      <c r="F118" s="19"/>
      <c r="G118" s="19"/>
      <c r="H118" s="20"/>
      <c r="I118" s="61"/>
      <c r="J118" s="61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5.75" customHeight="1">
      <c r="A119" s="19"/>
      <c r="B119" s="20"/>
      <c r="C119" s="20"/>
      <c r="D119" s="19"/>
      <c r="E119" s="19"/>
      <c r="F119" s="19"/>
      <c r="G119" s="19"/>
      <c r="H119" s="20"/>
      <c r="I119" s="61"/>
      <c r="J119" s="61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5.75" customHeight="1">
      <c r="A120" s="19"/>
      <c r="B120" s="20"/>
      <c r="C120" s="20"/>
      <c r="D120" s="19"/>
      <c r="E120" s="19"/>
      <c r="F120" s="19"/>
      <c r="G120" s="19"/>
      <c r="H120" s="20"/>
      <c r="I120" s="61"/>
      <c r="J120" s="61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5.75" customHeight="1">
      <c r="A121" s="19"/>
      <c r="B121" s="20"/>
      <c r="C121" s="20"/>
      <c r="D121" s="19"/>
      <c r="E121" s="19"/>
      <c r="F121" s="19"/>
      <c r="G121" s="19"/>
      <c r="H121" s="20"/>
      <c r="I121" s="61"/>
      <c r="J121" s="61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5.75" customHeight="1">
      <c r="A122" s="19"/>
      <c r="B122" s="20"/>
      <c r="C122" s="20"/>
      <c r="D122" s="19"/>
      <c r="E122" s="19"/>
      <c r="F122" s="19"/>
      <c r="G122" s="19"/>
      <c r="H122" s="20"/>
      <c r="I122" s="61"/>
      <c r="J122" s="61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5.75" customHeight="1">
      <c r="A123" s="19"/>
      <c r="B123" s="20"/>
      <c r="C123" s="20"/>
      <c r="D123" s="19"/>
      <c r="E123" s="19"/>
      <c r="F123" s="19"/>
      <c r="G123" s="19"/>
      <c r="H123" s="20"/>
      <c r="I123" s="61"/>
      <c r="J123" s="61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5.75" customHeight="1">
      <c r="A124" s="19"/>
      <c r="B124" s="20"/>
      <c r="C124" s="20"/>
      <c r="D124" s="19"/>
      <c r="E124" s="19"/>
      <c r="F124" s="19"/>
      <c r="G124" s="19"/>
      <c r="H124" s="20"/>
      <c r="I124" s="61"/>
      <c r="J124" s="61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5.75" customHeight="1">
      <c r="A125" s="19"/>
      <c r="B125" s="20"/>
      <c r="C125" s="20"/>
      <c r="D125" s="19"/>
      <c r="E125" s="19"/>
      <c r="F125" s="19"/>
      <c r="G125" s="19"/>
      <c r="H125" s="20"/>
      <c r="I125" s="61"/>
      <c r="J125" s="61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15.75" customHeight="1">
      <c r="A126" s="19"/>
      <c r="B126" s="20"/>
      <c r="C126" s="20"/>
      <c r="D126" s="19"/>
      <c r="E126" s="19"/>
      <c r="F126" s="19"/>
      <c r="G126" s="19"/>
      <c r="H126" s="20"/>
      <c r="I126" s="61"/>
      <c r="J126" s="61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5.75" customHeight="1">
      <c r="A127" s="19"/>
      <c r="B127" s="20"/>
      <c r="C127" s="20"/>
      <c r="D127" s="19"/>
      <c r="E127" s="19"/>
      <c r="F127" s="19"/>
      <c r="G127" s="19"/>
      <c r="H127" s="20"/>
      <c r="I127" s="61"/>
      <c r="J127" s="61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5.75" customHeight="1">
      <c r="A128" s="19"/>
      <c r="B128" s="20"/>
      <c r="C128" s="20"/>
      <c r="D128" s="19"/>
      <c r="E128" s="19"/>
      <c r="F128" s="19"/>
      <c r="G128" s="19"/>
      <c r="H128" s="20"/>
      <c r="I128" s="61"/>
      <c r="J128" s="61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15.75" customHeight="1">
      <c r="A129" s="19"/>
      <c r="B129" s="20"/>
      <c r="C129" s="20"/>
      <c r="D129" s="19"/>
      <c r="E129" s="19"/>
      <c r="F129" s="19"/>
      <c r="G129" s="19"/>
      <c r="H129" s="20"/>
      <c r="I129" s="61"/>
      <c r="J129" s="61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15.75" customHeight="1">
      <c r="A130" s="19"/>
      <c r="B130" s="20"/>
      <c r="C130" s="20"/>
      <c r="D130" s="19"/>
      <c r="E130" s="19"/>
      <c r="F130" s="19"/>
      <c r="G130" s="19"/>
      <c r="H130" s="20"/>
      <c r="I130" s="61"/>
      <c r="J130" s="61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15.75" customHeight="1">
      <c r="A131" s="19"/>
      <c r="B131" s="20"/>
      <c r="C131" s="20"/>
      <c r="D131" s="19"/>
      <c r="E131" s="19"/>
      <c r="F131" s="19"/>
      <c r="G131" s="19"/>
      <c r="H131" s="20"/>
      <c r="I131" s="61"/>
      <c r="J131" s="61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15.75" customHeight="1">
      <c r="A132" s="19"/>
      <c r="B132" s="20"/>
      <c r="C132" s="20"/>
      <c r="D132" s="19"/>
      <c r="E132" s="19"/>
      <c r="F132" s="19"/>
      <c r="G132" s="19"/>
      <c r="H132" s="20"/>
      <c r="I132" s="61"/>
      <c r="J132" s="61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15.75" customHeight="1">
      <c r="A133" s="19"/>
      <c r="B133" s="20"/>
      <c r="C133" s="20"/>
      <c r="D133" s="19"/>
      <c r="E133" s="19"/>
      <c r="F133" s="19"/>
      <c r="G133" s="19"/>
      <c r="H133" s="20"/>
      <c r="I133" s="61"/>
      <c r="J133" s="61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15.75" customHeight="1">
      <c r="A134" s="19"/>
      <c r="B134" s="20"/>
      <c r="C134" s="20"/>
      <c r="D134" s="19"/>
      <c r="E134" s="19"/>
      <c r="F134" s="19"/>
      <c r="G134" s="19"/>
      <c r="H134" s="20"/>
      <c r="I134" s="61"/>
      <c r="J134" s="61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15.75" customHeight="1">
      <c r="A135" s="19"/>
      <c r="B135" s="20"/>
      <c r="C135" s="20"/>
      <c r="D135" s="19"/>
      <c r="E135" s="19"/>
      <c r="F135" s="19"/>
      <c r="G135" s="19"/>
      <c r="H135" s="20"/>
      <c r="I135" s="61"/>
      <c r="J135" s="61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5.75" customHeight="1">
      <c r="A136" s="19"/>
      <c r="B136" s="20"/>
      <c r="C136" s="20"/>
      <c r="D136" s="19"/>
      <c r="E136" s="19"/>
      <c r="F136" s="19"/>
      <c r="G136" s="19"/>
      <c r="H136" s="20"/>
      <c r="I136" s="61"/>
      <c r="J136" s="61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15.75" customHeight="1">
      <c r="A137" s="19"/>
      <c r="B137" s="20"/>
      <c r="C137" s="20"/>
      <c r="D137" s="19"/>
      <c r="E137" s="19"/>
      <c r="F137" s="19"/>
      <c r="G137" s="19"/>
      <c r="H137" s="20"/>
      <c r="I137" s="61"/>
      <c r="J137" s="61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15.75" customHeight="1">
      <c r="A138" s="19"/>
      <c r="B138" s="20"/>
      <c r="C138" s="20"/>
      <c r="D138" s="19"/>
      <c r="E138" s="19"/>
      <c r="F138" s="19"/>
      <c r="G138" s="19"/>
      <c r="H138" s="20"/>
      <c r="I138" s="61"/>
      <c r="J138" s="61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5.75" customHeight="1">
      <c r="A139" s="19"/>
      <c r="B139" s="20"/>
      <c r="C139" s="20"/>
      <c r="D139" s="19"/>
      <c r="E139" s="19"/>
      <c r="F139" s="19"/>
      <c r="G139" s="19"/>
      <c r="H139" s="20"/>
      <c r="I139" s="61"/>
      <c r="J139" s="61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15.75" customHeight="1">
      <c r="A140" s="19"/>
      <c r="B140" s="20"/>
      <c r="C140" s="20"/>
      <c r="D140" s="19"/>
      <c r="E140" s="19"/>
      <c r="F140" s="19"/>
      <c r="G140" s="19"/>
      <c r="H140" s="20"/>
      <c r="I140" s="61"/>
      <c r="J140" s="61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5.75" customHeight="1">
      <c r="A141" s="19"/>
      <c r="B141" s="20"/>
      <c r="C141" s="20"/>
      <c r="D141" s="19"/>
      <c r="E141" s="19"/>
      <c r="F141" s="19"/>
      <c r="G141" s="19"/>
      <c r="H141" s="20"/>
      <c r="I141" s="61"/>
      <c r="J141" s="61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5.75" customHeight="1">
      <c r="A142" s="19"/>
      <c r="B142" s="20"/>
      <c r="C142" s="20"/>
      <c r="D142" s="19"/>
      <c r="E142" s="19"/>
      <c r="F142" s="19"/>
      <c r="G142" s="19"/>
      <c r="H142" s="20"/>
      <c r="I142" s="61"/>
      <c r="J142" s="61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5.75" customHeight="1">
      <c r="A143" s="19"/>
      <c r="B143" s="20"/>
      <c r="C143" s="20"/>
      <c r="D143" s="19"/>
      <c r="E143" s="19"/>
      <c r="F143" s="19"/>
      <c r="G143" s="19"/>
      <c r="H143" s="20"/>
      <c r="I143" s="61"/>
      <c r="J143" s="61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15.75" customHeight="1">
      <c r="A144" s="19"/>
      <c r="B144" s="20"/>
      <c r="C144" s="20"/>
      <c r="D144" s="19"/>
      <c r="E144" s="19"/>
      <c r="F144" s="19"/>
      <c r="G144" s="19"/>
      <c r="H144" s="20"/>
      <c r="I144" s="61"/>
      <c r="J144" s="61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5.75" customHeight="1">
      <c r="A145" s="19"/>
      <c r="B145" s="20"/>
      <c r="C145" s="20"/>
      <c r="D145" s="19"/>
      <c r="E145" s="19"/>
      <c r="F145" s="19"/>
      <c r="G145" s="19"/>
      <c r="H145" s="20"/>
      <c r="I145" s="61"/>
      <c r="J145" s="61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5.75" customHeight="1">
      <c r="A146" s="19"/>
      <c r="B146" s="20"/>
      <c r="C146" s="20"/>
      <c r="D146" s="19"/>
      <c r="E146" s="19"/>
      <c r="F146" s="19"/>
      <c r="G146" s="19"/>
      <c r="H146" s="20"/>
      <c r="I146" s="61"/>
      <c r="J146" s="61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5.75" customHeight="1">
      <c r="A147" s="19"/>
      <c r="B147" s="20"/>
      <c r="C147" s="20"/>
      <c r="D147" s="19"/>
      <c r="E147" s="19"/>
      <c r="F147" s="19"/>
      <c r="G147" s="19"/>
      <c r="H147" s="20"/>
      <c r="I147" s="61"/>
      <c r="J147" s="61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5.75" customHeight="1">
      <c r="A148" s="19"/>
      <c r="B148" s="20"/>
      <c r="C148" s="20"/>
      <c r="D148" s="19"/>
      <c r="E148" s="19"/>
      <c r="F148" s="19"/>
      <c r="G148" s="19"/>
      <c r="H148" s="20"/>
      <c r="I148" s="61"/>
      <c r="J148" s="61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5.75" customHeight="1">
      <c r="A149" s="19"/>
      <c r="B149" s="20"/>
      <c r="C149" s="20"/>
      <c r="D149" s="19"/>
      <c r="E149" s="19"/>
      <c r="F149" s="19"/>
      <c r="G149" s="19"/>
      <c r="H149" s="20"/>
      <c r="I149" s="61"/>
      <c r="J149" s="61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15.75" customHeight="1">
      <c r="A150" s="19"/>
      <c r="B150" s="20"/>
      <c r="C150" s="20"/>
      <c r="D150" s="19"/>
      <c r="E150" s="19"/>
      <c r="F150" s="19"/>
      <c r="G150" s="19"/>
      <c r="H150" s="20"/>
      <c r="I150" s="61"/>
      <c r="J150" s="61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5.75" customHeight="1">
      <c r="A151" s="19"/>
      <c r="B151" s="20"/>
      <c r="C151" s="20"/>
      <c r="D151" s="19"/>
      <c r="E151" s="19"/>
      <c r="F151" s="19"/>
      <c r="G151" s="19"/>
      <c r="H151" s="20"/>
      <c r="I151" s="61"/>
      <c r="J151" s="61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5.75" customHeight="1">
      <c r="A152" s="19"/>
      <c r="B152" s="20"/>
      <c r="C152" s="20"/>
      <c r="D152" s="19"/>
      <c r="E152" s="19"/>
      <c r="F152" s="19"/>
      <c r="G152" s="19"/>
      <c r="H152" s="20"/>
      <c r="I152" s="61"/>
      <c r="J152" s="61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5.75" customHeight="1">
      <c r="A153" s="19"/>
      <c r="B153" s="20"/>
      <c r="C153" s="20"/>
      <c r="D153" s="19"/>
      <c r="E153" s="19"/>
      <c r="F153" s="19"/>
      <c r="G153" s="19"/>
      <c r="H153" s="20"/>
      <c r="I153" s="61"/>
      <c r="J153" s="61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5.75" customHeight="1">
      <c r="A154" s="19"/>
      <c r="B154" s="20"/>
      <c r="C154" s="20"/>
      <c r="D154" s="19"/>
      <c r="E154" s="19"/>
      <c r="F154" s="19"/>
      <c r="G154" s="19"/>
      <c r="H154" s="20"/>
      <c r="I154" s="61"/>
      <c r="J154" s="61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5.75" customHeight="1">
      <c r="A155" s="19"/>
      <c r="B155" s="20"/>
      <c r="C155" s="20"/>
      <c r="D155" s="19"/>
      <c r="E155" s="19"/>
      <c r="F155" s="19"/>
      <c r="G155" s="19"/>
      <c r="H155" s="20"/>
      <c r="I155" s="61"/>
      <c r="J155" s="61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5.75" customHeight="1">
      <c r="A156" s="19"/>
      <c r="B156" s="20"/>
      <c r="C156" s="20"/>
      <c r="D156" s="19"/>
      <c r="E156" s="19"/>
      <c r="F156" s="19"/>
      <c r="G156" s="19"/>
      <c r="H156" s="20"/>
      <c r="I156" s="61"/>
      <c r="J156" s="61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5.75" customHeight="1">
      <c r="A157" s="19"/>
      <c r="B157" s="20"/>
      <c r="C157" s="20"/>
      <c r="D157" s="19"/>
      <c r="E157" s="19"/>
      <c r="F157" s="19"/>
      <c r="G157" s="19"/>
      <c r="H157" s="20"/>
      <c r="I157" s="61"/>
      <c r="J157" s="61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15.75" customHeight="1">
      <c r="A158" s="19"/>
      <c r="B158" s="20"/>
      <c r="C158" s="20"/>
      <c r="D158" s="19"/>
      <c r="E158" s="19"/>
      <c r="F158" s="19"/>
      <c r="G158" s="19"/>
      <c r="H158" s="20"/>
      <c r="I158" s="61"/>
      <c r="J158" s="61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5.75" customHeight="1">
      <c r="A159" s="19"/>
      <c r="B159" s="20"/>
      <c r="C159" s="20"/>
      <c r="D159" s="19"/>
      <c r="E159" s="19"/>
      <c r="F159" s="19"/>
      <c r="G159" s="19"/>
      <c r="H159" s="20"/>
      <c r="I159" s="61"/>
      <c r="J159" s="61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5.75" customHeight="1">
      <c r="A160" s="19"/>
      <c r="B160" s="20"/>
      <c r="C160" s="20"/>
      <c r="D160" s="19"/>
      <c r="E160" s="19"/>
      <c r="F160" s="19"/>
      <c r="G160" s="19"/>
      <c r="H160" s="20"/>
      <c r="I160" s="61"/>
      <c r="J160" s="61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5.75" customHeight="1">
      <c r="A161" s="19"/>
      <c r="B161" s="20"/>
      <c r="C161" s="20"/>
      <c r="D161" s="19"/>
      <c r="E161" s="19"/>
      <c r="F161" s="19"/>
      <c r="G161" s="19"/>
      <c r="H161" s="20"/>
      <c r="I161" s="61"/>
      <c r="J161" s="61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5.75" customHeight="1">
      <c r="A162" s="19"/>
      <c r="B162" s="20"/>
      <c r="C162" s="20"/>
      <c r="D162" s="19"/>
      <c r="E162" s="19"/>
      <c r="F162" s="19"/>
      <c r="G162" s="19"/>
      <c r="H162" s="20"/>
      <c r="I162" s="61"/>
      <c r="J162" s="61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5.75" customHeight="1">
      <c r="A163" s="19"/>
      <c r="B163" s="20"/>
      <c r="C163" s="20"/>
      <c r="D163" s="19"/>
      <c r="E163" s="19"/>
      <c r="F163" s="19"/>
      <c r="G163" s="19"/>
      <c r="H163" s="20"/>
      <c r="I163" s="61"/>
      <c r="J163" s="61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5.75" customHeight="1">
      <c r="A164" s="19"/>
      <c r="B164" s="20"/>
      <c r="C164" s="20"/>
      <c r="D164" s="19"/>
      <c r="E164" s="19"/>
      <c r="F164" s="19"/>
      <c r="G164" s="19"/>
      <c r="H164" s="20"/>
      <c r="I164" s="61"/>
      <c r="J164" s="61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5.75" customHeight="1">
      <c r="A165" s="19"/>
      <c r="B165" s="20"/>
      <c r="C165" s="20"/>
      <c r="D165" s="19"/>
      <c r="E165" s="19"/>
      <c r="F165" s="19"/>
      <c r="G165" s="19"/>
      <c r="H165" s="20"/>
      <c r="I165" s="61"/>
      <c r="J165" s="61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5.75" customHeight="1">
      <c r="A166" s="19"/>
      <c r="B166" s="20"/>
      <c r="C166" s="20"/>
      <c r="D166" s="19"/>
      <c r="E166" s="19"/>
      <c r="F166" s="19"/>
      <c r="G166" s="19"/>
      <c r="H166" s="20"/>
      <c r="I166" s="61"/>
      <c r="J166" s="61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5.75" customHeight="1">
      <c r="A167" s="19"/>
      <c r="B167" s="20"/>
      <c r="C167" s="20"/>
      <c r="D167" s="19"/>
      <c r="E167" s="19"/>
      <c r="F167" s="19"/>
      <c r="G167" s="19"/>
      <c r="H167" s="20"/>
      <c r="I167" s="61"/>
      <c r="J167" s="61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5.75" customHeight="1">
      <c r="A168" s="19"/>
      <c r="B168" s="20"/>
      <c r="C168" s="20"/>
      <c r="D168" s="19"/>
      <c r="E168" s="19"/>
      <c r="F168" s="19"/>
      <c r="G168" s="19"/>
      <c r="H168" s="20"/>
      <c r="I168" s="61"/>
      <c r="J168" s="61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5.75" customHeight="1">
      <c r="A169" s="19"/>
      <c r="B169" s="20"/>
      <c r="C169" s="20"/>
      <c r="D169" s="19"/>
      <c r="E169" s="19"/>
      <c r="F169" s="19"/>
      <c r="G169" s="19"/>
      <c r="H169" s="20"/>
      <c r="I169" s="61"/>
      <c r="J169" s="61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5.75" customHeight="1">
      <c r="A170" s="19"/>
      <c r="B170" s="20"/>
      <c r="C170" s="20"/>
      <c r="D170" s="19"/>
      <c r="E170" s="19"/>
      <c r="F170" s="19"/>
      <c r="G170" s="19"/>
      <c r="H170" s="20"/>
      <c r="I170" s="61"/>
      <c r="J170" s="61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5.75" customHeight="1">
      <c r="A171" s="19"/>
      <c r="B171" s="20"/>
      <c r="C171" s="20"/>
      <c r="D171" s="19"/>
      <c r="E171" s="19"/>
      <c r="F171" s="19"/>
      <c r="G171" s="19"/>
      <c r="H171" s="20"/>
      <c r="I171" s="61"/>
      <c r="J171" s="61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5.75" customHeight="1">
      <c r="A172" s="19"/>
      <c r="B172" s="20"/>
      <c r="C172" s="20"/>
      <c r="D172" s="19"/>
      <c r="E172" s="19"/>
      <c r="F172" s="19"/>
      <c r="G172" s="19"/>
      <c r="H172" s="20"/>
      <c r="I172" s="61"/>
      <c r="J172" s="61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5.75" customHeight="1">
      <c r="A173" s="19"/>
      <c r="B173" s="20"/>
      <c r="C173" s="20"/>
      <c r="D173" s="19"/>
      <c r="E173" s="19"/>
      <c r="F173" s="19"/>
      <c r="G173" s="19"/>
      <c r="H173" s="20"/>
      <c r="I173" s="61"/>
      <c r="J173" s="61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5.75" customHeight="1">
      <c r="A174" s="19"/>
      <c r="B174" s="20"/>
      <c r="C174" s="20"/>
      <c r="D174" s="19"/>
      <c r="E174" s="19"/>
      <c r="F174" s="19"/>
      <c r="G174" s="19"/>
      <c r="H174" s="20"/>
      <c r="I174" s="61"/>
      <c r="J174" s="61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5.75" customHeight="1">
      <c r="A175" s="19"/>
      <c r="B175" s="20"/>
      <c r="C175" s="20"/>
      <c r="D175" s="19"/>
      <c r="E175" s="19"/>
      <c r="F175" s="19"/>
      <c r="G175" s="19"/>
      <c r="H175" s="20"/>
      <c r="I175" s="61"/>
      <c r="J175" s="61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5.75" customHeight="1">
      <c r="A176" s="19"/>
      <c r="B176" s="20"/>
      <c r="C176" s="20"/>
      <c r="D176" s="19"/>
      <c r="E176" s="19"/>
      <c r="F176" s="19"/>
      <c r="G176" s="19"/>
      <c r="H176" s="20"/>
      <c r="I176" s="61"/>
      <c r="J176" s="61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5.75" customHeight="1">
      <c r="A177" s="19"/>
      <c r="B177" s="20"/>
      <c r="C177" s="20"/>
      <c r="D177" s="19"/>
      <c r="E177" s="19"/>
      <c r="F177" s="19"/>
      <c r="G177" s="19"/>
      <c r="H177" s="20"/>
      <c r="I177" s="61"/>
      <c r="J177" s="61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5.75" customHeight="1">
      <c r="A178" s="19"/>
      <c r="B178" s="20"/>
      <c r="C178" s="20"/>
      <c r="D178" s="19"/>
      <c r="E178" s="19"/>
      <c r="F178" s="19"/>
      <c r="G178" s="19"/>
      <c r="H178" s="20"/>
      <c r="I178" s="61"/>
      <c r="J178" s="61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5.75" customHeight="1">
      <c r="A179" s="19"/>
      <c r="B179" s="20"/>
      <c r="C179" s="20"/>
      <c r="D179" s="19"/>
      <c r="E179" s="19"/>
      <c r="F179" s="19"/>
      <c r="G179" s="19"/>
      <c r="H179" s="20"/>
      <c r="I179" s="61"/>
      <c r="J179" s="61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5.75" customHeight="1">
      <c r="A180" s="19"/>
      <c r="B180" s="20"/>
      <c r="C180" s="20"/>
      <c r="D180" s="19"/>
      <c r="E180" s="19"/>
      <c r="F180" s="19"/>
      <c r="G180" s="19"/>
      <c r="H180" s="20"/>
      <c r="I180" s="61"/>
      <c r="J180" s="61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15.75" customHeight="1">
      <c r="A181" s="19"/>
      <c r="B181" s="20"/>
      <c r="C181" s="20"/>
      <c r="D181" s="19"/>
      <c r="E181" s="19"/>
      <c r="F181" s="19"/>
      <c r="G181" s="19"/>
      <c r="H181" s="20"/>
      <c r="I181" s="61"/>
      <c r="J181" s="61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5.75" customHeight="1">
      <c r="A182" s="19"/>
      <c r="B182" s="20"/>
      <c r="C182" s="20"/>
      <c r="D182" s="19"/>
      <c r="E182" s="19"/>
      <c r="F182" s="19"/>
      <c r="G182" s="19"/>
      <c r="H182" s="20"/>
      <c r="I182" s="61"/>
      <c r="J182" s="61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5.75" customHeight="1">
      <c r="A183" s="19"/>
      <c r="B183" s="20"/>
      <c r="C183" s="20"/>
      <c r="D183" s="19"/>
      <c r="E183" s="19"/>
      <c r="F183" s="19"/>
      <c r="G183" s="19"/>
      <c r="H183" s="20"/>
      <c r="I183" s="61"/>
      <c r="J183" s="61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5.75" customHeight="1">
      <c r="A184" s="19"/>
      <c r="B184" s="20"/>
      <c r="C184" s="20"/>
      <c r="D184" s="19"/>
      <c r="E184" s="19"/>
      <c r="F184" s="19"/>
      <c r="G184" s="19"/>
      <c r="H184" s="20"/>
      <c r="I184" s="61"/>
      <c r="J184" s="61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5.75" customHeight="1">
      <c r="A185" s="19"/>
      <c r="B185" s="20"/>
      <c r="C185" s="20"/>
      <c r="D185" s="19"/>
      <c r="E185" s="19"/>
      <c r="F185" s="19"/>
      <c r="G185" s="19"/>
      <c r="H185" s="20"/>
      <c r="I185" s="61"/>
      <c r="J185" s="61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5.75" customHeight="1">
      <c r="A186" s="19"/>
      <c r="B186" s="20"/>
      <c r="C186" s="20"/>
      <c r="D186" s="19"/>
      <c r="E186" s="19"/>
      <c r="F186" s="19"/>
      <c r="G186" s="19"/>
      <c r="H186" s="20"/>
      <c r="I186" s="61"/>
      <c r="J186" s="61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5.75" customHeight="1">
      <c r="A187" s="19"/>
      <c r="B187" s="20"/>
      <c r="C187" s="20"/>
      <c r="D187" s="19"/>
      <c r="E187" s="19"/>
      <c r="F187" s="19"/>
      <c r="G187" s="19"/>
      <c r="H187" s="20"/>
      <c r="I187" s="61"/>
      <c r="J187" s="61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5.75" customHeight="1">
      <c r="A188" s="19"/>
      <c r="B188" s="20"/>
      <c r="C188" s="20"/>
      <c r="D188" s="19"/>
      <c r="E188" s="19"/>
      <c r="F188" s="19"/>
      <c r="G188" s="19"/>
      <c r="H188" s="20"/>
      <c r="I188" s="61"/>
      <c r="J188" s="61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5.75" customHeight="1">
      <c r="A189" s="19"/>
      <c r="B189" s="20"/>
      <c r="C189" s="20"/>
      <c r="D189" s="19"/>
      <c r="E189" s="19"/>
      <c r="F189" s="19"/>
      <c r="G189" s="19"/>
      <c r="H189" s="20"/>
      <c r="I189" s="61"/>
      <c r="J189" s="61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15.75" customHeight="1">
      <c r="A190" s="19"/>
      <c r="B190" s="20"/>
      <c r="C190" s="20"/>
      <c r="D190" s="19"/>
      <c r="E190" s="19"/>
      <c r="F190" s="19"/>
      <c r="G190" s="19"/>
      <c r="H190" s="20"/>
      <c r="I190" s="61"/>
      <c r="J190" s="61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5.75" customHeight="1">
      <c r="A191" s="19"/>
      <c r="B191" s="20"/>
      <c r="C191" s="20"/>
      <c r="D191" s="19"/>
      <c r="E191" s="19"/>
      <c r="F191" s="19"/>
      <c r="G191" s="19"/>
      <c r="H191" s="20"/>
      <c r="I191" s="61"/>
      <c r="J191" s="61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5.75" customHeight="1">
      <c r="A192" s="19"/>
      <c r="B192" s="20"/>
      <c r="C192" s="20"/>
      <c r="D192" s="19"/>
      <c r="E192" s="19"/>
      <c r="F192" s="19"/>
      <c r="G192" s="19"/>
      <c r="H192" s="20"/>
      <c r="I192" s="61"/>
      <c r="J192" s="61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5.75" customHeight="1">
      <c r="A193" s="19"/>
      <c r="B193" s="20"/>
      <c r="C193" s="20"/>
      <c r="D193" s="19"/>
      <c r="E193" s="19"/>
      <c r="F193" s="19"/>
      <c r="G193" s="19"/>
      <c r="H193" s="20"/>
      <c r="I193" s="61"/>
      <c r="J193" s="61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5.75" customHeight="1">
      <c r="A194" s="19"/>
      <c r="B194" s="20"/>
      <c r="C194" s="20"/>
      <c r="D194" s="19"/>
      <c r="E194" s="19"/>
      <c r="F194" s="19"/>
      <c r="G194" s="19"/>
      <c r="H194" s="20"/>
      <c r="I194" s="61"/>
      <c r="J194" s="61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5.75" customHeight="1">
      <c r="A195" s="19"/>
      <c r="B195" s="20"/>
      <c r="C195" s="20"/>
      <c r="D195" s="19"/>
      <c r="E195" s="19"/>
      <c r="F195" s="19"/>
      <c r="G195" s="19"/>
      <c r="H195" s="20"/>
      <c r="I195" s="61"/>
      <c r="J195" s="61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5.75" customHeight="1">
      <c r="A196" s="19"/>
      <c r="B196" s="20"/>
      <c r="C196" s="20"/>
      <c r="D196" s="19"/>
      <c r="E196" s="19"/>
      <c r="F196" s="19"/>
      <c r="G196" s="19"/>
      <c r="H196" s="20"/>
      <c r="I196" s="61"/>
      <c r="J196" s="61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5.75" customHeight="1">
      <c r="A197" s="19"/>
      <c r="B197" s="20"/>
      <c r="C197" s="20"/>
      <c r="D197" s="19"/>
      <c r="E197" s="19"/>
      <c r="F197" s="19"/>
      <c r="G197" s="19"/>
      <c r="H197" s="20"/>
      <c r="I197" s="61"/>
      <c r="J197" s="61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5.75" customHeight="1">
      <c r="A198" s="19"/>
      <c r="B198" s="20"/>
      <c r="C198" s="20"/>
      <c r="D198" s="19"/>
      <c r="E198" s="19"/>
      <c r="F198" s="19"/>
      <c r="G198" s="19"/>
      <c r="H198" s="20"/>
      <c r="I198" s="61"/>
      <c r="J198" s="61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15.75" customHeight="1">
      <c r="A199" s="19"/>
      <c r="B199" s="20"/>
      <c r="C199" s="20"/>
      <c r="D199" s="19"/>
      <c r="E199" s="19"/>
      <c r="F199" s="19"/>
      <c r="G199" s="19"/>
      <c r="H199" s="20"/>
      <c r="I199" s="61"/>
      <c r="J199" s="61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5.75" customHeight="1">
      <c r="A200" s="19"/>
      <c r="B200" s="20"/>
      <c r="C200" s="20"/>
      <c r="D200" s="19"/>
      <c r="E200" s="19"/>
      <c r="F200" s="19"/>
      <c r="G200" s="19"/>
      <c r="H200" s="20"/>
      <c r="I200" s="61"/>
      <c r="J200" s="61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5.75" customHeight="1">
      <c r="A201" s="19"/>
      <c r="B201" s="20"/>
      <c r="C201" s="20"/>
      <c r="D201" s="19"/>
      <c r="E201" s="19"/>
      <c r="F201" s="19"/>
      <c r="G201" s="19"/>
      <c r="H201" s="20"/>
      <c r="I201" s="61"/>
      <c r="J201" s="61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5.75" customHeight="1">
      <c r="A202" s="19"/>
      <c r="B202" s="20"/>
      <c r="C202" s="20"/>
      <c r="D202" s="19"/>
      <c r="E202" s="19"/>
      <c r="F202" s="19"/>
      <c r="G202" s="19"/>
      <c r="H202" s="20"/>
      <c r="I202" s="61"/>
      <c r="J202" s="61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5.75" customHeight="1">
      <c r="A203" s="19"/>
      <c r="B203" s="20"/>
      <c r="C203" s="20"/>
      <c r="D203" s="19"/>
      <c r="E203" s="19"/>
      <c r="F203" s="19"/>
      <c r="G203" s="19"/>
      <c r="H203" s="20"/>
      <c r="I203" s="61"/>
      <c r="J203" s="61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5.75" customHeight="1">
      <c r="A204" s="19"/>
      <c r="B204" s="20"/>
      <c r="C204" s="20"/>
      <c r="D204" s="19"/>
      <c r="E204" s="19"/>
      <c r="F204" s="19"/>
      <c r="G204" s="19"/>
      <c r="H204" s="20"/>
      <c r="I204" s="61"/>
      <c r="J204" s="61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5.75" customHeight="1">
      <c r="A205" s="19"/>
      <c r="B205" s="20"/>
      <c r="C205" s="20"/>
      <c r="D205" s="19"/>
      <c r="E205" s="19"/>
      <c r="F205" s="19"/>
      <c r="G205" s="19"/>
      <c r="H205" s="20"/>
      <c r="I205" s="61"/>
      <c r="J205" s="61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15.75" customHeight="1">
      <c r="A206" s="19"/>
      <c r="B206" s="20"/>
      <c r="C206" s="20"/>
      <c r="D206" s="19"/>
      <c r="E206" s="19"/>
      <c r="F206" s="19"/>
      <c r="G206" s="19"/>
      <c r="H206" s="20"/>
      <c r="I206" s="61"/>
      <c r="J206" s="61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5.75" customHeight="1">
      <c r="A207" s="19"/>
      <c r="B207" s="20"/>
      <c r="C207" s="20"/>
      <c r="D207" s="19"/>
      <c r="E207" s="19"/>
      <c r="F207" s="19"/>
      <c r="G207" s="19"/>
      <c r="H207" s="20"/>
      <c r="I207" s="61"/>
      <c r="J207" s="61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15.75" customHeight="1">
      <c r="A208" s="19"/>
      <c r="B208" s="20"/>
      <c r="C208" s="20"/>
      <c r="D208" s="19"/>
      <c r="E208" s="19"/>
      <c r="F208" s="19"/>
      <c r="G208" s="19"/>
      <c r="H208" s="20"/>
      <c r="I208" s="61"/>
      <c r="J208" s="61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15.75" customHeight="1">
      <c r="A209" s="19"/>
      <c r="B209" s="20"/>
      <c r="C209" s="20"/>
      <c r="D209" s="19"/>
      <c r="E209" s="19"/>
      <c r="F209" s="19"/>
      <c r="G209" s="19"/>
      <c r="H209" s="20"/>
      <c r="I209" s="61"/>
      <c r="J209" s="61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15.75" customHeight="1">
      <c r="A210" s="19"/>
      <c r="B210" s="20"/>
      <c r="C210" s="20"/>
      <c r="D210" s="19"/>
      <c r="E210" s="19"/>
      <c r="F210" s="19"/>
      <c r="G210" s="19"/>
      <c r="H210" s="20"/>
      <c r="I210" s="61"/>
      <c r="J210" s="61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15.75" customHeight="1">
      <c r="A211" s="19"/>
      <c r="B211" s="20"/>
      <c r="C211" s="20"/>
      <c r="D211" s="19"/>
      <c r="E211" s="19"/>
      <c r="F211" s="19"/>
      <c r="G211" s="19"/>
      <c r="H211" s="20"/>
      <c r="I211" s="61"/>
      <c r="J211" s="61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15.75" customHeight="1">
      <c r="A212" s="19"/>
      <c r="B212" s="20"/>
      <c r="C212" s="20"/>
      <c r="D212" s="19"/>
      <c r="E212" s="19"/>
      <c r="F212" s="19"/>
      <c r="G212" s="19"/>
      <c r="H212" s="20"/>
      <c r="I212" s="61"/>
      <c r="J212" s="61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15.75" customHeight="1">
      <c r="A213" s="19"/>
      <c r="B213" s="20"/>
      <c r="C213" s="20"/>
      <c r="D213" s="19"/>
      <c r="E213" s="19"/>
      <c r="F213" s="19"/>
      <c r="G213" s="19"/>
      <c r="H213" s="20"/>
      <c r="I213" s="61"/>
      <c r="J213" s="61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15.75" customHeight="1">
      <c r="A214" s="19"/>
      <c r="B214" s="20"/>
      <c r="C214" s="20"/>
      <c r="D214" s="19"/>
      <c r="E214" s="19"/>
      <c r="F214" s="19"/>
      <c r="G214" s="19"/>
      <c r="H214" s="20"/>
      <c r="I214" s="61"/>
      <c r="J214" s="61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15.75" customHeight="1">
      <c r="A215" s="19"/>
      <c r="B215" s="20"/>
      <c r="C215" s="20"/>
      <c r="D215" s="19"/>
      <c r="E215" s="19"/>
      <c r="F215" s="19"/>
      <c r="G215" s="19"/>
      <c r="H215" s="20"/>
      <c r="I215" s="61"/>
      <c r="J215" s="61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15.75" customHeight="1">
      <c r="A216" s="19"/>
      <c r="B216" s="20"/>
      <c r="C216" s="20"/>
      <c r="D216" s="19"/>
      <c r="E216" s="19"/>
      <c r="F216" s="19"/>
      <c r="G216" s="19"/>
      <c r="H216" s="20"/>
      <c r="I216" s="61"/>
      <c r="J216" s="61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15.75" customHeight="1">
      <c r="A217" s="19"/>
      <c r="B217" s="20"/>
      <c r="C217" s="20"/>
      <c r="D217" s="19"/>
      <c r="E217" s="19"/>
      <c r="F217" s="19"/>
      <c r="G217" s="19"/>
      <c r="H217" s="20"/>
      <c r="I217" s="61"/>
      <c r="J217" s="61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15.75" customHeight="1">
      <c r="A218" s="19"/>
      <c r="B218" s="20"/>
      <c r="C218" s="20"/>
      <c r="D218" s="19"/>
      <c r="E218" s="19"/>
      <c r="F218" s="19"/>
      <c r="G218" s="19"/>
      <c r="H218" s="20"/>
      <c r="I218" s="61"/>
      <c r="J218" s="61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5.75" customHeight="1">
      <c r="A219" s="19"/>
      <c r="B219" s="20"/>
      <c r="C219" s="20"/>
      <c r="D219" s="19"/>
      <c r="E219" s="19"/>
      <c r="F219" s="19"/>
      <c r="G219" s="19"/>
      <c r="H219" s="20"/>
      <c r="I219" s="61"/>
      <c r="J219" s="61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5.75" customHeight="1">
      <c r="A220" s="19"/>
      <c r="B220" s="20"/>
      <c r="C220" s="20"/>
      <c r="D220" s="19"/>
      <c r="E220" s="19"/>
      <c r="F220" s="19"/>
      <c r="G220" s="19"/>
      <c r="H220" s="20"/>
      <c r="I220" s="61"/>
      <c r="J220" s="61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5.75" customHeight="1">
      <c r="A221" s="19"/>
      <c r="B221" s="20"/>
      <c r="C221" s="20"/>
      <c r="D221" s="19"/>
      <c r="E221" s="19"/>
      <c r="F221" s="19"/>
      <c r="G221" s="19"/>
      <c r="H221" s="20"/>
      <c r="I221" s="61"/>
      <c r="J221" s="61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5.75" customHeight="1">
      <c r="A222" s="19"/>
      <c r="B222" s="20"/>
      <c r="C222" s="20"/>
      <c r="D222" s="19"/>
      <c r="E222" s="19"/>
      <c r="F222" s="19"/>
      <c r="G222" s="19"/>
      <c r="H222" s="20"/>
      <c r="I222" s="61"/>
      <c r="J222" s="61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5.75" customHeight="1">
      <c r="A223" s="19"/>
      <c r="B223" s="20"/>
      <c r="C223" s="20"/>
      <c r="D223" s="19"/>
      <c r="E223" s="19"/>
      <c r="F223" s="19"/>
      <c r="G223" s="19"/>
      <c r="H223" s="20"/>
      <c r="I223" s="61"/>
      <c r="J223" s="61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M1:N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11"/>
  <sheetViews>
    <sheetView showGridLines="0" workbookViewId="0">
      <pane xSplit="1" ySplit="3" topLeftCell="E23" activePane="bottomRight" state="frozen"/>
      <selection pane="topRight" activeCell="B1" sqref="B1"/>
      <selection pane="bottomLeft" activeCell="A4" sqref="A4"/>
      <selection pane="bottomRight" activeCell="A4" sqref="A4:XFD31"/>
    </sheetView>
  </sheetViews>
  <sheetFormatPr baseColWidth="10" defaultColWidth="14.453125" defaultRowHeight="15" customHeight="1"/>
  <cols>
    <col min="1" max="1" width="35.54296875" customWidth="1"/>
    <col min="2" max="2" width="9.54296875" customWidth="1"/>
    <col min="3" max="3" width="12.54296875" customWidth="1"/>
    <col min="4" max="4" width="36.08984375" customWidth="1"/>
    <col min="5" max="5" width="33.54296875" customWidth="1"/>
    <col min="6" max="6" width="12.08984375" customWidth="1"/>
    <col min="7" max="7" width="11.54296875" customWidth="1"/>
    <col min="8" max="9" width="14.08984375" customWidth="1"/>
    <col min="10" max="10" width="13.54296875" customWidth="1"/>
    <col min="11" max="11" width="11.08984375" customWidth="1"/>
    <col min="12" max="12" width="13.7265625" customWidth="1"/>
    <col min="13" max="13" width="12.81640625" customWidth="1"/>
    <col min="14" max="26" width="11.54296875" customWidth="1"/>
  </cols>
  <sheetData>
    <row r="1" spans="1:26" ht="49.5" customHeight="1">
      <c r="A1" s="16" t="s">
        <v>8</v>
      </c>
      <c r="B1" s="17"/>
      <c r="C1" s="17"/>
      <c r="D1" s="18"/>
      <c r="E1" s="18"/>
      <c r="F1" s="18"/>
      <c r="G1" s="18"/>
      <c r="H1" s="17"/>
      <c r="I1" s="18"/>
      <c r="J1" s="18"/>
      <c r="K1" s="159" t="s">
        <v>9</v>
      </c>
      <c r="L1" s="157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22.5" customHeight="1">
      <c r="A2" s="1"/>
      <c r="B2" s="47"/>
      <c r="C2" s="47"/>
      <c r="D2" s="1"/>
      <c r="E2" s="1"/>
      <c r="F2" s="1"/>
      <c r="G2" s="1"/>
      <c r="H2" s="4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5" customHeight="1">
      <c r="A3" s="74" t="s">
        <v>10</v>
      </c>
      <c r="B3" s="75" t="s">
        <v>11</v>
      </c>
      <c r="C3" s="75" t="s">
        <v>12</v>
      </c>
      <c r="D3" s="76" t="s">
        <v>13</v>
      </c>
      <c r="E3" s="76" t="s">
        <v>14</v>
      </c>
      <c r="F3" s="77" t="s">
        <v>78</v>
      </c>
      <c r="G3" s="76" t="s">
        <v>16</v>
      </c>
      <c r="H3" s="75" t="s">
        <v>17</v>
      </c>
      <c r="I3" s="76" t="s">
        <v>18</v>
      </c>
      <c r="J3" s="76" t="s">
        <v>21</v>
      </c>
      <c r="K3" s="76" t="s">
        <v>181</v>
      </c>
      <c r="L3" s="78" t="s">
        <v>23</v>
      </c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 spans="1:26" s="121" customFormat="1" ht="33.75" customHeight="1">
      <c r="A4" s="114" t="s">
        <v>100</v>
      </c>
      <c r="B4" s="117">
        <v>45412</v>
      </c>
      <c r="C4" s="117">
        <v>45747</v>
      </c>
      <c r="D4" s="114" t="s">
        <v>101</v>
      </c>
      <c r="E4" s="114" t="s">
        <v>82</v>
      </c>
      <c r="F4" s="114" t="s">
        <v>27</v>
      </c>
      <c r="G4" s="114" t="s">
        <v>33</v>
      </c>
      <c r="H4" s="117">
        <v>45681</v>
      </c>
      <c r="I4" s="118">
        <v>1873063.6254110001</v>
      </c>
      <c r="J4" s="133">
        <v>0.18333333333333332</v>
      </c>
      <c r="K4" s="114" t="s">
        <v>29</v>
      </c>
      <c r="L4" s="114">
        <v>5</v>
      </c>
      <c r="M4" s="134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</row>
    <row r="5" spans="1:26" s="121" customFormat="1" ht="30.75" customHeight="1">
      <c r="A5" s="114" t="s">
        <v>111</v>
      </c>
      <c r="B5" s="117">
        <v>45548</v>
      </c>
      <c r="C5" s="117">
        <v>45793</v>
      </c>
      <c r="D5" s="114" t="s">
        <v>90</v>
      </c>
      <c r="E5" s="114" t="s">
        <v>82</v>
      </c>
      <c r="F5" s="114" t="s">
        <v>27</v>
      </c>
      <c r="G5" s="114" t="s">
        <v>33</v>
      </c>
      <c r="H5" s="117">
        <v>45681</v>
      </c>
      <c r="I5" s="118">
        <v>1465875.8807560001</v>
      </c>
      <c r="J5" s="133">
        <v>0.31111111111111112</v>
      </c>
      <c r="K5" s="114" t="s">
        <v>29</v>
      </c>
      <c r="L5" s="114">
        <v>5</v>
      </c>
      <c r="M5" s="134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</row>
    <row r="6" spans="1:26" s="121" customFormat="1" ht="36" customHeight="1">
      <c r="A6" s="114" t="s">
        <v>103</v>
      </c>
      <c r="B6" s="117">
        <v>45520</v>
      </c>
      <c r="C6" s="117">
        <v>45826</v>
      </c>
      <c r="D6" s="114" t="s">
        <v>90</v>
      </c>
      <c r="E6" s="114" t="s">
        <v>82</v>
      </c>
      <c r="F6" s="114" t="s">
        <v>27</v>
      </c>
      <c r="G6" s="114" t="s">
        <v>33</v>
      </c>
      <c r="H6" s="117">
        <v>45681</v>
      </c>
      <c r="I6" s="118">
        <v>732937.94037800003</v>
      </c>
      <c r="J6" s="133">
        <v>0.40277777777777779</v>
      </c>
      <c r="K6" s="114" t="s">
        <v>29</v>
      </c>
      <c r="L6" s="114">
        <v>5</v>
      </c>
      <c r="M6" s="134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</row>
    <row r="7" spans="1:26" s="121" customFormat="1" ht="36" customHeight="1">
      <c r="A7" s="114" t="s">
        <v>182</v>
      </c>
      <c r="B7" s="117">
        <v>45534</v>
      </c>
      <c r="C7" s="117">
        <v>45838</v>
      </c>
      <c r="D7" s="114" t="s">
        <v>50</v>
      </c>
      <c r="E7" s="114" t="s">
        <v>82</v>
      </c>
      <c r="F7" s="114" t="s">
        <v>27</v>
      </c>
      <c r="G7" s="114" t="s">
        <v>33</v>
      </c>
      <c r="H7" s="117">
        <v>45741</v>
      </c>
      <c r="I7" s="122">
        <v>2151347.3640000001</v>
      </c>
      <c r="J7" s="133">
        <v>0.26944444444444443</v>
      </c>
      <c r="K7" s="114" t="s">
        <v>29</v>
      </c>
      <c r="L7" s="114">
        <v>13</v>
      </c>
      <c r="M7" s="134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</row>
    <row r="8" spans="1:26" s="121" customFormat="1" ht="20">
      <c r="A8" s="117" t="s">
        <v>183</v>
      </c>
      <c r="B8" s="117">
        <v>45579</v>
      </c>
      <c r="C8" s="117">
        <v>46006</v>
      </c>
      <c r="D8" s="117" t="s">
        <v>184</v>
      </c>
      <c r="E8" s="117" t="s">
        <v>82</v>
      </c>
      <c r="F8" s="117" t="s">
        <v>27</v>
      </c>
      <c r="G8" s="117" t="s">
        <v>33</v>
      </c>
      <c r="H8" s="117">
        <v>45873</v>
      </c>
      <c r="I8" s="122">
        <v>5090669.8086829996</v>
      </c>
      <c r="J8" s="133">
        <v>0.36</v>
      </c>
      <c r="K8" s="117" t="s">
        <v>29</v>
      </c>
      <c r="L8" s="114">
        <v>36</v>
      </c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 spans="1:26" s="121" customFormat="1" ht="20">
      <c r="A9" s="117" t="s">
        <v>183</v>
      </c>
      <c r="B9" s="117">
        <v>45579</v>
      </c>
      <c r="C9" s="117">
        <v>46006</v>
      </c>
      <c r="D9" s="117" t="s">
        <v>184</v>
      </c>
      <c r="E9" s="117" t="s">
        <v>82</v>
      </c>
      <c r="F9" s="117" t="s">
        <v>27</v>
      </c>
      <c r="G9" s="117" t="s">
        <v>33</v>
      </c>
      <c r="H9" s="117">
        <v>45894</v>
      </c>
      <c r="I9" s="122">
        <v>3983927.3893570001</v>
      </c>
      <c r="J9" s="133">
        <v>0.31</v>
      </c>
      <c r="K9" s="117" t="s">
        <v>29</v>
      </c>
      <c r="L9" s="114">
        <v>40</v>
      </c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 spans="1:26" s="121" customFormat="1" ht="20">
      <c r="A10" s="114" t="s">
        <v>137</v>
      </c>
      <c r="B10" s="117">
        <v>45691</v>
      </c>
      <c r="C10" s="117">
        <v>45971</v>
      </c>
      <c r="D10" s="114" t="s">
        <v>138</v>
      </c>
      <c r="E10" s="114" t="s">
        <v>82</v>
      </c>
      <c r="F10" s="114" t="s">
        <v>27</v>
      </c>
      <c r="G10" s="114" t="s">
        <v>33</v>
      </c>
      <c r="H10" s="117">
        <v>45908</v>
      </c>
      <c r="I10" s="118">
        <v>1894448.57</v>
      </c>
      <c r="J10" s="133">
        <v>0.17499999999999999</v>
      </c>
      <c r="K10" s="117" t="s">
        <v>29</v>
      </c>
      <c r="L10" s="114">
        <v>42</v>
      </c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 spans="1:26" s="121" customFormat="1" ht="20">
      <c r="A11" s="114" t="s">
        <v>141</v>
      </c>
      <c r="B11" s="117">
        <v>45887</v>
      </c>
      <c r="C11" s="117">
        <v>46038</v>
      </c>
      <c r="D11" s="114" t="s">
        <v>142</v>
      </c>
      <c r="E11" s="114" t="s">
        <v>82</v>
      </c>
      <c r="F11" s="114" t="s">
        <v>27</v>
      </c>
      <c r="G11" s="114" t="s">
        <v>33</v>
      </c>
      <c r="H11" s="117">
        <v>45908</v>
      </c>
      <c r="I11" s="118">
        <v>3788897.13</v>
      </c>
      <c r="J11" s="133">
        <v>0.3611111111111111</v>
      </c>
      <c r="K11" s="117" t="s">
        <v>29</v>
      </c>
      <c r="L11" s="114">
        <v>42</v>
      </c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 spans="1:26" s="121" customFormat="1" ht="20">
      <c r="A12" s="114" t="s">
        <v>147</v>
      </c>
      <c r="B12" s="117">
        <v>45898</v>
      </c>
      <c r="C12" s="117">
        <v>46080</v>
      </c>
      <c r="D12" s="114" t="s">
        <v>90</v>
      </c>
      <c r="E12" s="114" t="s">
        <v>82</v>
      </c>
      <c r="F12" s="114" t="s">
        <v>27</v>
      </c>
      <c r="G12" s="114" t="s">
        <v>33</v>
      </c>
      <c r="H12" s="117">
        <v>45908</v>
      </c>
      <c r="I12" s="118">
        <v>3788897.13</v>
      </c>
      <c r="J12" s="133">
        <v>0.4777777777777778</v>
      </c>
      <c r="K12" s="117" t="s">
        <v>29</v>
      </c>
      <c r="L12" s="114">
        <v>42</v>
      </c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</row>
    <row r="13" spans="1:26" s="121" customFormat="1" ht="20">
      <c r="A13" s="114" t="s">
        <v>135</v>
      </c>
      <c r="B13" s="117">
        <v>45848</v>
      </c>
      <c r="C13" s="117">
        <v>45961</v>
      </c>
      <c r="D13" s="114" t="s">
        <v>98</v>
      </c>
      <c r="E13" s="114" t="s">
        <v>82</v>
      </c>
      <c r="F13" s="114" t="s">
        <v>27</v>
      </c>
      <c r="G13" s="117" t="s">
        <v>99</v>
      </c>
      <c r="H13" s="117">
        <v>45915</v>
      </c>
      <c r="I13" s="118">
        <v>1097.69874493662</v>
      </c>
      <c r="J13" s="133">
        <v>0.12777777777777777</v>
      </c>
      <c r="K13" s="114" t="s">
        <v>29</v>
      </c>
      <c r="L13" s="114">
        <v>45</v>
      </c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</row>
    <row r="14" spans="1:26" s="121" customFormat="1" ht="22.5" customHeight="1">
      <c r="A14" s="114" t="s">
        <v>64</v>
      </c>
      <c r="B14" s="117">
        <v>45474</v>
      </c>
      <c r="C14" s="117">
        <v>46006</v>
      </c>
      <c r="D14" s="114" t="s">
        <v>25</v>
      </c>
      <c r="E14" s="114" t="s">
        <v>26</v>
      </c>
      <c r="F14" s="114" t="s">
        <v>45</v>
      </c>
      <c r="G14" s="114" t="s">
        <v>46</v>
      </c>
      <c r="H14" s="117">
        <v>45932</v>
      </c>
      <c r="I14" s="118">
        <v>1457</v>
      </c>
      <c r="J14" s="119">
        <f t="shared" ref="J14:J30" si="0">(C14-H14)/360</f>
        <v>0.20555555555555555</v>
      </c>
      <c r="K14" s="114" t="s">
        <v>29</v>
      </c>
      <c r="L14" s="114">
        <v>49</v>
      </c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</row>
    <row r="15" spans="1:26" s="121" customFormat="1" ht="22.5" customHeight="1">
      <c r="A15" s="114" t="s">
        <v>95</v>
      </c>
      <c r="B15" s="117">
        <v>45702</v>
      </c>
      <c r="C15" s="117">
        <v>45989</v>
      </c>
      <c r="D15" s="114" t="s">
        <v>96</v>
      </c>
      <c r="E15" s="114" t="s">
        <v>82</v>
      </c>
      <c r="F15" s="114" t="s">
        <v>27</v>
      </c>
      <c r="G15" s="117" t="s">
        <v>33</v>
      </c>
      <c r="H15" s="117">
        <v>45932</v>
      </c>
      <c r="I15" s="118">
        <v>1457</v>
      </c>
      <c r="J15" s="119">
        <f t="shared" si="0"/>
        <v>0.15833333333333333</v>
      </c>
      <c r="K15" s="114" t="s">
        <v>29</v>
      </c>
      <c r="L15" s="114">
        <v>49</v>
      </c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5"/>
    </row>
    <row r="16" spans="1:26" s="121" customFormat="1" ht="22.5" customHeight="1">
      <c r="A16" s="114" t="s">
        <v>97</v>
      </c>
      <c r="B16" s="117">
        <v>45702</v>
      </c>
      <c r="C16" s="117">
        <v>46038</v>
      </c>
      <c r="D16" s="114" t="s">
        <v>98</v>
      </c>
      <c r="E16" s="114" t="s">
        <v>82</v>
      </c>
      <c r="F16" s="114" t="s">
        <v>27</v>
      </c>
      <c r="G16" s="117" t="s">
        <v>99</v>
      </c>
      <c r="H16" s="117">
        <v>45932</v>
      </c>
      <c r="I16" s="118">
        <v>1457</v>
      </c>
      <c r="J16" s="119">
        <f t="shared" si="0"/>
        <v>0.29444444444444445</v>
      </c>
      <c r="K16" s="114" t="s">
        <v>29</v>
      </c>
      <c r="L16" s="114">
        <v>49</v>
      </c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  <c r="X16" s="135"/>
      <c r="Y16" s="135"/>
      <c r="Z16" s="135"/>
    </row>
    <row r="17" spans="1:26" s="121" customFormat="1" ht="22.5" customHeight="1">
      <c r="A17" s="114" t="s">
        <v>155</v>
      </c>
      <c r="B17" s="117">
        <v>45930</v>
      </c>
      <c r="C17" s="117">
        <v>46142</v>
      </c>
      <c r="D17" s="114" t="s">
        <v>98</v>
      </c>
      <c r="E17" s="114" t="s">
        <v>82</v>
      </c>
      <c r="F17" s="114" t="s">
        <v>27</v>
      </c>
      <c r="G17" s="117" t="s">
        <v>99</v>
      </c>
      <c r="H17" s="117">
        <v>45932</v>
      </c>
      <c r="I17" s="118">
        <v>1457</v>
      </c>
      <c r="J17" s="119">
        <f t="shared" si="0"/>
        <v>0.58333333333333337</v>
      </c>
      <c r="K17" s="114" t="s">
        <v>29</v>
      </c>
      <c r="L17" s="114">
        <v>49</v>
      </c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135"/>
      <c r="Y17" s="135"/>
      <c r="Z17" s="135"/>
    </row>
    <row r="18" spans="1:26" s="121" customFormat="1" ht="22.5" customHeight="1">
      <c r="A18" s="114" t="s">
        <v>185</v>
      </c>
      <c r="B18" s="117">
        <v>45350</v>
      </c>
      <c r="C18" s="117">
        <v>46203</v>
      </c>
      <c r="D18" s="114" t="s">
        <v>25</v>
      </c>
      <c r="E18" s="114" t="s">
        <v>26</v>
      </c>
      <c r="F18" s="114" t="s">
        <v>45</v>
      </c>
      <c r="G18" s="117" t="s">
        <v>46</v>
      </c>
      <c r="H18" s="117">
        <v>45932</v>
      </c>
      <c r="I18" s="118">
        <v>1457</v>
      </c>
      <c r="J18" s="119">
        <f t="shared" si="0"/>
        <v>0.75277777777777777</v>
      </c>
      <c r="K18" s="114" t="s">
        <v>29</v>
      </c>
      <c r="L18" s="114">
        <v>49</v>
      </c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</row>
    <row r="19" spans="1:26" s="121" customFormat="1" ht="22.5" customHeight="1">
      <c r="A19" s="114" t="s">
        <v>154</v>
      </c>
      <c r="B19" s="117">
        <v>45930</v>
      </c>
      <c r="C19" s="117">
        <v>45989</v>
      </c>
      <c r="D19" s="114" t="s">
        <v>98</v>
      </c>
      <c r="E19" s="114" t="s">
        <v>82</v>
      </c>
      <c r="F19" s="114" t="s">
        <v>27</v>
      </c>
      <c r="G19" s="117" t="s">
        <v>99</v>
      </c>
      <c r="H19" s="117">
        <v>45957</v>
      </c>
      <c r="I19" s="118">
        <v>397.36065600000001</v>
      </c>
      <c r="J19" s="119">
        <f t="shared" si="0"/>
        <v>8.8888888888888892E-2</v>
      </c>
      <c r="K19" s="114" t="s">
        <v>29</v>
      </c>
      <c r="L19" s="114">
        <v>53</v>
      </c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 spans="1:26" s="121" customFormat="1" ht="22.5" customHeight="1">
      <c r="A20" s="114" t="s">
        <v>141</v>
      </c>
      <c r="B20" s="117">
        <v>45887</v>
      </c>
      <c r="C20" s="117">
        <v>46038</v>
      </c>
      <c r="D20" s="114" t="s">
        <v>142</v>
      </c>
      <c r="E20" s="114" t="s">
        <v>82</v>
      </c>
      <c r="F20" s="114" t="s">
        <v>27</v>
      </c>
      <c r="G20" s="114" t="s">
        <v>33</v>
      </c>
      <c r="H20" s="117">
        <v>45965</v>
      </c>
      <c r="I20" s="118">
        <f>2793202295864/1000000</f>
        <v>2793202.295864</v>
      </c>
      <c r="J20" s="119">
        <f t="shared" si="0"/>
        <v>0.20277777777777778</v>
      </c>
      <c r="K20" s="114" t="s">
        <v>29</v>
      </c>
      <c r="L20" s="114">
        <v>56</v>
      </c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 spans="1:26" s="121" customFormat="1" ht="22.5" customHeight="1">
      <c r="A21" s="114" t="s">
        <v>97</v>
      </c>
      <c r="B21" s="117">
        <v>45702</v>
      </c>
      <c r="C21" s="117">
        <v>46038</v>
      </c>
      <c r="D21" s="114" t="s">
        <v>98</v>
      </c>
      <c r="E21" s="114" t="s">
        <v>82</v>
      </c>
      <c r="F21" s="114" t="s">
        <v>27</v>
      </c>
      <c r="G21" s="117" t="s">
        <v>99</v>
      </c>
      <c r="H21" s="117">
        <v>45975</v>
      </c>
      <c r="I21" s="118">
        <v>3642.33</v>
      </c>
      <c r="J21" s="119">
        <f t="shared" si="0"/>
        <v>0.17499999999999999</v>
      </c>
      <c r="K21" s="114" t="s">
        <v>29</v>
      </c>
      <c r="L21" s="114">
        <v>59</v>
      </c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 spans="1:26" s="121" customFormat="1" ht="22.5" customHeight="1">
      <c r="A22" s="114" t="s">
        <v>54</v>
      </c>
      <c r="B22" s="117">
        <v>45642</v>
      </c>
      <c r="C22" s="117">
        <v>46052</v>
      </c>
      <c r="D22" s="114" t="s">
        <v>55</v>
      </c>
      <c r="E22" s="114" t="s">
        <v>26</v>
      </c>
      <c r="F22" s="114" t="s">
        <v>27</v>
      </c>
      <c r="G22" s="114" t="s">
        <v>33</v>
      </c>
      <c r="H22" s="117">
        <v>45975</v>
      </c>
      <c r="I22" s="118">
        <v>4950166.67</v>
      </c>
      <c r="J22" s="119">
        <f t="shared" si="0"/>
        <v>0.21388888888888888</v>
      </c>
      <c r="K22" s="114" t="s">
        <v>29</v>
      </c>
      <c r="L22" s="114">
        <v>59</v>
      </c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spans="1:26" s="121" customFormat="1" ht="22.5" customHeight="1">
      <c r="A23" s="114" t="s">
        <v>147</v>
      </c>
      <c r="B23" s="117">
        <v>45898</v>
      </c>
      <c r="C23" s="117">
        <v>46080</v>
      </c>
      <c r="D23" s="114" t="s">
        <v>90</v>
      </c>
      <c r="E23" s="114" t="s">
        <v>82</v>
      </c>
      <c r="F23" s="114" t="s">
        <v>27</v>
      </c>
      <c r="G23" s="114" t="s">
        <v>33</v>
      </c>
      <c r="H23" s="117">
        <v>46000</v>
      </c>
      <c r="I23" s="118">
        <v>4595105.3333550002</v>
      </c>
      <c r="J23" s="119">
        <f t="shared" si="0"/>
        <v>0.22222222222222221</v>
      </c>
      <c r="K23" s="114" t="s">
        <v>29</v>
      </c>
      <c r="L23" s="114">
        <v>61</v>
      </c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spans="1:26" s="121" customFormat="1" ht="22.5" customHeight="1">
      <c r="A24" s="114" t="s">
        <v>151</v>
      </c>
      <c r="B24" s="117">
        <v>45930</v>
      </c>
      <c r="C24" s="117">
        <v>46142</v>
      </c>
      <c r="D24" s="114" t="s">
        <v>152</v>
      </c>
      <c r="E24" s="114" t="s">
        <v>82</v>
      </c>
      <c r="F24" s="114" t="s">
        <v>27</v>
      </c>
      <c r="G24" s="117" t="s">
        <v>33</v>
      </c>
      <c r="H24" s="117">
        <v>46000</v>
      </c>
      <c r="I24" s="118">
        <v>4595105.3333550002</v>
      </c>
      <c r="J24" s="119">
        <f t="shared" si="0"/>
        <v>0.39444444444444443</v>
      </c>
      <c r="K24" s="114" t="s">
        <v>29</v>
      </c>
      <c r="L24" s="114">
        <v>61</v>
      </c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 spans="1:26" s="121" customFormat="1" ht="22.5" customHeight="1">
      <c r="A25" s="115" t="s">
        <v>160</v>
      </c>
      <c r="B25" s="116">
        <v>45961</v>
      </c>
      <c r="C25" s="116">
        <v>46325</v>
      </c>
      <c r="D25" s="115" t="s">
        <v>161</v>
      </c>
      <c r="E25" s="115" t="s">
        <v>82</v>
      </c>
      <c r="F25" s="115" t="s">
        <v>27</v>
      </c>
      <c r="G25" s="116" t="s">
        <v>33</v>
      </c>
      <c r="H25" s="117">
        <v>46000</v>
      </c>
      <c r="I25" s="118">
        <v>6340090.4083730001</v>
      </c>
      <c r="J25" s="119">
        <f t="shared" si="0"/>
        <v>0.90277777777777779</v>
      </c>
      <c r="K25" s="114" t="s">
        <v>29</v>
      </c>
      <c r="L25" s="114">
        <v>61</v>
      </c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spans="1:26" s="121" customFormat="1" ht="22.5" customHeight="1">
      <c r="A26" s="114" t="s">
        <v>156</v>
      </c>
      <c r="B26" s="117" t="s">
        <v>157</v>
      </c>
      <c r="C26" s="117">
        <v>46053</v>
      </c>
      <c r="D26" s="114" t="s">
        <v>98</v>
      </c>
      <c r="E26" s="114" t="s">
        <v>82</v>
      </c>
      <c r="F26" s="114" t="s">
        <v>27</v>
      </c>
      <c r="G26" s="117" t="s">
        <v>99</v>
      </c>
      <c r="H26" s="117">
        <v>46000</v>
      </c>
      <c r="I26" s="118">
        <v>1325.5303550000001</v>
      </c>
      <c r="J26" s="119">
        <f t="shared" si="0"/>
        <v>0.14722222222222223</v>
      </c>
      <c r="K26" s="114" t="s">
        <v>29</v>
      </c>
      <c r="L26" s="114">
        <v>61</v>
      </c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 spans="1:26" s="121" customFormat="1" ht="22.5" customHeight="1">
      <c r="A27" s="114" t="s">
        <v>126</v>
      </c>
      <c r="B27" s="117">
        <v>45807</v>
      </c>
      <c r="C27" s="117">
        <v>46171</v>
      </c>
      <c r="D27" s="114" t="s">
        <v>127</v>
      </c>
      <c r="E27" s="114" t="s">
        <v>82</v>
      </c>
      <c r="F27" s="114" t="s">
        <v>27</v>
      </c>
      <c r="G27" s="114" t="s">
        <v>33</v>
      </c>
      <c r="H27" s="117">
        <v>46020</v>
      </c>
      <c r="I27" s="118">
        <v>3350077.52</v>
      </c>
      <c r="J27" s="119">
        <f t="shared" si="0"/>
        <v>0.41944444444444445</v>
      </c>
      <c r="K27" s="114" t="s">
        <v>29</v>
      </c>
      <c r="L27" s="114">
        <v>64</v>
      </c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 spans="1:26" s="121" customFormat="1" ht="22.5" customHeight="1">
      <c r="A28" s="114" t="s">
        <v>151</v>
      </c>
      <c r="B28" s="117">
        <v>45930</v>
      </c>
      <c r="C28" s="117">
        <v>46142</v>
      </c>
      <c r="D28" s="114" t="s">
        <v>152</v>
      </c>
      <c r="E28" s="114" t="s">
        <v>82</v>
      </c>
      <c r="F28" s="114" t="s">
        <v>27</v>
      </c>
      <c r="G28" s="117" t="s">
        <v>33</v>
      </c>
      <c r="H28" s="117">
        <v>46020</v>
      </c>
      <c r="I28" s="118">
        <v>3350077.52</v>
      </c>
      <c r="J28" s="119">
        <f t="shared" si="0"/>
        <v>0.33888888888888891</v>
      </c>
      <c r="K28" s="114" t="s">
        <v>29</v>
      </c>
      <c r="L28" s="114">
        <v>64</v>
      </c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 spans="1:26" s="121" customFormat="1" ht="25" customHeight="1">
      <c r="A29" s="114" t="s">
        <v>186</v>
      </c>
      <c r="B29" s="117">
        <v>44078</v>
      </c>
      <c r="C29" s="117">
        <v>49499</v>
      </c>
      <c r="D29" s="114" t="s">
        <v>187</v>
      </c>
      <c r="E29" s="114" t="s">
        <v>188</v>
      </c>
      <c r="F29" s="114" t="s">
        <v>45</v>
      </c>
      <c r="G29" s="117" t="s">
        <v>99</v>
      </c>
      <c r="H29" s="117">
        <v>46020</v>
      </c>
      <c r="I29" s="118">
        <v>5701.81</v>
      </c>
      <c r="J29" s="119">
        <f t="shared" si="0"/>
        <v>9.6638888888888896</v>
      </c>
      <c r="K29" s="114" t="s">
        <v>29</v>
      </c>
      <c r="L29" s="114">
        <v>64</v>
      </c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spans="1:26" s="121" customFormat="1" ht="21" customHeight="1">
      <c r="A30" s="114" t="s">
        <v>189</v>
      </c>
      <c r="B30" s="117">
        <v>44078</v>
      </c>
      <c r="C30" s="117">
        <v>50414</v>
      </c>
      <c r="D30" s="114" t="s">
        <v>190</v>
      </c>
      <c r="E30" s="114" t="s">
        <v>191</v>
      </c>
      <c r="F30" s="114" t="s">
        <v>45</v>
      </c>
      <c r="G30" s="117" t="s">
        <v>99</v>
      </c>
      <c r="H30" s="117">
        <v>46020</v>
      </c>
      <c r="I30" s="118">
        <v>2831.84</v>
      </c>
      <c r="J30" s="119">
        <f t="shared" si="0"/>
        <v>12.205555555555556</v>
      </c>
      <c r="K30" s="114" t="s">
        <v>29</v>
      </c>
      <c r="L30" s="114">
        <v>64</v>
      </c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 spans="1:26" s="121" customFormat="1" ht="22.5" customHeight="1">
      <c r="A31" s="128" t="s">
        <v>77</v>
      </c>
      <c r="B31" s="136"/>
      <c r="C31" s="136"/>
      <c r="D31" s="120"/>
      <c r="E31" s="137"/>
      <c r="F31" s="120"/>
      <c r="G31" s="120"/>
      <c r="H31" s="136"/>
      <c r="I31" s="137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 spans="1:26" ht="22.5" customHeight="1">
      <c r="A32" s="19"/>
      <c r="B32" s="84"/>
      <c r="C32" s="84"/>
      <c r="D32" s="1"/>
      <c r="E32" s="1"/>
      <c r="F32" s="1"/>
      <c r="G32" s="1"/>
      <c r="H32" s="84"/>
      <c r="I32" s="58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2.5" customHeight="1">
      <c r="A33" s="19"/>
      <c r="B33" s="84"/>
      <c r="C33" s="84"/>
      <c r="D33" s="1"/>
      <c r="E33" s="1"/>
      <c r="F33" s="1"/>
      <c r="G33" s="1"/>
      <c r="H33" s="84"/>
      <c r="I33" s="58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2.5" customHeight="1">
      <c r="A34" s="1"/>
      <c r="B34" s="84"/>
      <c r="C34" s="84"/>
      <c r="D34" s="1"/>
      <c r="E34" s="1"/>
      <c r="F34" s="1"/>
      <c r="G34" s="1"/>
      <c r="H34" s="8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2.5" customHeight="1">
      <c r="A35" s="1"/>
      <c r="B35" s="84"/>
      <c r="C35" s="84"/>
      <c r="D35" s="1"/>
      <c r="E35" s="1"/>
      <c r="F35" s="1"/>
      <c r="G35" s="1"/>
      <c r="H35" s="8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2.5" customHeight="1">
      <c r="A36" s="1"/>
      <c r="B36" s="84"/>
      <c r="C36" s="84"/>
      <c r="D36" s="1"/>
      <c r="E36" s="1"/>
      <c r="F36" s="1"/>
      <c r="G36" s="1"/>
      <c r="H36" s="8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2.5" customHeight="1">
      <c r="A37" s="1"/>
      <c r="B37" s="84"/>
      <c r="C37" s="84"/>
      <c r="D37" s="1"/>
      <c r="E37" s="1"/>
      <c r="F37" s="1"/>
      <c r="G37" s="1"/>
      <c r="H37" s="8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2.5" customHeight="1">
      <c r="A38" s="1"/>
      <c r="B38" s="84"/>
      <c r="C38" s="84"/>
      <c r="D38" s="1"/>
      <c r="E38" s="1"/>
      <c r="F38" s="1"/>
      <c r="G38" s="1"/>
      <c r="H38" s="84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2.5" customHeight="1">
      <c r="A39" s="1"/>
      <c r="B39" s="84"/>
      <c r="C39" s="84"/>
      <c r="D39" s="1"/>
      <c r="E39" s="1"/>
      <c r="F39" s="1"/>
      <c r="G39" s="1"/>
      <c r="H39" s="8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2.5" customHeight="1">
      <c r="A40" s="1"/>
      <c r="B40" s="84"/>
      <c r="C40" s="84"/>
      <c r="D40" s="1"/>
      <c r="E40" s="1"/>
      <c r="F40" s="1"/>
      <c r="G40" s="1"/>
      <c r="H40" s="84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2.5" customHeight="1">
      <c r="A41" s="1"/>
      <c r="B41" s="84"/>
      <c r="C41" s="84"/>
      <c r="D41" s="1"/>
      <c r="E41" s="1"/>
      <c r="F41" s="1"/>
      <c r="G41" s="1"/>
      <c r="H41" s="84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2.5" customHeight="1">
      <c r="A42" s="1"/>
      <c r="B42" s="84"/>
      <c r="C42" s="84"/>
      <c r="D42" s="1"/>
      <c r="E42" s="1"/>
      <c r="F42" s="1"/>
      <c r="G42" s="1"/>
      <c r="H42" s="84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2.5" customHeight="1">
      <c r="A43" s="1"/>
      <c r="B43" s="84"/>
      <c r="C43" s="84"/>
      <c r="D43" s="1"/>
      <c r="E43" s="1"/>
      <c r="F43" s="1"/>
      <c r="G43" s="1"/>
      <c r="H43" s="8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2.5" customHeight="1">
      <c r="A44" s="1"/>
      <c r="B44" s="84"/>
      <c r="C44" s="84"/>
      <c r="D44" s="1"/>
      <c r="E44" s="1"/>
      <c r="F44" s="1"/>
      <c r="G44" s="1"/>
      <c r="H44" s="84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2.5" customHeight="1">
      <c r="A45" s="1"/>
      <c r="B45" s="84"/>
      <c r="C45" s="84"/>
      <c r="D45" s="1"/>
      <c r="E45" s="1"/>
      <c r="F45" s="1"/>
      <c r="G45" s="1"/>
      <c r="H45" s="84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2.5" customHeight="1">
      <c r="A46" s="1"/>
      <c r="B46" s="84"/>
      <c r="C46" s="84"/>
      <c r="D46" s="1"/>
      <c r="E46" s="1"/>
      <c r="F46" s="1"/>
      <c r="G46" s="1"/>
      <c r="H46" s="8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2.5" customHeight="1">
      <c r="A47" s="1"/>
      <c r="B47" s="84"/>
      <c r="C47" s="84"/>
      <c r="D47" s="1"/>
      <c r="E47" s="1"/>
      <c r="F47" s="1"/>
      <c r="G47" s="1"/>
      <c r="H47" s="84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2.5" customHeight="1">
      <c r="A48" s="1"/>
      <c r="B48" s="84"/>
      <c r="C48" s="84"/>
      <c r="D48" s="1"/>
      <c r="E48" s="1"/>
      <c r="F48" s="1"/>
      <c r="G48" s="1"/>
      <c r="H48" s="84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2.5" customHeight="1">
      <c r="A49" s="1"/>
      <c r="B49" s="84"/>
      <c r="C49" s="84"/>
      <c r="D49" s="1"/>
      <c r="E49" s="1"/>
      <c r="F49" s="1"/>
      <c r="G49" s="1"/>
      <c r="H49" s="84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2.5" customHeight="1">
      <c r="A50" s="1"/>
      <c r="B50" s="84"/>
      <c r="C50" s="84"/>
      <c r="D50" s="1"/>
      <c r="E50" s="1"/>
      <c r="F50" s="1"/>
      <c r="G50" s="1"/>
      <c r="H50" s="8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2.5" customHeight="1">
      <c r="A51" s="1"/>
      <c r="B51" s="84"/>
      <c r="C51" s="84"/>
      <c r="D51" s="1"/>
      <c r="E51" s="1"/>
      <c r="F51" s="1"/>
      <c r="G51" s="1"/>
      <c r="H51" s="84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2.5" customHeight="1">
      <c r="A52" s="1"/>
      <c r="B52" s="84"/>
      <c r="C52" s="84"/>
      <c r="D52" s="1"/>
      <c r="E52" s="1"/>
      <c r="F52" s="1"/>
      <c r="G52" s="1"/>
      <c r="H52" s="84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2.5" customHeight="1">
      <c r="A53" s="1"/>
      <c r="B53" s="84"/>
      <c r="C53" s="84"/>
      <c r="D53" s="1"/>
      <c r="E53" s="1"/>
      <c r="F53" s="1"/>
      <c r="G53" s="1"/>
      <c r="H53" s="84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2.5" customHeight="1">
      <c r="A54" s="1"/>
      <c r="B54" s="84"/>
      <c r="C54" s="84"/>
      <c r="D54" s="1"/>
      <c r="E54" s="1"/>
      <c r="F54" s="1"/>
      <c r="G54" s="1"/>
      <c r="H54" s="8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2.5" customHeight="1">
      <c r="A55" s="1"/>
      <c r="B55" s="84"/>
      <c r="C55" s="84"/>
      <c r="D55" s="1"/>
      <c r="E55" s="1"/>
      <c r="F55" s="1"/>
      <c r="G55" s="1"/>
      <c r="H55" s="8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2.5" customHeight="1">
      <c r="A56" s="1"/>
      <c r="B56" s="84"/>
      <c r="C56" s="84"/>
      <c r="D56" s="1"/>
      <c r="E56" s="1"/>
      <c r="F56" s="1"/>
      <c r="G56" s="1"/>
      <c r="H56" s="84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2.5" customHeight="1">
      <c r="A57" s="1"/>
      <c r="B57" s="84"/>
      <c r="C57" s="84"/>
      <c r="D57" s="1"/>
      <c r="E57" s="1"/>
      <c r="F57" s="1"/>
      <c r="G57" s="1"/>
      <c r="H57" s="84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2.5" customHeight="1">
      <c r="A58" s="1"/>
      <c r="B58" s="84"/>
      <c r="C58" s="84"/>
      <c r="D58" s="1"/>
      <c r="E58" s="1"/>
      <c r="F58" s="1"/>
      <c r="G58" s="1"/>
      <c r="H58" s="8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2.5" customHeight="1">
      <c r="A59" s="1"/>
      <c r="B59" s="84"/>
      <c r="C59" s="84"/>
      <c r="D59" s="1"/>
      <c r="E59" s="1"/>
      <c r="F59" s="1"/>
      <c r="G59" s="1"/>
      <c r="H59" s="8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2.5" customHeight="1">
      <c r="A60" s="1"/>
      <c r="B60" s="84"/>
      <c r="C60" s="84"/>
      <c r="D60" s="1"/>
      <c r="E60" s="1"/>
      <c r="F60" s="1"/>
      <c r="G60" s="1"/>
      <c r="H60" s="8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2.5" customHeight="1">
      <c r="A61" s="1"/>
      <c r="B61" s="84"/>
      <c r="C61" s="84"/>
      <c r="D61" s="1"/>
      <c r="E61" s="1"/>
      <c r="F61" s="1"/>
      <c r="G61" s="1"/>
      <c r="H61" s="8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2.5" customHeight="1">
      <c r="A62" s="1"/>
      <c r="B62" s="84"/>
      <c r="C62" s="84"/>
      <c r="D62" s="1"/>
      <c r="E62" s="1"/>
      <c r="F62" s="1"/>
      <c r="G62" s="1"/>
      <c r="H62" s="8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2.5" customHeight="1">
      <c r="A63" s="1"/>
      <c r="B63" s="84"/>
      <c r="C63" s="84"/>
      <c r="D63" s="1"/>
      <c r="E63" s="1"/>
      <c r="F63" s="1"/>
      <c r="G63" s="1"/>
      <c r="H63" s="8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2.5" customHeight="1">
      <c r="A64" s="1"/>
      <c r="B64" s="47"/>
      <c r="C64" s="47"/>
      <c r="D64" s="1"/>
      <c r="E64" s="1"/>
      <c r="F64" s="1"/>
      <c r="G64" s="1"/>
      <c r="H64" s="8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2.5" customHeight="1">
      <c r="A65" s="1"/>
      <c r="B65" s="47"/>
      <c r="C65" s="47"/>
      <c r="D65" s="1"/>
      <c r="E65" s="1"/>
      <c r="F65" s="1"/>
      <c r="G65" s="1"/>
      <c r="H65" s="8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2.5" customHeight="1">
      <c r="A66" s="1"/>
      <c r="B66" s="47"/>
      <c r="C66" s="47"/>
      <c r="D66" s="1"/>
      <c r="E66" s="1"/>
      <c r="F66" s="1"/>
      <c r="G66" s="1"/>
      <c r="H66" s="84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2.5" customHeight="1">
      <c r="A67" s="1"/>
      <c r="B67" s="47"/>
      <c r="C67" s="47"/>
      <c r="D67" s="1"/>
      <c r="E67" s="1"/>
      <c r="F67" s="1"/>
      <c r="G67" s="1"/>
      <c r="H67" s="8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2.5" customHeight="1">
      <c r="A68" s="1"/>
      <c r="B68" s="47"/>
      <c r="C68" s="47"/>
      <c r="D68" s="1"/>
      <c r="E68" s="1"/>
      <c r="F68" s="1"/>
      <c r="G68" s="1"/>
      <c r="H68" s="84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2.5" customHeight="1">
      <c r="A69" s="1"/>
      <c r="B69" s="47"/>
      <c r="C69" s="47"/>
      <c r="D69" s="1"/>
      <c r="E69" s="1"/>
      <c r="F69" s="1"/>
      <c r="G69" s="1"/>
      <c r="H69" s="4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2.5" customHeight="1">
      <c r="A70" s="1"/>
      <c r="B70" s="47"/>
      <c r="C70" s="47"/>
      <c r="D70" s="1"/>
      <c r="E70" s="1"/>
      <c r="F70" s="1"/>
      <c r="G70" s="1"/>
      <c r="H70" s="4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2.5" customHeight="1">
      <c r="A71" s="1"/>
      <c r="B71" s="47"/>
      <c r="C71" s="47"/>
      <c r="D71" s="1"/>
      <c r="E71" s="1"/>
      <c r="F71" s="1"/>
      <c r="G71" s="1"/>
      <c r="H71" s="4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2.5" customHeight="1">
      <c r="A72" s="1"/>
      <c r="B72" s="47"/>
      <c r="C72" s="47"/>
      <c r="D72" s="1"/>
      <c r="E72" s="1"/>
      <c r="F72" s="1"/>
      <c r="G72" s="1"/>
      <c r="H72" s="4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2.5" customHeight="1">
      <c r="A73" s="1"/>
      <c r="B73" s="47"/>
      <c r="C73" s="47"/>
      <c r="D73" s="1"/>
      <c r="E73" s="1"/>
      <c r="F73" s="1"/>
      <c r="G73" s="1"/>
      <c r="H73" s="4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2.5" customHeight="1">
      <c r="A74" s="1"/>
      <c r="B74" s="47"/>
      <c r="C74" s="47"/>
      <c r="D74" s="1"/>
      <c r="E74" s="1"/>
      <c r="F74" s="1"/>
      <c r="G74" s="1"/>
      <c r="H74" s="4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2.5" customHeight="1">
      <c r="A75" s="1"/>
      <c r="B75" s="47"/>
      <c r="C75" s="47"/>
      <c r="D75" s="1"/>
      <c r="E75" s="1"/>
      <c r="F75" s="1"/>
      <c r="G75" s="1"/>
      <c r="H75" s="4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2.5" customHeight="1">
      <c r="A76" s="1"/>
      <c r="B76" s="47"/>
      <c r="C76" s="47"/>
      <c r="D76" s="1"/>
      <c r="E76" s="1"/>
      <c r="F76" s="1"/>
      <c r="G76" s="1"/>
      <c r="H76" s="4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2.5" customHeight="1">
      <c r="A77" s="1"/>
      <c r="B77" s="47"/>
      <c r="C77" s="47"/>
      <c r="D77" s="1"/>
      <c r="E77" s="1"/>
      <c r="F77" s="1"/>
      <c r="G77" s="1"/>
      <c r="H77" s="4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2.5" customHeight="1">
      <c r="A78" s="1"/>
      <c r="B78" s="47"/>
      <c r="C78" s="47"/>
      <c r="D78" s="1"/>
      <c r="E78" s="1"/>
      <c r="F78" s="1"/>
      <c r="G78" s="1"/>
      <c r="H78" s="4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2.5" customHeight="1">
      <c r="A79" s="1"/>
      <c r="B79" s="47"/>
      <c r="C79" s="47"/>
      <c r="D79" s="1"/>
      <c r="E79" s="1"/>
      <c r="F79" s="1"/>
      <c r="G79" s="1"/>
      <c r="H79" s="4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2.5" customHeight="1">
      <c r="A80" s="1"/>
      <c r="B80" s="47"/>
      <c r="C80" s="47"/>
      <c r="D80" s="1"/>
      <c r="E80" s="1"/>
      <c r="F80" s="1"/>
      <c r="G80" s="1"/>
      <c r="H80" s="4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2.5" customHeight="1">
      <c r="A81" s="1"/>
      <c r="B81" s="47"/>
      <c r="C81" s="47"/>
      <c r="D81" s="1"/>
      <c r="E81" s="1"/>
      <c r="F81" s="1"/>
      <c r="G81" s="1"/>
      <c r="H81" s="4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2.5" customHeight="1">
      <c r="A82" s="1"/>
      <c r="B82" s="47"/>
      <c r="C82" s="47"/>
      <c r="D82" s="1"/>
      <c r="E82" s="1"/>
      <c r="F82" s="1"/>
      <c r="G82" s="1"/>
      <c r="H82" s="4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2.5" customHeight="1">
      <c r="A83" s="1"/>
      <c r="B83" s="47"/>
      <c r="C83" s="47"/>
      <c r="D83" s="1"/>
      <c r="E83" s="1"/>
      <c r="F83" s="1"/>
      <c r="G83" s="1"/>
      <c r="H83" s="4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2.5" customHeight="1">
      <c r="A84" s="1"/>
      <c r="B84" s="47"/>
      <c r="C84" s="47"/>
      <c r="D84" s="1"/>
      <c r="E84" s="1"/>
      <c r="F84" s="1"/>
      <c r="G84" s="1"/>
      <c r="H84" s="4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2.5" customHeight="1">
      <c r="A85" s="1"/>
      <c r="B85" s="47"/>
      <c r="C85" s="47"/>
      <c r="D85" s="1"/>
      <c r="E85" s="1"/>
      <c r="F85" s="1"/>
      <c r="G85" s="1"/>
      <c r="H85" s="4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2.5" customHeight="1">
      <c r="A86" s="1"/>
      <c r="B86" s="47"/>
      <c r="C86" s="47"/>
      <c r="D86" s="1"/>
      <c r="E86" s="1"/>
      <c r="F86" s="1"/>
      <c r="G86" s="1"/>
      <c r="H86" s="4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2.5" customHeight="1">
      <c r="A87" s="1"/>
      <c r="B87" s="47"/>
      <c r="C87" s="47"/>
      <c r="D87" s="1"/>
      <c r="E87" s="1"/>
      <c r="F87" s="1"/>
      <c r="G87" s="1"/>
      <c r="H87" s="4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2.5" customHeight="1">
      <c r="A88" s="1"/>
      <c r="B88" s="47"/>
      <c r="C88" s="47"/>
      <c r="D88" s="1"/>
      <c r="E88" s="1"/>
      <c r="F88" s="1"/>
      <c r="G88" s="1"/>
      <c r="H88" s="4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2.5" customHeight="1">
      <c r="A89" s="1"/>
      <c r="B89" s="47"/>
      <c r="C89" s="47"/>
      <c r="D89" s="1"/>
      <c r="E89" s="1"/>
      <c r="F89" s="1"/>
      <c r="G89" s="1"/>
      <c r="H89" s="4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2.5" customHeight="1">
      <c r="A90" s="1"/>
      <c r="B90" s="47"/>
      <c r="C90" s="47"/>
      <c r="D90" s="1"/>
      <c r="E90" s="1"/>
      <c r="F90" s="1"/>
      <c r="G90" s="1"/>
      <c r="H90" s="4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2.5" customHeight="1">
      <c r="A91" s="1"/>
      <c r="B91" s="47"/>
      <c r="C91" s="47"/>
      <c r="D91" s="1"/>
      <c r="E91" s="1"/>
      <c r="F91" s="1"/>
      <c r="G91" s="1"/>
      <c r="H91" s="4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2.5" customHeight="1">
      <c r="A92" s="1"/>
      <c r="B92" s="47"/>
      <c r="C92" s="47"/>
      <c r="D92" s="1"/>
      <c r="E92" s="1"/>
      <c r="F92" s="1"/>
      <c r="G92" s="1"/>
      <c r="H92" s="4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2.5" customHeight="1">
      <c r="A93" s="1"/>
      <c r="B93" s="47"/>
      <c r="C93" s="47"/>
      <c r="D93" s="1"/>
      <c r="E93" s="1"/>
      <c r="F93" s="1"/>
      <c r="G93" s="1"/>
      <c r="H93" s="4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2.5" customHeight="1">
      <c r="A94" s="1"/>
      <c r="B94" s="47"/>
      <c r="C94" s="47"/>
      <c r="D94" s="1"/>
      <c r="E94" s="1"/>
      <c r="F94" s="1"/>
      <c r="G94" s="1"/>
      <c r="H94" s="4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2.5" customHeight="1">
      <c r="A95" s="1"/>
      <c r="B95" s="47"/>
      <c r="C95" s="47"/>
      <c r="D95" s="1"/>
      <c r="E95" s="1"/>
      <c r="F95" s="1"/>
      <c r="G95" s="1"/>
      <c r="H95" s="4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2.5" customHeight="1">
      <c r="A96" s="1"/>
      <c r="B96" s="47"/>
      <c r="C96" s="47"/>
      <c r="D96" s="1"/>
      <c r="E96" s="1"/>
      <c r="F96" s="1"/>
      <c r="G96" s="1"/>
      <c r="H96" s="4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2.5" customHeight="1">
      <c r="A97" s="1"/>
      <c r="B97" s="47"/>
      <c r="C97" s="47"/>
      <c r="D97" s="1"/>
      <c r="E97" s="1"/>
      <c r="F97" s="1"/>
      <c r="G97" s="1"/>
      <c r="H97" s="4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2.5" customHeight="1">
      <c r="A98" s="1"/>
      <c r="B98" s="47"/>
      <c r="C98" s="47"/>
      <c r="D98" s="1"/>
      <c r="E98" s="1"/>
      <c r="F98" s="1"/>
      <c r="G98" s="1"/>
      <c r="H98" s="4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2.5" customHeight="1">
      <c r="A99" s="1"/>
      <c r="B99" s="47"/>
      <c r="C99" s="47"/>
      <c r="D99" s="1"/>
      <c r="E99" s="1"/>
      <c r="F99" s="1"/>
      <c r="G99" s="1"/>
      <c r="H99" s="4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2.5" customHeight="1">
      <c r="A100" s="1"/>
      <c r="B100" s="47"/>
      <c r="C100" s="47"/>
      <c r="D100" s="1"/>
      <c r="E100" s="1"/>
      <c r="F100" s="1"/>
      <c r="G100" s="1"/>
      <c r="H100" s="4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2.5" customHeight="1">
      <c r="A101" s="1"/>
      <c r="B101" s="47"/>
      <c r="C101" s="47"/>
      <c r="D101" s="1"/>
      <c r="E101" s="1"/>
      <c r="F101" s="1"/>
      <c r="G101" s="1"/>
      <c r="H101" s="4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2.5" customHeight="1">
      <c r="A102" s="1"/>
      <c r="B102" s="47"/>
      <c r="C102" s="47"/>
      <c r="D102" s="1"/>
      <c r="E102" s="1"/>
      <c r="F102" s="1"/>
      <c r="G102" s="1"/>
      <c r="H102" s="4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2.5" customHeight="1">
      <c r="A103" s="1"/>
      <c r="B103" s="47"/>
      <c r="C103" s="47"/>
      <c r="D103" s="1"/>
      <c r="E103" s="1"/>
      <c r="F103" s="1"/>
      <c r="G103" s="1"/>
      <c r="H103" s="4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2.5" customHeight="1">
      <c r="A104" s="1"/>
      <c r="B104" s="47"/>
      <c r="C104" s="47"/>
      <c r="D104" s="1"/>
      <c r="E104" s="1"/>
      <c r="F104" s="1"/>
      <c r="G104" s="1"/>
      <c r="H104" s="4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2.5" customHeight="1">
      <c r="A105" s="1"/>
      <c r="B105" s="47"/>
      <c r="C105" s="47"/>
      <c r="D105" s="1"/>
      <c r="E105" s="1"/>
      <c r="F105" s="1"/>
      <c r="G105" s="1"/>
      <c r="H105" s="4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2.5" customHeight="1">
      <c r="A106" s="1"/>
      <c r="B106" s="47"/>
      <c r="C106" s="47"/>
      <c r="D106" s="1"/>
      <c r="E106" s="1"/>
      <c r="F106" s="1"/>
      <c r="G106" s="1"/>
      <c r="H106" s="4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2.5" customHeight="1">
      <c r="A107" s="1"/>
      <c r="B107" s="47"/>
      <c r="C107" s="47"/>
      <c r="D107" s="1"/>
      <c r="E107" s="1"/>
      <c r="F107" s="1"/>
      <c r="G107" s="1"/>
      <c r="H107" s="4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2.5" customHeight="1">
      <c r="A108" s="1"/>
      <c r="B108" s="47"/>
      <c r="C108" s="47"/>
      <c r="D108" s="1"/>
      <c r="E108" s="1"/>
      <c r="F108" s="1"/>
      <c r="G108" s="1"/>
      <c r="H108" s="4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2.5" customHeight="1">
      <c r="A109" s="1"/>
      <c r="B109" s="47"/>
      <c r="C109" s="47"/>
      <c r="D109" s="1"/>
      <c r="E109" s="1"/>
      <c r="F109" s="1"/>
      <c r="G109" s="1"/>
      <c r="H109" s="4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2.5" customHeight="1">
      <c r="A110" s="1"/>
      <c r="B110" s="47"/>
      <c r="C110" s="47"/>
      <c r="D110" s="1"/>
      <c r="E110" s="1"/>
      <c r="F110" s="1"/>
      <c r="G110" s="1"/>
      <c r="H110" s="4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2.5" customHeight="1">
      <c r="A111" s="1"/>
      <c r="B111" s="47"/>
      <c r="C111" s="47"/>
      <c r="D111" s="1"/>
      <c r="E111" s="1"/>
      <c r="F111" s="1"/>
      <c r="G111" s="1"/>
      <c r="H111" s="4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2.5" customHeight="1">
      <c r="A112" s="1"/>
      <c r="B112" s="47"/>
      <c r="C112" s="47"/>
      <c r="D112" s="1"/>
      <c r="E112" s="1"/>
      <c r="F112" s="1"/>
      <c r="G112" s="1"/>
      <c r="H112" s="4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2.5" customHeight="1">
      <c r="A113" s="1"/>
      <c r="B113" s="47"/>
      <c r="C113" s="47"/>
      <c r="D113" s="1"/>
      <c r="E113" s="1"/>
      <c r="F113" s="1"/>
      <c r="G113" s="1"/>
      <c r="H113" s="4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2.5" customHeight="1">
      <c r="A114" s="1"/>
      <c r="B114" s="47"/>
      <c r="C114" s="47"/>
      <c r="D114" s="1"/>
      <c r="E114" s="1"/>
      <c r="F114" s="1"/>
      <c r="G114" s="1"/>
      <c r="H114" s="4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2.5" customHeight="1">
      <c r="A115" s="1"/>
      <c r="B115" s="47"/>
      <c r="C115" s="47"/>
      <c r="D115" s="1"/>
      <c r="E115" s="1"/>
      <c r="F115" s="1"/>
      <c r="G115" s="1"/>
      <c r="H115" s="4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2.5" customHeight="1">
      <c r="A116" s="1"/>
      <c r="B116" s="47"/>
      <c r="C116" s="47"/>
      <c r="D116" s="1"/>
      <c r="E116" s="1"/>
      <c r="F116" s="1"/>
      <c r="G116" s="1"/>
      <c r="H116" s="4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2.5" customHeight="1">
      <c r="A117" s="1"/>
      <c r="B117" s="47"/>
      <c r="C117" s="47"/>
      <c r="D117" s="1"/>
      <c r="E117" s="1"/>
      <c r="F117" s="1"/>
      <c r="G117" s="1"/>
      <c r="H117" s="4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2.5" customHeight="1">
      <c r="A118" s="1"/>
      <c r="B118" s="47"/>
      <c r="C118" s="47"/>
      <c r="D118" s="1"/>
      <c r="E118" s="1"/>
      <c r="F118" s="1"/>
      <c r="G118" s="1"/>
      <c r="H118" s="4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2.5" customHeight="1">
      <c r="A119" s="1"/>
      <c r="B119" s="47"/>
      <c r="C119" s="47"/>
      <c r="D119" s="1"/>
      <c r="E119" s="1"/>
      <c r="F119" s="1"/>
      <c r="G119" s="1"/>
      <c r="H119" s="4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2.5" customHeight="1">
      <c r="A120" s="1"/>
      <c r="B120" s="47"/>
      <c r="C120" s="47"/>
      <c r="D120" s="1"/>
      <c r="E120" s="1"/>
      <c r="F120" s="1"/>
      <c r="G120" s="1"/>
      <c r="H120" s="4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2.5" customHeight="1">
      <c r="A121" s="1"/>
      <c r="B121" s="47"/>
      <c r="C121" s="47"/>
      <c r="D121" s="1"/>
      <c r="E121" s="1"/>
      <c r="F121" s="1"/>
      <c r="G121" s="1"/>
      <c r="H121" s="4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2.5" customHeight="1">
      <c r="A122" s="1"/>
      <c r="B122" s="47"/>
      <c r="C122" s="47"/>
      <c r="D122" s="1"/>
      <c r="E122" s="1"/>
      <c r="F122" s="1"/>
      <c r="G122" s="1"/>
      <c r="H122" s="4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2.5" customHeight="1">
      <c r="A123" s="1"/>
      <c r="B123" s="47"/>
      <c r="C123" s="47"/>
      <c r="D123" s="1"/>
      <c r="E123" s="1"/>
      <c r="F123" s="1"/>
      <c r="G123" s="1"/>
      <c r="H123" s="4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2.5" customHeight="1">
      <c r="A124" s="1"/>
      <c r="B124" s="47"/>
      <c r="C124" s="47"/>
      <c r="D124" s="1"/>
      <c r="E124" s="1"/>
      <c r="F124" s="1"/>
      <c r="G124" s="1"/>
      <c r="H124" s="4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2.5" customHeight="1">
      <c r="A125" s="1"/>
      <c r="B125" s="47"/>
      <c r="C125" s="47"/>
      <c r="D125" s="1"/>
      <c r="E125" s="1"/>
      <c r="F125" s="1"/>
      <c r="G125" s="1"/>
      <c r="H125" s="4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2.5" customHeight="1">
      <c r="A126" s="1"/>
      <c r="B126" s="47"/>
      <c r="C126" s="47"/>
      <c r="D126" s="1"/>
      <c r="E126" s="1"/>
      <c r="F126" s="1"/>
      <c r="G126" s="1"/>
      <c r="H126" s="4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2.5" customHeight="1">
      <c r="A127" s="1"/>
      <c r="B127" s="47"/>
      <c r="C127" s="47"/>
      <c r="D127" s="1"/>
      <c r="E127" s="1"/>
      <c r="F127" s="1"/>
      <c r="G127" s="1"/>
      <c r="H127" s="4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2.5" customHeight="1">
      <c r="A128" s="1"/>
      <c r="B128" s="47"/>
      <c r="C128" s="47"/>
      <c r="D128" s="1"/>
      <c r="E128" s="1"/>
      <c r="F128" s="1"/>
      <c r="G128" s="1"/>
      <c r="H128" s="4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2.5" customHeight="1">
      <c r="A129" s="1"/>
      <c r="B129" s="47"/>
      <c r="C129" s="47"/>
      <c r="D129" s="1"/>
      <c r="E129" s="1"/>
      <c r="F129" s="1"/>
      <c r="G129" s="1"/>
      <c r="H129" s="4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2.5" customHeight="1">
      <c r="A130" s="1"/>
      <c r="B130" s="47"/>
      <c r="C130" s="47"/>
      <c r="D130" s="1"/>
      <c r="E130" s="1"/>
      <c r="F130" s="1"/>
      <c r="G130" s="1"/>
      <c r="H130" s="4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2.5" customHeight="1">
      <c r="A131" s="1"/>
      <c r="B131" s="47"/>
      <c r="C131" s="47"/>
      <c r="D131" s="1"/>
      <c r="E131" s="1"/>
      <c r="F131" s="1"/>
      <c r="G131" s="1"/>
      <c r="H131" s="4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2.5" customHeight="1">
      <c r="A132" s="1"/>
      <c r="B132" s="47"/>
      <c r="C132" s="47"/>
      <c r="D132" s="1"/>
      <c r="E132" s="1"/>
      <c r="F132" s="1"/>
      <c r="G132" s="1"/>
      <c r="H132" s="4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2.5" customHeight="1">
      <c r="A133" s="1"/>
      <c r="B133" s="47"/>
      <c r="C133" s="47"/>
      <c r="D133" s="1"/>
      <c r="E133" s="1"/>
      <c r="F133" s="1"/>
      <c r="G133" s="1"/>
      <c r="H133" s="4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2.5" customHeight="1">
      <c r="A134" s="1"/>
      <c r="B134" s="47"/>
      <c r="C134" s="47"/>
      <c r="D134" s="1"/>
      <c r="E134" s="1"/>
      <c r="F134" s="1"/>
      <c r="G134" s="1"/>
      <c r="H134" s="4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2.5" customHeight="1">
      <c r="A135" s="1"/>
      <c r="B135" s="47"/>
      <c r="C135" s="47"/>
      <c r="D135" s="1"/>
      <c r="E135" s="1"/>
      <c r="F135" s="1"/>
      <c r="G135" s="1"/>
      <c r="H135" s="4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2.5" customHeight="1">
      <c r="A136" s="1"/>
      <c r="B136" s="47"/>
      <c r="C136" s="47"/>
      <c r="D136" s="1"/>
      <c r="E136" s="1"/>
      <c r="F136" s="1"/>
      <c r="G136" s="1"/>
      <c r="H136" s="4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2.5" customHeight="1">
      <c r="A137" s="1"/>
      <c r="B137" s="47"/>
      <c r="C137" s="47"/>
      <c r="D137" s="1"/>
      <c r="E137" s="1"/>
      <c r="F137" s="1"/>
      <c r="G137" s="1"/>
      <c r="H137" s="4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2.5" customHeight="1">
      <c r="A138" s="1"/>
      <c r="B138" s="47"/>
      <c r="C138" s="47"/>
      <c r="D138" s="1"/>
      <c r="E138" s="1"/>
      <c r="F138" s="1"/>
      <c r="G138" s="1"/>
      <c r="H138" s="4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2.5" customHeight="1">
      <c r="A139" s="1"/>
      <c r="B139" s="47"/>
      <c r="C139" s="47"/>
      <c r="D139" s="1"/>
      <c r="E139" s="1"/>
      <c r="F139" s="1"/>
      <c r="G139" s="1"/>
      <c r="H139" s="4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2.5" customHeight="1">
      <c r="A140" s="1"/>
      <c r="B140" s="47"/>
      <c r="C140" s="47"/>
      <c r="D140" s="1"/>
      <c r="E140" s="1"/>
      <c r="F140" s="1"/>
      <c r="G140" s="1"/>
      <c r="H140" s="4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2.5" customHeight="1">
      <c r="A141" s="1"/>
      <c r="B141" s="47"/>
      <c r="C141" s="47"/>
      <c r="D141" s="1"/>
      <c r="E141" s="1"/>
      <c r="F141" s="1"/>
      <c r="G141" s="1"/>
      <c r="H141" s="4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2.5" customHeight="1">
      <c r="A142" s="1"/>
      <c r="B142" s="47"/>
      <c r="C142" s="47"/>
      <c r="D142" s="1"/>
      <c r="E142" s="1"/>
      <c r="F142" s="1"/>
      <c r="G142" s="1"/>
      <c r="H142" s="4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2.5" customHeight="1">
      <c r="A143" s="1"/>
      <c r="B143" s="47"/>
      <c r="C143" s="47"/>
      <c r="D143" s="1"/>
      <c r="E143" s="1"/>
      <c r="F143" s="1"/>
      <c r="G143" s="1"/>
      <c r="H143" s="4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2.5" customHeight="1">
      <c r="A144" s="1"/>
      <c r="B144" s="47"/>
      <c r="C144" s="47"/>
      <c r="D144" s="1"/>
      <c r="E144" s="1"/>
      <c r="F144" s="1"/>
      <c r="G144" s="1"/>
      <c r="H144" s="4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2.5" customHeight="1">
      <c r="A145" s="1"/>
      <c r="B145" s="47"/>
      <c r="C145" s="47"/>
      <c r="D145" s="1"/>
      <c r="E145" s="1"/>
      <c r="F145" s="1"/>
      <c r="G145" s="1"/>
      <c r="H145" s="4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2.5" customHeight="1">
      <c r="A146" s="1"/>
      <c r="B146" s="47"/>
      <c r="C146" s="47"/>
      <c r="D146" s="1"/>
      <c r="E146" s="1"/>
      <c r="F146" s="1"/>
      <c r="G146" s="1"/>
      <c r="H146" s="4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2.5" customHeight="1">
      <c r="A147" s="1"/>
      <c r="B147" s="47"/>
      <c r="C147" s="47"/>
      <c r="D147" s="1"/>
      <c r="E147" s="1"/>
      <c r="F147" s="1"/>
      <c r="G147" s="1"/>
      <c r="H147" s="4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2.5" customHeight="1">
      <c r="A148" s="1"/>
      <c r="B148" s="47"/>
      <c r="C148" s="47"/>
      <c r="D148" s="1"/>
      <c r="E148" s="1"/>
      <c r="F148" s="1"/>
      <c r="G148" s="1"/>
      <c r="H148" s="4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2.5" customHeight="1">
      <c r="A149" s="1"/>
      <c r="B149" s="47"/>
      <c r="C149" s="47"/>
      <c r="D149" s="1"/>
      <c r="E149" s="1"/>
      <c r="F149" s="1"/>
      <c r="G149" s="1"/>
      <c r="H149" s="4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2.5" customHeight="1">
      <c r="A150" s="1"/>
      <c r="B150" s="47"/>
      <c r="C150" s="47"/>
      <c r="D150" s="1"/>
      <c r="E150" s="1"/>
      <c r="F150" s="1"/>
      <c r="G150" s="1"/>
      <c r="H150" s="4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2.5" customHeight="1">
      <c r="A151" s="1"/>
      <c r="B151" s="47"/>
      <c r="C151" s="47"/>
      <c r="D151" s="1"/>
      <c r="E151" s="1"/>
      <c r="F151" s="1"/>
      <c r="G151" s="1"/>
      <c r="H151" s="4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2.5" customHeight="1">
      <c r="A152" s="1"/>
      <c r="B152" s="47"/>
      <c r="C152" s="47"/>
      <c r="D152" s="1"/>
      <c r="E152" s="1"/>
      <c r="F152" s="1"/>
      <c r="G152" s="1"/>
      <c r="H152" s="4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2.5" customHeight="1">
      <c r="A153" s="1"/>
      <c r="B153" s="47"/>
      <c r="C153" s="47"/>
      <c r="D153" s="1"/>
      <c r="E153" s="1"/>
      <c r="F153" s="1"/>
      <c r="G153" s="1"/>
      <c r="H153" s="4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2.5" customHeight="1">
      <c r="A154" s="1"/>
      <c r="B154" s="47"/>
      <c r="C154" s="47"/>
      <c r="D154" s="1"/>
      <c r="E154" s="1"/>
      <c r="F154" s="1"/>
      <c r="G154" s="1"/>
      <c r="H154" s="4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2.5" customHeight="1">
      <c r="A155" s="1"/>
      <c r="B155" s="47"/>
      <c r="C155" s="47"/>
      <c r="D155" s="1"/>
      <c r="E155" s="1"/>
      <c r="F155" s="1"/>
      <c r="G155" s="1"/>
      <c r="H155" s="4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2.5" customHeight="1">
      <c r="A156" s="1"/>
      <c r="B156" s="47"/>
      <c r="C156" s="47"/>
      <c r="D156" s="1"/>
      <c r="E156" s="1"/>
      <c r="F156" s="1"/>
      <c r="G156" s="1"/>
      <c r="H156" s="4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2.5" customHeight="1">
      <c r="A157" s="1"/>
      <c r="B157" s="47"/>
      <c r="C157" s="47"/>
      <c r="D157" s="1"/>
      <c r="E157" s="1"/>
      <c r="F157" s="1"/>
      <c r="G157" s="1"/>
      <c r="H157" s="4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2.5" customHeight="1">
      <c r="A158" s="1"/>
      <c r="B158" s="47"/>
      <c r="C158" s="47"/>
      <c r="D158" s="1"/>
      <c r="E158" s="1"/>
      <c r="F158" s="1"/>
      <c r="G158" s="1"/>
      <c r="H158" s="4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2.5" customHeight="1">
      <c r="A159" s="1"/>
      <c r="B159" s="47"/>
      <c r="C159" s="47"/>
      <c r="D159" s="1"/>
      <c r="E159" s="1"/>
      <c r="F159" s="1"/>
      <c r="G159" s="1"/>
      <c r="H159" s="4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2.5" customHeight="1">
      <c r="A160" s="1"/>
      <c r="B160" s="47"/>
      <c r="C160" s="47"/>
      <c r="D160" s="1"/>
      <c r="E160" s="1"/>
      <c r="F160" s="1"/>
      <c r="G160" s="1"/>
      <c r="H160" s="4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2.5" customHeight="1">
      <c r="A161" s="1"/>
      <c r="B161" s="47"/>
      <c r="C161" s="47"/>
      <c r="D161" s="1"/>
      <c r="E161" s="1"/>
      <c r="F161" s="1"/>
      <c r="G161" s="1"/>
      <c r="H161" s="4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2.5" customHeight="1">
      <c r="A162" s="1"/>
      <c r="B162" s="47"/>
      <c r="C162" s="47"/>
      <c r="D162" s="1"/>
      <c r="E162" s="1"/>
      <c r="F162" s="1"/>
      <c r="G162" s="1"/>
      <c r="H162" s="4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2.5" customHeight="1">
      <c r="A163" s="1"/>
      <c r="B163" s="47"/>
      <c r="C163" s="47"/>
      <c r="D163" s="1"/>
      <c r="E163" s="1"/>
      <c r="F163" s="1"/>
      <c r="G163" s="1"/>
      <c r="H163" s="4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2.5" customHeight="1">
      <c r="A164" s="1"/>
      <c r="B164" s="47"/>
      <c r="C164" s="47"/>
      <c r="D164" s="1"/>
      <c r="E164" s="1"/>
      <c r="F164" s="1"/>
      <c r="G164" s="1"/>
      <c r="H164" s="4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2.5" customHeight="1">
      <c r="A165" s="1"/>
      <c r="B165" s="47"/>
      <c r="C165" s="47"/>
      <c r="D165" s="1"/>
      <c r="E165" s="1"/>
      <c r="F165" s="1"/>
      <c r="G165" s="1"/>
      <c r="H165" s="4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2.5" customHeight="1">
      <c r="A166" s="1"/>
      <c r="B166" s="47"/>
      <c r="C166" s="47"/>
      <c r="D166" s="1"/>
      <c r="E166" s="1"/>
      <c r="F166" s="1"/>
      <c r="G166" s="1"/>
      <c r="H166" s="4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2.5" customHeight="1">
      <c r="A167" s="1"/>
      <c r="B167" s="47"/>
      <c r="C167" s="47"/>
      <c r="D167" s="1"/>
      <c r="E167" s="1"/>
      <c r="F167" s="1"/>
      <c r="G167" s="1"/>
      <c r="H167" s="4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2.5" customHeight="1">
      <c r="A168" s="1"/>
      <c r="B168" s="47"/>
      <c r="C168" s="47"/>
      <c r="D168" s="1"/>
      <c r="E168" s="1"/>
      <c r="F168" s="1"/>
      <c r="G168" s="1"/>
      <c r="H168" s="4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2.5" customHeight="1">
      <c r="A169" s="1"/>
      <c r="B169" s="47"/>
      <c r="C169" s="47"/>
      <c r="D169" s="1"/>
      <c r="E169" s="1"/>
      <c r="F169" s="1"/>
      <c r="G169" s="1"/>
      <c r="H169" s="4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2.5" customHeight="1">
      <c r="A170" s="1"/>
      <c r="B170" s="47"/>
      <c r="C170" s="47"/>
      <c r="D170" s="1"/>
      <c r="E170" s="1"/>
      <c r="F170" s="1"/>
      <c r="G170" s="1"/>
      <c r="H170" s="4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2.5" customHeight="1">
      <c r="A171" s="1"/>
      <c r="B171" s="47"/>
      <c r="C171" s="47"/>
      <c r="D171" s="1"/>
      <c r="E171" s="1"/>
      <c r="F171" s="1"/>
      <c r="G171" s="1"/>
      <c r="H171" s="4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2.5" customHeight="1">
      <c r="A172" s="1"/>
      <c r="B172" s="47"/>
      <c r="C172" s="47"/>
      <c r="D172" s="1"/>
      <c r="E172" s="1"/>
      <c r="F172" s="1"/>
      <c r="G172" s="1"/>
      <c r="H172" s="4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2.5" customHeight="1">
      <c r="A173" s="1"/>
      <c r="B173" s="47"/>
      <c r="C173" s="47"/>
      <c r="D173" s="1"/>
      <c r="E173" s="1"/>
      <c r="F173" s="1"/>
      <c r="G173" s="1"/>
      <c r="H173" s="4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2.5" customHeight="1">
      <c r="A174" s="1"/>
      <c r="B174" s="47"/>
      <c r="C174" s="47"/>
      <c r="D174" s="1"/>
      <c r="E174" s="1"/>
      <c r="F174" s="1"/>
      <c r="G174" s="1"/>
      <c r="H174" s="4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2.5" customHeight="1">
      <c r="A175" s="1"/>
      <c r="B175" s="47"/>
      <c r="C175" s="47"/>
      <c r="D175" s="1"/>
      <c r="E175" s="1"/>
      <c r="F175" s="1"/>
      <c r="G175" s="1"/>
      <c r="H175" s="4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2.5" customHeight="1">
      <c r="A176" s="1"/>
      <c r="B176" s="47"/>
      <c r="C176" s="47"/>
      <c r="D176" s="1"/>
      <c r="E176" s="1"/>
      <c r="F176" s="1"/>
      <c r="G176" s="1"/>
      <c r="H176" s="4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2.5" customHeight="1">
      <c r="A177" s="1"/>
      <c r="B177" s="47"/>
      <c r="C177" s="47"/>
      <c r="D177" s="1"/>
      <c r="E177" s="1"/>
      <c r="F177" s="1"/>
      <c r="G177" s="1"/>
      <c r="H177" s="4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2.5" customHeight="1">
      <c r="A178" s="1"/>
      <c r="B178" s="47"/>
      <c r="C178" s="47"/>
      <c r="D178" s="1"/>
      <c r="E178" s="1"/>
      <c r="F178" s="1"/>
      <c r="G178" s="1"/>
      <c r="H178" s="4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2.5" customHeight="1">
      <c r="A179" s="1"/>
      <c r="B179" s="47"/>
      <c r="C179" s="47"/>
      <c r="D179" s="1"/>
      <c r="E179" s="1"/>
      <c r="F179" s="1"/>
      <c r="G179" s="1"/>
      <c r="H179" s="4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2.5" customHeight="1">
      <c r="A180" s="1"/>
      <c r="B180" s="47"/>
      <c r="C180" s="47"/>
      <c r="D180" s="1"/>
      <c r="E180" s="1"/>
      <c r="F180" s="1"/>
      <c r="G180" s="1"/>
      <c r="H180" s="4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2.5" customHeight="1">
      <c r="A181" s="1"/>
      <c r="B181" s="47"/>
      <c r="C181" s="47"/>
      <c r="D181" s="1"/>
      <c r="E181" s="1"/>
      <c r="F181" s="1"/>
      <c r="G181" s="1"/>
      <c r="H181" s="4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2.5" customHeight="1">
      <c r="A182" s="1"/>
      <c r="B182" s="47"/>
      <c r="C182" s="47"/>
      <c r="D182" s="1"/>
      <c r="E182" s="1"/>
      <c r="F182" s="1"/>
      <c r="G182" s="1"/>
      <c r="H182" s="4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2.5" customHeight="1">
      <c r="A183" s="1"/>
      <c r="B183" s="47"/>
      <c r="C183" s="47"/>
      <c r="D183" s="1"/>
      <c r="E183" s="1"/>
      <c r="F183" s="1"/>
      <c r="G183" s="1"/>
      <c r="H183" s="4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2.5" customHeight="1">
      <c r="A184" s="1"/>
      <c r="B184" s="47"/>
      <c r="C184" s="47"/>
      <c r="D184" s="1"/>
      <c r="E184" s="1"/>
      <c r="F184" s="1"/>
      <c r="G184" s="1"/>
      <c r="H184" s="4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2.5" customHeight="1">
      <c r="A185" s="1"/>
      <c r="B185" s="47"/>
      <c r="C185" s="47"/>
      <c r="D185" s="1"/>
      <c r="E185" s="1"/>
      <c r="F185" s="1"/>
      <c r="G185" s="1"/>
      <c r="H185" s="4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2.5" customHeight="1">
      <c r="A186" s="1"/>
      <c r="B186" s="47"/>
      <c r="C186" s="47"/>
      <c r="D186" s="1"/>
      <c r="E186" s="1"/>
      <c r="F186" s="1"/>
      <c r="G186" s="1"/>
      <c r="H186" s="4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2.5" customHeight="1">
      <c r="A187" s="1"/>
      <c r="B187" s="47"/>
      <c r="C187" s="47"/>
      <c r="D187" s="1"/>
      <c r="E187" s="1"/>
      <c r="F187" s="1"/>
      <c r="G187" s="1"/>
      <c r="H187" s="4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2.5" customHeight="1">
      <c r="A188" s="1"/>
      <c r="B188" s="47"/>
      <c r="C188" s="47"/>
      <c r="D188" s="1"/>
      <c r="E188" s="1"/>
      <c r="F188" s="1"/>
      <c r="G188" s="1"/>
      <c r="H188" s="4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2.5" customHeight="1">
      <c r="A189" s="1"/>
      <c r="B189" s="47"/>
      <c r="C189" s="47"/>
      <c r="D189" s="1"/>
      <c r="E189" s="1"/>
      <c r="F189" s="1"/>
      <c r="G189" s="1"/>
      <c r="H189" s="4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2.5" customHeight="1">
      <c r="A190" s="1"/>
      <c r="B190" s="47"/>
      <c r="C190" s="47"/>
      <c r="D190" s="1"/>
      <c r="E190" s="1"/>
      <c r="F190" s="1"/>
      <c r="G190" s="1"/>
      <c r="H190" s="4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2.5" customHeight="1">
      <c r="A191" s="1"/>
      <c r="B191" s="47"/>
      <c r="C191" s="47"/>
      <c r="D191" s="1"/>
      <c r="E191" s="1"/>
      <c r="F191" s="1"/>
      <c r="G191" s="1"/>
      <c r="H191" s="4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2.5" customHeight="1">
      <c r="A192" s="1"/>
      <c r="B192" s="47"/>
      <c r="C192" s="47"/>
      <c r="D192" s="1"/>
      <c r="E192" s="1"/>
      <c r="F192" s="1"/>
      <c r="G192" s="1"/>
      <c r="H192" s="4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2.5" customHeight="1">
      <c r="A193" s="1"/>
      <c r="B193" s="47"/>
      <c r="C193" s="47"/>
      <c r="D193" s="1"/>
      <c r="E193" s="1"/>
      <c r="F193" s="1"/>
      <c r="G193" s="1"/>
      <c r="H193" s="4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2.5" customHeight="1">
      <c r="A194" s="1"/>
      <c r="B194" s="47"/>
      <c r="C194" s="47"/>
      <c r="D194" s="1"/>
      <c r="E194" s="1"/>
      <c r="F194" s="1"/>
      <c r="G194" s="1"/>
      <c r="H194" s="4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2.5" customHeight="1">
      <c r="A195" s="1"/>
      <c r="B195" s="47"/>
      <c r="C195" s="47"/>
      <c r="D195" s="1"/>
      <c r="E195" s="1"/>
      <c r="F195" s="1"/>
      <c r="G195" s="1"/>
      <c r="H195" s="4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2.5" customHeight="1">
      <c r="A196" s="1"/>
      <c r="B196" s="47"/>
      <c r="C196" s="47"/>
      <c r="D196" s="1"/>
      <c r="E196" s="1"/>
      <c r="F196" s="1"/>
      <c r="G196" s="1"/>
      <c r="H196" s="4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2.5" customHeight="1">
      <c r="A197" s="1"/>
      <c r="B197" s="47"/>
      <c r="C197" s="47"/>
      <c r="D197" s="1"/>
      <c r="E197" s="1"/>
      <c r="F197" s="1"/>
      <c r="G197" s="1"/>
      <c r="H197" s="4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2.5" customHeight="1">
      <c r="A198" s="1"/>
      <c r="B198" s="47"/>
      <c r="C198" s="47"/>
      <c r="D198" s="1"/>
      <c r="E198" s="1"/>
      <c r="F198" s="1"/>
      <c r="G198" s="1"/>
      <c r="H198" s="4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2.5" customHeight="1">
      <c r="A199" s="1"/>
      <c r="B199" s="47"/>
      <c r="C199" s="47"/>
      <c r="D199" s="1"/>
      <c r="E199" s="1"/>
      <c r="F199" s="1"/>
      <c r="G199" s="1"/>
      <c r="H199" s="4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2.5" customHeight="1">
      <c r="A200" s="1"/>
      <c r="B200" s="47"/>
      <c r="C200" s="47"/>
      <c r="D200" s="1"/>
      <c r="E200" s="1"/>
      <c r="F200" s="1"/>
      <c r="G200" s="1"/>
      <c r="H200" s="4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2.5" customHeight="1">
      <c r="A201" s="1"/>
      <c r="B201" s="47"/>
      <c r="C201" s="47"/>
      <c r="D201" s="1"/>
      <c r="E201" s="1"/>
      <c r="F201" s="1"/>
      <c r="G201" s="1"/>
      <c r="H201" s="4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2.5" customHeight="1">
      <c r="A202" s="1"/>
      <c r="B202" s="47"/>
      <c r="C202" s="47"/>
      <c r="D202" s="1"/>
      <c r="E202" s="1"/>
      <c r="F202" s="1"/>
      <c r="G202" s="1"/>
      <c r="H202" s="4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2.5" customHeight="1">
      <c r="A203" s="1"/>
      <c r="B203" s="47"/>
      <c r="C203" s="47"/>
      <c r="D203" s="1"/>
      <c r="E203" s="1"/>
      <c r="F203" s="1"/>
      <c r="G203" s="1"/>
      <c r="H203" s="4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2.5" customHeight="1">
      <c r="A204" s="1"/>
      <c r="B204" s="47"/>
      <c r="C204" s="47"/>
      <c r="D204" s="1"/>
      <c r="E204" s="1"/>
      <c r="F204" s="1"/>
      <c r="G204" s="1"/>
      <c r="H204" s="4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2.5" customHeight="1">
      <c r="A205" s="1"/>
      <c r="B205" s="47"/>
      <c r="C205" s="47"/>
      <c r="D205" s="1"/>
      <c r="E205" s="1"/>
      <c r="F205" s="1"/>
      <c r="G205" s="1"/>
      <c r="H205" s="4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2.5" customHeight="1">
      <c r="A206" s="1"/>
      <c r="B206" s="47"/>
      <c r="C206" s="47"/>
      <c r="D206" s="1"/>
      <c r="E206" s="1"/>
      <c r="F206" s="1"/>
      <c r="G206" s="1"/>
      <c r="H206" s="4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2.5" customHeight="1">
      <c r="A207" s="1"/>
      <c r="B207" s="47"/>
      <c r="C207" s="47"/>
      <c r="D207" s="1"/>
      <c r="E207" s="1"/>
      <c r="F207" s="1"/>
      <c r="G207" s="1"/>
      <c r="H207" s="4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2.5" customHeight="1">
      <c r="A208" s="1"/>
      <c r="B208" s="47"/>
      <c r="C208" s="47"/>
      <c r="D208" s="1"/>
      <c r="E208" s="1"/>
      <c r="F208" s="1"/>
      <c r="G208" s="1"/>
      <c r="H208" s="4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2.5" customHeight="1">
      <c r="A209" s="1"/>
      <c r="B209" s="47"/>
      <c r="C209" s="47"/>
      <c r="D209" s="1"/>
      <c r="E209" s="1"/>
      <c r="F209" s="1"/>
      <c r="G209" s="1"/>
      <c r="H209" s="4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2.5" customHeight="1">
      <c r="A210" s="1"/>
      <c r="B210" s="47"/>
      <c r="C210" s="47"/>
      <c r="D210" s="1"/>
      <c r="E210" s="1"/>
      <c r="F210" s="1"/>
      <c r="G210" s="1"/>
      <c r="H210" s="4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2.5" customHeight="1">
      <c r="A211" s="1"/>
      <c r="B211" s="47"/>
      <c r="C211" s="47"/>
      <c r="D211" s="1"/>
      <c r="E211" s="1"/>
      <c r="F211" s="1"/>
      <c r="G211" s="1"/>
      <c r="H211" s="4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2.5" customHeight="1">
      <c r="A212" s="1"/>
      <c r="B212" s="47"/>
      <c r="C212" s="47"/>
      <c r="D212" s="1"/>
      <c r="E212" s="1"/>
      <c r="F212" s="1"/>
      <c r="G212" s="1"/>
      <c r="H212" s="4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2.5" customHeight="1">
      <c r="A213" s="1"/>
      <c r="B213" s="47"/>
      <c r="C213" s="47"/>
      <c r="D213" s="1"/>
      <c r="E213" s="1"/>
      <c r="F213" s="1"/>
      <c r="G213" s="1"/>
      <c r="H213" s="4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2.5" customHeight="1">
      <c r="A214" s="1"/>
      <c r="B214" s="47"/>
      <c r="C214" s="47"/>
      <c r="D214" s="1"/>
      <c r="E214" s="1"/>
      <c r="F214" s="1"/>
      <c r="G214" s="1"/>
      <c r="H214" s="4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2.5" customHeight="1">
      <c r="A215" s="1"/>
      <c r="B215" s="47"/>
      <c r="C215" s="47"/>
      <c r="D215" s="1"/>
      <c r="E215" s="1"/>
      <c r="F215" s="1"/>
      <c r="G215" s="1"/>
      <c r="H215" s="4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2.5" customHeight="1">
      <c r="A216" s="1"/>
      <c r="B216" s="47"/>
      <c r="C216" s="47"/>
      <c r="D216" s="1"/>
      <c r="E216" s="1"/>
      <c r="F216" s="1"/>
      <c r="G216" s="1"/>
      <c r="H216" s="4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2.5" customHeight="1">
      <c r="A217" s="1"/>
      <c r="B217" s="47"/>
      <c r="C217" s="47"/>
      <c r="D217" s="1"/>
      <c r="E217" s="1"/>
      <c r="F217" s="1"/>
      <c r="G217" s="1"/>
      <c r="H217" s="4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2.5" customHeight="1">
      <c r="A218" s="1"/>
      <c r="B218" s="47"/>
      <c r="C218" s="47"/>
      <c r="D218" s="1"/>
      <c r="E218" s="1"/>
      <c r="F218" s="1"/>
      <c r="G218" s="1"/>
      <c r="H218" s="4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2.5" customHeight="1">
      <c r="A219" s="1"/>
      <c r="B219" s="47"/>
      <c r="C219" s="47"/>
      <c r="D219" s="1"/>
      <c r="E219" s="1"/>
      <c r="F219" s="1"/>
      <c r="G219" s="1"/>
      <c r="H219" s="4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2.5" customHeight="1">
      <c r="A220" s="1"/>
      <c r="B220" s="47"/>
      <c r="C220" s="47"/>
      <c r="D220" s="1"/>
      <c r="E220" s="1"/>
      <c r="F220" s="1"/>
      <c r="G220" s="1"/>
      <c r="H220" s="4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2.5" customHeight="1">
      <c r="A221" s="1"/>
      <c r="B221" s="47"/>
      <c r="C221" s="47"/>
      <c r="D221" s="1"/>
      <c r="E221" s="1"/>
      <c r="F221" s="1"/>
      <c r="G221" s="1"/>
      <c r="H221" s="4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2.5" customHeight="1">
      <c r="A222" s="1"/>
      <c r="B222" s="47"/>
      <c r="C222" s="47"/>
      <c r="D222" s="1"/>
      <c r="E222" s="1"/>
      <c r="F222" s="1"/>
      <c r="G222" s="1"/>
      <c r="H222" s="4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2.5" customHeight="1">
      <c r="A223" s="1"/>
      <c r="B223" s="47"/>
      <c r="C223" s="47"/>
      <c r="D223" s="1"/>
      <c r="E223" s="1"/>
      <c r="F223" s="1"/>
      <c r="G223" s="1"/>
      <c r="H223" s="4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2.5" customHeight="1">
      <c r="A224" s="1"/>
      <c r="B224" s="47"/>
      <c r="C224" s="47"/>
      <c r="D224" s="1"/>
      <c r="E224" s="1"/>
      <c r="F224" s="1"/>
      <c r="G224" s="1"/>
      <c r="H224" s="4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2.5" customHeight="1">
      <c r="A225" s="1"/>
      <c r="B225" s="47"/>
      <c r="C225" s="47"/>
      <c r="D225" s="1"/>
      <c r="E225" s="1"/>
      <c r="F225" s="1"/>
      <c r="G225" s="1"/>
      <c r="H225" s="4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2.5" customHeight="1">
      <c r="A226" s="1"/>
      <c r="B226" s="47"/>
      <c r="C226" s="47"/>
      <c r="D226" s="1"/>
      <c r="E226" s="1"/>
      <c r="F226" s="1"/>
      <c r="G226" s="1"/>
      <c r="H226" s="4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2.5" customHeight="1">
      <c r="A227" s="1"/>
      <c r="B227" s="47"/>
      <c r="C227" s="47"/>
      <c r="D227" s="1"/>
      <c r="E227" s="1"/>
      <c r="F227" s="1"/>
      <c r="G227" s="1"/>
      <c r="H227" s="4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2.5" customHeight="1">
      <c r="A228" s="1"/>
      <c r="B228" s="47"/>
      <c r="C228" s="47"/>
      <c r="D228" s="1"/>
      <c r="E228" s="1"/>
      <c r="F228" s="1"/>
      <c r="G228" s="1"/>
      <c r="H228" s="4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2.5" customHeight="1">
      <c r="A229" s="1"/>
      <c r="B229" s="47"/>
      <c r="C229" s="47"/>
      <c r="D229" s="1"/>
      <c r="E229" s="1"/>
      <c r="F229" s="1"/>
      <c r="G229" s="1"/>
      <c r="H229" s="4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2.5" customHeight="1">
      <c r="A230" s="1"/>
      <c r="B230" s="47"/>
      <c r="C230" s="47"/>
      <c r="D230" s="1"/>
      <c r="E230" s="1"/>
      <c r="F230" s="1"/>
      <c r="G230" s="1"/>
      <c r="H230" s="4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2.5" customHeight="1">
      <c r="A231" s="1"/>
      <c r="B231" s="47"/>
      <c r="C231" s="47"/>
      <c r="D231" s="1"/>
      <c r="E231" s="1"/>
      <c r="F231" s="1"/>
      <c r="G231" s="1"/>
      <c r="H231" s="4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1">
    <mergeCell ref="K1:L1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>
      <pane ySplit="9" topLeftCell="A10" activePane="bottomLeft" state="frozen"/>
      <selection pane="bottomLeft" activeCell="A10" sqref="A10:A62"/>
    </sheetView>
  </sheetViews>
  <sheetFormatPr baseColWidth="10" defaultColWidth="14.453125" defaultRowHeight="15" customHeight="1"/>
  <cols>
    <col min="1" max="1" width="28.54296875" customWidth="1"/>
    <col min="2" max="2" width="15.08984375" customWidth="1"/>
    <col min="3" max="3" width="18" customWidth="1"/>
    <col min="4" max="4" width="47" customWidth="1"/>
    <col min="5" max="5" width="30.54296875" customWidth="1"/>
    <col min="6" max="6" width="15.54296875" customWidth="1"/>
    <col min="7" max="7" width="12.08984375" customWidth="1"/>
    <col min="8" max="8" width="18.08984375" customWidth="1"/>
    <col min="9" max="9" width="16.54296875" customWidth="1"/>
    <col min="10" max="10" width="39.08984375" customWidth="1"/>
    <col min="11" max="11" width="16.54296875" customWidth="1"/>
    <col min="12" max="12" width="24.08984375" customWidth="1"/>
    <col min="13" max="13" width="15.54296875" customWidth="1"/>
    <col min="14" max="14" width="9.26953125" customWidth="1"/>
    <col min="15" max="15" width="17.54296875" customWidth="1"/>
    <col min="16" max="16" width="17.453125" customWidth="1"/>
    <col min="17" max="17" width="19.26953125" customWidth="1"/>
    <col min="18" max="18" width="14.08984375" customWidth="1"/>
    <col min="19" max="26" width="11.54296875" customWidth="1"/>
  </cols>
  <sheetData>
    <row r="1" spans="1:26" ht="49.5" customHeight="1">
      <c r="A1" s="16" t="s">
        <v>8</v>
      </c>
      <c r="B1" s="85"/>
      <c r="C1" s="17"/>
      <c r="D1" s="18"/>
      <c r="E1" s="18"/>
      <c r="F1" s="18"/>
      <c r="G1" s="18"/>
      <c r="H1" s="17"/>
      <c r="I1" s="18"/>
      <c r="J1" s="86"/>
      <c r="K1" s="18"/>
      <c r="L1" s="18"/>
      <c r="M1" s="158" t="s">
        <v>9</v>
      </c>
      <c r="N1" s="157"/>
      <c r="O1" s="8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5.75" hidden="1" customHeight="1">
      <c r="A2" s="88" t="s">
        <v>192</v>
      </c>
      <c r="B2" s="17"/>
      <c r="C2" s="17"/>
      <c r="D2" s="18"/>
      <c r="E2" s="18"/>
      <c r="F2" s="18"/>
      <c r="G2" s="18"/>
      <c r="H2" s="17"/>
      <c r="I2" s="18"/>
      <c r="J2" s="86"/>
      <c r="K2" s="18"/>
      <c r="L2" s="18"/>
      <c r="M2" s="73"/>
      <c r="N2" s="73"/>
      <c r="O2" s="87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5.75" hidden="1" customHeight="1">
      <c r="A3" s="19"/>
      <c r="B3" s="20"/>
      <c r="C3" s="20"/>
      <c r="D3" s="19"/>
      <c r="E3" s="19"/>
      <c r="F3" s="19"/>
      <c r="G3" s="19"/>
      <c r="H3" s="20"/>
      <c r="I3" s="19"/>
      <c r="J3" s="89"/>
      <c r="K3" s="19"/>
      <c r="L3" s="19"/>
      <c r="M3" s="19"/>
      <c r="N3" s="19"/>
      <c r="O3" s="41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44.25" hidden="1" customHeight="1">
      <c r="A4" s="22" t="s">
        <v>10</v>
      </c>
      <c r="B4" s="23" t="s">
        <v>11</v>
      </c>
      <c r="C4" s="23" t="s">
        <v>12</v>
      </c>
      <c r="D4" s="22" t="s">
        <v>13</v>
      </c>
      <c r="E4" s="22" t="s">
        <v>14</v>
      </c>
      <c r="F4" s="22" t="s">
        <v>78</v>
      </c>
      <c r="G4" s="22" t="s">
        <v>193</v>
      </c>
      <c r="H4" s="23" t="s">
        <v>17</v>
      </c>
      <c r="I4" s="90" t="s">
        <v>18</v>
      </c>
      <c r="J4" s="90" t="s">
        <v>194</v>
      </c>
      <c r="K4" s="22" t="s">
        <v>20</v>
      </c>
      <c r="L4" s="22" t="s">
        <v>21</v>
      </c>
      <c r="M4" s="22" t="s">
        <v>195</v>
      </c>
      <c r="N4" s="22" t="s">
        <v>23</v>
      </c>
      <c r="O4" s="91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ht="15.75" hidden="1" customHeight="1">
      <c r="A5" s="19" t="s">
        <v>77</v>
      </c>
      <c r="B5" s="20"/>
      <c r="C5" s="20"/>
      <c r="D5" s="19"/>
      <c r="E5" s="19"/>
      <c r="F5" s="19"/>
      <c r="G5" s="19"/>
      <c r="H5" s="20"/>
      <c r="I5" s="19"/>
      <c r="J5" s="89"/>
      <c r="K5" s="19"/>
      <c r="L5" s="19"/>
      <c r="M5" s="19"/>
      <c r="N5" s="19"/>
      <c r="O5" s="92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 spans="1:26" ht="15.75" hidden="1" customHeight="1">
      <c r="A6" s="19"/>
      <c r="B6" s="20"/>
      <c r="C6" s="20"/>
      <c r="D6" s="19"/>
      <c r="E6" s="19"/>
      <c r="F6" s="19"/>
      <c r="G6" s="19"/>
      <c r="H6" s="20"/>
      <c r="I6" s="19"/>
      <c r="J6" s="89"/>
      <c r="K6" s="19"/>
      <c r="L6" s="19"/>
      <c r="M6" s="19"/>
      <c r="N6" s="19"/>
      <c r="O6" s="41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5.75" customHeight="1">
      <c r="A7" s="88" t="s">
        <v>196</v>
      </c>
      <c r="B7" s="20"/>
      <c r="C7" s="20"/>
      <c r="D7" s="19"/>
      <c r="E7" s="19"/>
      <c r="F7" s="19"/>
      <c r="G7" s="19"/>
      <c r="H7" s="20"/>
      <c r="I7" s="19"/>
      <c r="J7" s="89"/>
      <c r="K7" s="19"/>
      <c r="L7" s="19"/>
      <c r="M7" s="19"/>
      <c r="N7" s="19"/>
      <c r="O7" s="94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ht="15.75" customHeight="1">
      <c r="A8" s="19"/>
      <c r="B8" s="20"/>
      <c r="C8" s="20"/>
      <c r="D8" s="19"/>
      <c r="E8" s="19"/>
      <c r="F8" s="19"/>
      <c r="G8" s="19"/>
      <c r="H8" s="20"/>
      <c r="I8" s="42"/>
      <c r="J8" s="89"/>
      <c r="K8" s="19"/>
      <c r="L8" s="19"/>
      <c r="M8" s="19"/>
      <c r="N8" s="19"/>
      <c r="O8" s="92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spans="1:26" ht="56.25" customHeight="1">
      <c r="A9" s="96" t="s">
        <v>197</v>
      </c>
      <c r="B9" s="97" t="s">
        <v>11</v>
      </c>
      <c r="C9" s="97" t="s">
        <v>12</v>
      </c>
      <c r="D9" s="96" t="s">
        <v>13</v>
      </c>
      <c r="E9" s="96" t="s">
        <v>14</v>
      </c>
      <c r="F9" s="96" t="s">
        <v>78</v>
      </c>
      <c r="G9" s="96" t="s">
        <v>16</v>
      </c>
      <c r="H9" s="97" t="s">
        <v>17</v>
      </c>
      <c r="I9" s="96" t="s">
        <v>198</v>
      </c>
      <c r="J9" s="96" t="s">
        <v>199</v>
      </c>
      <c r="K9" s="96" t="s">
        <v>200</v>
      </c>
      <c r="L9" s="96" t="s">
        <v>21</v>
      </c>
      <c r="M9" s="96" t="s">
        <v>22</v>
      </c>
      <c r="N9" s="96" t="s">
        <v>23</v>
      </c>
      <c r="O9" s="92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 spans="1:26" ht="95.25" customHeight="1">
      <c r="A10" s="131" t="s">
        <v>201</v>
      </c>
      <c r="B10" s="81">
        <v>45686</v>
      </c>
      <c r="C10" s="81">
        <v>46097</v>
      </c>
      <c r="D10" s="80" t="s">
        <v>202</v>
      </c>
      <c r="E10" s="80" t="s">
        <v>26</v>
      </c>
      <c r="F10" s="80" t="s">
        <v>27</v>
      </c>
      <c r="G10" s="80" t="s">
        <v>33</v>
      </c>
      <c r="H10" s="81">
        <v>45686</v>
      </c>
      <c r="I10" s="82">
        <v>427130.49468399998</v>
      </c>
      <c r="J10" s="80" t="s">
        <v>111</v>
      </c>
      <c r="K10" s="82">
        <v>340371.42036215658</v>
      </c>
      <c r="L10" s="98">
        <v>1.1416666666666666</v>
      </c>
      <c r="M10" s="80" t="s">
        <v>29</v>
      </c>
      <c r="N10" s="80">
        <v>4</v>
      </c>
      <c r="O10" s="99"/>
      <c r="P10" s="100"/>
      <c r="Q10" s="101"/>
      <c r="R10" s="38"/>
      <c r="S10" s="38"/>
      <c r="T10" s="38"/>
      <c r="U10" s="38"/>
      <c r="V10" s="38"/>
      <c r="W10" s="38"/>
      <c r="X10" s="38"/>
      <c r="Y10" s="38"/>
      <c r="Z10" s="38"/>
    </row>
    <row r="11" spans="1:26" ht="95.25" customHeight="1">
      <c r="A11" s="131" t="s">
        <v>203</v>
      </c>
      <c r="B11" s="81">
        <v>45686</v>
      </c>
      <c r="C11" s="81">
        <v>46203</v>
      </c>
      <c r="D11" s="80" t="s">
        <v>204</v>
      </c>
      <c r="E11" s="80" t="s">
        <v>26</v>
      </c>
      <c r="F11" s="80" t="s">
        <v>27</v>
      </c>
      <c r="G11" s="80" t="s">
        <v>33</v>
      </c>
      <c r="H11" s="81">
        <v>45686</v>
      </c>
      <c r="I11" s="82">
        <v>427130.49468399998</v>
      </c>
      <c r="J11" s="80" t="s">
        <v>111</v>
      </c>
      <c r="K11" s="82">
        <v>340371.42036215658</v>
      </c>
      <c r="L11" s="98">
        <v>1.4361111111111111</v>
      </c>
      <c r="M11" s="80" t="s">
        <v>29</v>
      </c>
      <c r="N11" s="80">
        <v>4</v>
      </c>
      <c r="O11" s="99"/>
      <c r="P11" s="100"/>
      <c r="Q11" s="101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95.25" customHeight="1">
      <c r="A12" s="131" t="s">
        <v>205</v>
      </c>
      <c r="B12" s="81">
        <v>45686</v>
      </c>
      <c r="C12" s="81">
        <v>46280</v>
      </c>
      <c r="D12" s="80" t="s">
        <v>206</v>
      </c>
      <c r="E12" s="80" t="s">
        <v>26</v>
      </c>
      <c r="F12" s="80" t="s">
        <v>27</v>
      </c>
      <c r="G12" s="80" t="s">
        <v>33</v>
      </c>
      <c r="H12" s="81">
        <v>45686</v>
      </c>
      <c r="I12" s="82">
        <v>427130.49468399998</v>
      </c>
      <c r="J12" s="80" t="s">
        <v>111</v>
      </c>
      <c r="K12" s="82">
        <v>340371.42036215658</v>
      </c>
      <c r="L12" s="98">
        <v>1.65</v>
      </c>
      <c r="M12" s="80" t="s">
        <v>29</v>
      </c>
      <c r="N12" s="80">
        <v>4</v>
      </c>
      <c r="O12" s="99"/>
      <c r="P12" s="100"/>
      <c r="Q12" s="101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95.25" customHeight="1">
      <c r="A13" s="131" t="s">
        <v>207</v>
      </c>
      <c r="B13" s="81">
        <v>45686</v>
      </c>
      <c r="C13" s="81">
        <v>46371</v>
      </c>
      <c r="D13" s="80" t="s">
        <v>208</v>
      </c>
      <c r="E13" s="80" t="s">
        <v>26</v>
      </c>
      <c r="F13" s="80" t="s">
        <v>27</v>
      </c>
      <c r="G13" s="80" t="s">
        <v>33</v>
      </c>
      <c r="H13" s="81">
        <v>45686</v>
      </c>
      <c r="I13" s="82">
        <v>427130.49437199999</v>
      </c>
      <c r="J13" s="80" t="s">
        <v>111</v>
      </c>
      <c r="K13" s="82">
        <v>340371.42036215658</v>
      </c>
      <c r="L13" s="98">
        <v>1.9027777777777777</v>
      </c>
      <c r="M13" s="80" t="s">
        <v>29</v>
      </c>
      <c r="N13" s="80">
        <v>4</v>
      </c>
      <c r="O13" s="99"/>
      <c r="P13" s="100"/>
      <c r="Q13" s="101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95.25" customHeight="1">
      <c r="A14" s="131" t="s">
        <v>201</v>
      </c>
      <c r="B14" s="81">
        <v>45686</v>
      </c>
      <c r="C14" s="81">
        <v>46097</v>
      </c>
      <c r="D14" s="80" t="s">
        <v>209</v>
      </c>
      <c r="E14" s="80" t="s">
        <v>26</v>
      </c>
      <c r="F14" s="80" t="s">
        <v>27</v>
      </c>
      <c r="G14" s="80" t="s">
        <v>33</v>
      </c>
      <c r="H14" s="81">
        <v>45686</v>
      </c>
      <c r="I14" s="82">
        <v>166681.93288199999</v>
      </c>
      <c r="J14" s="80" t="s">
        <v>93</v>
      </c>
      <c r="K14" s="82">
        <v>134566.04940991668</v>
      </c>
      <c r="L14" s="98">
        <v>1.1416666666666666</v>
      </c>
      <c r="M14" s="80" t="s">
        <v>29</v>
      </c>
      <c r="N14" s="80">
        <v>4</v>
      </c>
      <c r="O14" s="99"/>
      <c r="P14" s="102"/>
      <c r="Q14" s="101"/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95.25" customHeight="1">
      <c r="A15" s="131" t="s">
        <v>203</v>
      </c>
      <c r="B15" s="81">
        <v>45686</v>
      </c>
      <c r="C15" s="81">
        <v>46203</v>
      </c>
      <c r="D15" s="80" t="s">
        <v>204</v>
      </c>
      <c r="E15" s="80" t="s">
        <v>26</v>
      </c>
      <c r="F15" s="80" t="s">
        <v>27</v>
      </c>
      <c r="G15" s="80" t="s">
        <v>33</v>
      </c>
      <c r="H15" s="81">
        <v>45686</v>
      </c>
      <c r="I15" s="82">
        <v>166681.93288199999</v>
      </c>
      <c r="J15" s="80" t="s">
        <v>93</v>
      </c>
      <c r="K15" s="82">
        <v>134566.04940991668</v>
      </c>
      <c r="L15" s="98">
        <v>1.4361111111111111</v>
      </c>
      <c r="M15" s="80" t="s">
        <v>29</v>
      </c>
      <c r="N15" s="80">
        <v>4</v>
      </c>
      <c r="O15" s="99"/>
      <c r="P15" s="102"/>
      <c r="Q15" s="101"/>
      <c r="R15" s="38"/>
      <c r="S15" s="38"/>
      <c r="T15" s="38"/>
      <c r="U15" s="38"/>
      <c r="V15" s="38"/>
      <c r="W15" s="38"/>
      <c r="X15" s="38"/>
      <c r="Y15" s="38"/>
      <c r="Z15" s="38"/>
    </row>
    <row r="16" spans="1:26" ht="95.25" customHeight="1">
      <c r="A16" s="131" t="s">
        <v>205</v>
      </c>
      <c r="B16" s="81">
        <v>45686</v>
      </c>
      <c r="C16" s="81">
        <v>46280</v>
      </c>
      <c r="D16" s="80" t="s">
        <v>206</v>
      </c>
      <c r="E16" s="80" t="s">
        <v>26</v>
      </c>
      <c r="F16" s="80" t="s">
        <v>27</v>
      </c>
      <c r="G16" s="80" t="s">
        <v>33</v>
      </c>
      <c r="H16" s="81">
        <v>45686</v>
      </c>
      <c r="I16" s="82">
        <v>166681.93288199999</v>
      </c>
      <c r="J16" s="80" t="s">
        <v>93</v>
      </c>
      <c r="K16" s="82">
        <v>134566.04940991668</v>
      </c>
      <c r="L16" s="98">
        <v>1.65</v>
      </c>
      <c r="M16" s="80" t="s">
        <v>29</v>
      </c>
      <c r="N16" s="80">
        <v>4</v>
      </c>
      <c r="O16" s="99"/>
      <c r="P16" s="102"/>
      <c r="Q16" s="101"/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95.25" customHeight="1">
      <c r="A17" s="131" t="s">
        <v>207</v>
      </c>
      <c r="B17" s="81">
        <v>45686</v>
      </c>
      <c r="C17" s="81">
        <v>46371</v>
      </c>
      <c r="D17" s="80" t="s">
        <v>208</v>
      </c>
      <c r="E17" s="80" t="s">
        <v>26</v>
      </c>
      <c r="F17" s="80" t="s">
        <v>27</v>
      </c>
      <c r="G17" s="80" t="s">
        <v>33</v>
      </c>
      <c r="H17" s="81">
        <v>45686</v>
      </c>
      <c r="I17" s="82">
        <v>166681.93270899999</v>
      </c>
      <c r="J17" s="80" t="s">
        <v>93</v>
      </c>
      <c r="K17" s="82">
        <v>134566.04927024993</v>
      </c>
      <c r="L17" s="98">
        <v>1.9027777777777777</v>
      </c>
      <c r="M17" s="80" t="s">
        <v>29</v>
      </c>
      <c r="N17" s="80">
        <v>4</v>
      </c>
      <c r="O17" s="99"/>
      <c r="P17" s="102"/>
      <c r="Q17" s="101"/>
      <c r="R17" s="38"/>
      <c r="S17" s="38"/>
      <c r="T17" s="38"/>
      <c r="U17" s="38"/>
      <c r="V17" s="38"/>
      <c r="W17" s="38"/>
      <c r="X17" s="38"/>
      <c r="Y17" s="38"/>
      <c r="Z17" s="38"/>
    </row>
    <row r="18" spans="1:26" ht="95.25" customHeight="1">
      <c r="A18" s="131" t="s">
        <v>201</v>
      </c>
      <c r="B18" s="81">
        <v>45686</v>
      </c>
      <c r="C18" s="81">
        <v>46097</v>
      </c>
      <c r="D18" s="80" t="s">
        <v>210</v>
      </c>
      <c r="E18" s="80" t="s">
        <v>26</v>
      </c>
      <c r="F18" s="80" t="s">
        <v>27</v>
      </c>
      <c r="G18" s="80" t="s">
        <v>33</v>
      </c>
      <c r="H18" s="81">
        <v>45686</v>
      </c>
      <c r="I18" s="82">
        <v>288578.15597199998</v>
      </c>
      <c r="J18" s="80" t="s">
        <v>103</v>
      </c>
      <c r="K18" s="82">
        <v>218172.76214115229</v>
      </c>
      <c r="L18" s="98">
        <v>1.1416666666666666</v>
      </c>
      <c r="M18" s="80" t="s">
        <v>29</v>
      </c>
      <c r="N18" s="80">
        <v>4</v>
      </c>
      <c r="O18" s="99"/>
      <c r="P18" s="100"/>
      <c r="Q18" s="101"/>
      <c r="R18" s="38"/>
      <c r="S18" s="38"/>
      <c r="T18" s="38"/>
      <c r="U18" s="38"/>
      <c r="V18" s="38"/>
      <c r="W18" s="38"/>
      <c r="X18" s="38"/>
      <c r="Y18" s="38"/>
      <c r="Z18" s="38"/>
    </row>
    <row r="19" spans="1:26" ht="95.25" customHeight="1">
      <c r="A19" s="131" t="s">
        <v>203</v>
      </c>
      <c r="B19" s="81">
        <v>45686</v>
      </c>
      <c r="C19" s="81">
        <v>46203</v>
      </c>
      <c r="D19" s="80" t="s">
        <v>204</v>
      </c>
      <c r="E19" s="80" t="s">
        <v>26</v>
      </c>
      <c r="F19" s="80" t="s">
        <v>27</v>
      </c>
      <c r="G19" s="80" t="s">
        <v>33</v>
      </c>
      <c r="H19" s="81">
        <v>45686</v>
      </c>
      <c r="I19" s="82">
        <v>288578.15597199998</v>
      </c>
      <c r="J19" s="80" t="s">
        <v>103</v>
      </c>
      <c r="K19" s="82">
        <v>218172.76214115229</v>
      </c>
      <c r="L19" s="98">
        <v>1.4361111111111111</v>
      </c>
      <c r="M19" s="80" t="s">
        <v>29</v>
      </c>
      <c r="N19" s="80">
        <v>4</v>
      </c>
      <c r="O19" s="99"/>
      <c r="P19" s="100"/>
      <c r="Q19" s="101"/>
      <c r="R19" s="38"/>
      <c r="S19" s="38"/>
      <c r="T19" s="38"/>
      <c r="U19" s="38"/>
      <c r="V19" s="38"/>
      <c r="W19" s="38"/>
      <c r="X19" s="38"/>
      <c r="Y19" s="38"/>
      <c r="Z19" s="38"/>
    </row>
    <row r="20" spans="1:26" ht="95.25" customHeight="1">
      <c r="A20" s="131" t="s">
        <v>205</v>
      </c>
      <c r="B20" s="81">
        <v>45686</v>
      </c>
      <c r="C20" s="81">
        <v>46280</v>
      </c>
      <c r="D20" s="80" t="s">
        <v>206</v>
      </c>
      <c r="E20" s="80" t="s">
        <v>26</v>
      </c>
      <c r="F20" s="80" t="s">
        <v>27</v>
      </c>
      <c r="G20" s="80" t="s">
        <v>33</v>
      </c>
      <c r="H20" s="81">
        <v>45686</v>
      </c>
      <c r="I20" s="82">
        <v>288578.15597199998</v>
      </c>
      <c r="J20" s="80" t="s">
        <v>103</v>
      </c>
      <c r="K20" s="82">
        <v>218172.76214115229</v>
      </c>
      <c r="L20" s="98">
        <v>1.65</v>
      </c>
      <c r="M20" s="80" t="s">
        <v>29</v>
      </c>
      <c r="N20" s="80">
        <v>4</v>
      </c>
      <c r="O20" s="99"/>
      <c r="P20" s="100"/>
      <c r="Q20" s="101"/>
      <c r="R20" s="38"/>
      <c r="S20" s="38"/>
      <c r="T20" s="38"/>
      <c r="U20" s="38"/>
      <c r="V20" s="38"/>
      <c r="W20" s="38"/>
      <c r="X20" s="38"/>
      <c r="Y20" s="38"/>
      <c r="Z20" s="38"/>
    </row>
    <row r="21" spans="1:26" ht="95.25" customHeight="1">
      <c r="A21" s="131" t="s">
        <v>207</v>
      </c>
      <c r="B21" s="81">
        <v>45686</v>
      </c>
      <c r="C21" s="81">
        <v>46371</v>
      </c>
      <c r="D21" s="80" t="s">
        <v>208</v>
      </c>
      <c r="E21" s="80" t="s">
        <v>26</v>
      </c>
      <c r="F21" s="80" t="s">
        <v>27</v>
      </c>
      <c r="G21" s="80" t="s">
        <v>33</v>
      </c>
      <c r="H21" s="81">
        <v>45686</v>
      </c>
      <c r="I21" s="82">
        <v>288578.15562199999</v>
      </c>
      <c r="J21" s="80" t="s">
        <v>103</v>
      </c>
      <c r="K21" s="82">
        <v>218172.76187654299</v>
      </c>
      <c r="L21" s="98">
        <v>1.9027777777777777</v>
      </c>
      <c r="M21" s="80" t="s">
        <v>29</v>
      </c>
      <c r="N21" s="80">
        <v>4</v>
      </c>
      <c r="O21" s="99"/>
      <c r="P21" s="100"/>
      <c r="Q21" s="101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95.25" customHeight="1">
      <c r="A22" s="131" t="s">
        <v>201</v>
      </c>
      <c r="B22" s="81">
        <v>45686</v>
      </c>
      <c r="C22" s="81">
        <v>46097</v>
      </c>
      <c r="D22" s="80" t="s">
        <v>211</v>
      </c>
      <c r="E22" s="80" t="s">
        <v>26</v>
      </c>
      <c r="F22" s="80" t="s">
        <v>27</v>
      </c>
      <c r="G22" s="80" t="s">
        <v>33</v>
      </c>
      <c r="H22" s="81">
        <v>45686</v>
      </c>
      <c r="I22" s="82">
        <v>112375.802033</v>
      </c>
      <c r="J22" s="80" t="s">
        <v>123</v>
      </c>
      <c r="K22" s="82">
        <v>86213.236569688641</v>
      </c>
      <c r="L22" s="98">
        <v>1.1416666666666666</v>
      </c>
      <c r="M22" s="80" t="s">
        <v>29</v>
      </c>
      <c r="N22" s="80">
        <v>4</v>
      </c>
      <c r="O22" s="99"/>
      <c r="P22" s="100"/>
      <c r="Q22" s="100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95.25" customHeight="1">
      <c r="A23" s="131" t="s">
        <v>203</v>
      </c>
      <c r="B23" s="81">
        <v>45686</v>
      </c>
      <c r="C23" s="81">
        <v>46203</v>
      </c>
      <c r="D23" s="80" t="s">
        <v>204</v>
      </c>
      <c r="E23" s="80" t="s">
        <v>26</v>
      </c>
      <c r="F23" s="80" t="s">
        <v>27</v>
      </c>
      <c r="G23" s="80" t="s">
        <v>33</v>
      </c>
      <c r="H23" s="81">
        <v>45686</v>
      </c>
      <c r="I23" s="82">
        <v>112375.802033</v>
      </c>
      <c r="J23" s="80" t="s">
        <v>123</v>
      </c>
      <c r="K23" s="82">
        <v>86213.236569688641</v>
      </c>
      <c r="L23" s="98">
        <v>1.4361111111111111</v>
      </c>
      <c r="M23" s="80" t="s">
        <v>29</v>
      </c>
      <c r="N23" s="80">
        <v>4</v>
      </c>
      <c r="O23" s="99"/>
      <c r="P23" s="100"/>
      <c r="Q23" s="100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95.25" customHeight="1">
      <c r="A24" s="131" t="s">
        <v>205</v>
      </c>
      <c r="B24" s="81">
        <v>45686</v>
      </c>
      <c r="C24" s="81">
        <v>46280</v>
      </c>
      <c r="D24" s="80" t="s">
        <v>206</v>
      </c>
      <c r="E24" s="80" t="s">
        <v>26</v>
      </c>
      <c r="F24" s="80" t="s">
        <v>27</v>
      </c>
      <c r="G24" s="80" t="s">
        <v>33</v>
      </c>
      <c r="H24" s="81">
        <v>45686</v>
      </c>
      <c r="I24" s="82">
        <v>112375.802033</v>
      </c>
      <c r="J24" s="80" t="s">
        <v>123</v>
      </c>
      <c r="K24" s="82">
        <v>86213.236569688641</v>
      </c>
      <c r="L24" s="98">
        <v>1.65</v>
      </c>
      <c r="M24" s="80" t="s">
        <v>29</v>
      </c>
      <c r="N24" s="80">
        <v>4</v>
      </c>
      <c r="O24" s="99"/>
      <c r="P24" s="100"/>
      <c r="Q24" s="100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95.25" customHeight="1">
      <c r="A25" s="131" t="s">
        <v>207</v>
      </c>
      <c r="B25" s="81">
        <v>45686</v>
      </c>
      <c r="C25" s="81">
        <v>46371</v>
      </c>
      <c r="D25" s="80" t="s">
        <v>208</v>
      </c>
      <c r="E25" s="80" t="s">
        <v>26</v>
      </c>
      <c r="F25" s="80" t="s">
        <v>27</v>
      </c>
      <c r="G25" s="80" t="s">
        <v>33</v>
      </c>
      <c r="H25" s="81">
        <v>45686</v>
      </c>
      <c r="I25" s="82">
        <v>112375.8018</v>
      </c>
      <c r="J25" s="80" t="s">
        <v>123</v>
      </c>
      <c r="K25" s="82">
        <v>86213.236390934093</v>
      </c>
      <c r="L25" s="98">
        <v>1.9027777777777777</v>
      </c>
      <c r="M25" s="80" t="s">
        <v>29</v>
      </c>
      <c r="N25" s="80">
        <v>4</v>
      </c>
      <c r="O25" s="99"/>
      <c r="P25" s="100"/>
      <c r="Q25" s="100"/>
      <c r="R25" s="38"/>
      <c r="S25" s="38"/>
      <c r="T25" s="38"/>
      <c r="U25" s="38"/>
      <c r="V25" s="38"/>
      <c r="W25" s="38"/>
      <c r="X25" s="38"/>
      <c r="Y25" s="38"/>
      <c r="Z25" s="38"/>
    </row>
    <row r="26" spans="1:26" ht="95.25" customHeight="1">
      <c r="A26" s="131" t="s">
        <v>201</v>
      </c>
      <c r="B26" s="81">
        <v>45686</v>
      </c>
      <c r="C26" s="81">
        <v>46097</v>
      </c>
      <c r="D26" s="80" t="s">
        <v>212</v>
      </c>
      <c r="E26" s="80" t="s">
        <v>26</v>
      </c>
      <c r="F26" s="80" t="s">
        <v>27</v>
      </c>
      <c r="G26" s="80" t="s">
        <v>33</v>
      </c>
      <c r="H26" s="81">
        <v>45686</v>
      </c>
      <c r="I26" s="82">
        <v>538624.28969100001</v>
      </c>
      <c r="J26" s="80" t="s">
        <v>44</v>
      </c>
      <c r="K26" s="82">
        <v>257390.05465247727</v>
      </c>
      <c r="L26" s="98">
        <v>1.1416666666666666</v>
      </c>
      <c r="M26" s="80" t="s">
        <v>29</v>
      </c>
      <c r="N26" s="80">
        <v>4</v>
      </c>
      <c r="O26" s="99"/>
      <c r="P26" s="103"/>
      <c r="Q26" s="104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95.25" customHeight="1">
      <c r="A27" s="131" t="s">
        <v>203</v>
      </c>
      <c r="B27" s="81">
        <v>45686</v>
      </c>
      <c r="C27" s="81">
        <v>46203</v>
      </c>
      <c r="D27" s="80" t="s">
        <v>204</v>
      </c>
      <c r="E27" s="80" t="s">
        <v>26</v>
      </c>
      <c r="F27" s="80" t="s">
        <v>27</v>
      </c>
      <c r="G27" s="80" t="s">
        <v>33</v>
      </c>
      <c r="H27" s="81">
        <v>45686</v>
      </c>
      <c r="I27" s="82">
        <v>538624.28969100001</v>
      </c>
      <c r="J27" s="80" t="s">
        <v>44</v>
      </c>
      <c r="K27" s="82">
        <v>257390.05465247727</v>
      </c>
      <c r="L27" s="98">
        <v>1.4361111111111111</v>
      </c>
      <c r="M27" s="80" t="s">
        <v>29</v>
      </c>
      <c r="N27" s="80">
        <v>4</v>
      </c>
      <c r="O27" s="99"/>
      <c r="P27" s="103"/>
      <c r="Q27" s="104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95.25" customHeight="1">
      <c r="A28" s="131" t="s">
        <v>205</v>
      </c>
      <c r="B28" s="81">
        <v>45686</v>
      </c>
      <c r="C28" s="81">
        <v>46280</v>
      </c>
      <c r="D28" s="80" t="s">
        <v>206</v>
      </c>
      <c r="E28" s="80" t="s">
        <v>26</v>
      </c>
      <c r="F28" s="80" t="s">
        <v>27</v>
      </c>
      <c r="G28" s="80" t="s">
        <v>33</v>
      </c>
      <c r="H28" s="81">
        <v>45686</v>
      </c>
      <c r="I28" s="82">
        <v>538624.28969100001</v>
      </c>
      <c r="J28" s="80" t="s">
        <v>44</v>
      </c>
      <c r="K28" s="82">
        <v>257390.05465247727</v>
      </c>
      <c r="L28" s="98">
        <v>1.65</v>
      </c>
      <c r="M28" s="80" t="s">
        <v>29</v>
      </c>
      <c r="N28" s="80">
        <v>4</v>
      </c>
      <c r="O28" s="99"/>
      <c r="P28" s="103"/>
      <c r="Q28" s="104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95.25" customHeight="1">
      <c r="A29" s="131" t="s">
        <v>207</v>
      </c>
      <c r="B29" s="81">
        <v>45686</v>
      </c>
      <c r="C29" s="81">
        <v>46371</v>
      </c>
      <c r="D29" s="80" t="s">
        <v>208</v>
      </c>
      <c r="E29" s="80" t="s">
        <v>26</v>
      </c>
      <c r="F29" s="80" t="s">
        <v>27</v>
      </c>
      <c r="G29" s="80" t="s">
        <v>33</v>
      </c>
      <c r="H29" s="81">
        <v>45686</v>
      </c>
      <c r="I29" s="82">
        <v>538624.28946100001</v>
      </c>
      <c r="J29" s="80" t="s">
        <v>44</v>
      </c>
      <c r="K29" s="82">
        <v>257390.05454256816</v>
      </c>
      <c r="L29" s="98">
        <v>1.9027777777777777</v>
      </c>
      <c r="M29" s="80" t="s">
        <v>29</v>
      </c>
      <c r="N29" s="80">
        <v>4</v>
      </c>
      <c r="O29" s="99"/>
      <c r="P29" s="103"/>
      <c r="Q29" s="104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95.25" customHeight="1">
      <c r="A30" s="131" t="s">
        <v>201</v>
      </c>
      <c r="B30" s="81">
        <v>45686</v>
      </c>
      <c r="C30" s="81">
        <v>46097</v>
      </c>
      <c r="D30" s="80" t="s">
        <v>213</v>
      </c>
      <c r="E30" s="80" t="s">
        <v>26</v>
      </c>
      <c r="F30" s="80" t="s">
        <v>27</v>
      </c>
      <c r="G30" s="80" t="s">
        <v>33</v>
      </c>
      <c r="H30" s="81">
        <v>45686</v>
      </c>
      <c r="I30" s="82">
        <v>301741.09700399998</v>
      </c>
      <c r="J30" s="80" t="s">
        <v>80</v>
      </c>
      <c r="K30" s="82">
        <v>234274.60149076147</v>
      </c>
      <c r="L30" s="98">
        <v>1.1416666666666666</v>
      </c>
      <c r="M30" s="80" t="s">
        <v>29</v>
      </c>
      <c r="N30" s="80">
        <v>4</v>
      </c>
      <c r="O30" s="99"/>
      <c r="P30" s="100"/>
      <c r="Q30" s="104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95.25" customHeight="1">
      <c r="A31" s="131" t="s">
        <v>203</v>
      </c>
      <c r="B31" s="81">
        <v>45686</v>
      </c>
      <c r="C31" s="81">
        <v>46203</v>
      </c>
      <c r="D31" s="80" t="s">
        <v>204</v>
      </c>
      <c r="E31" s="80" t="s">
        <v>26</v>
      </c>
      <c r="F31" s="80" t="s">
        <v>27</v>
      </c>
      <c r="G31" s="80" t="s">
        <v>33</v>
      </c>
      <c r="H31" s="81">
        <v>45686</v>
      </c>
      <c r="I31" s="82">
        <v>301741.09700399998</v>
      </c>
      <c r="J31" s="80" t="s">
        <v>80</v>
      </c>
      <c r="K31" s="82">
        <v>234274.60149076147</v>
      </c>
      <c r="L31" s="98">
        <v>1.4361111111111111</v>
      </c>
      <c r="M31" s="80" t="s">
        <v>29</v>
      </c>
      <c r="N31" s="80">
        <v>4</v>
      </c>
      <c r="O31" s="99"/>
      <c r="P31" s="100"/>
      <c r="Q31" s="104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95.25" customHeight="1">
      <c r="A32" s="131" t="s">
        <v>205</v>
      </c>
      <c r="B32" s="81">
        <v>45686</v>
      </c>
      <c r="C32" s="81">
        <v>46280</v>
      </c>
      <c r="D32" s="80" t="s">
        <v>206</v>
      </c>
      <c r="E32" s="80" t="s">
        <v>26</v>
      </c>
      <c r="F32" s="80" t="s">
        <v>27</v>
      </c>
      <c r="G32" s="80" t="s">
        <v>33</v>
      </c>
      <c r="H32" s="81">
        <v>45686</v>
      </c>
      <c r="I32" s="82">
        <v>301741.09700399998</v>
      </c>
      <c r="J32" s="80" t="s">
        <v>80</v>
      </c>
      <c r="K32" s="82">
        <v>234274.60149076147</v>
      </c>
      <c r="L32" s="98">
        <v>1.65</v>
      </c>
      <c r="M32" s="80" t="s">
        <v>29</v>
      </c>
      <c r="N32" s="80">
        <v>4</v>
      </c>
      <c r="O32" s="99"/>
      <c r="P32" s="100"/>
      <c r="Q32" s="104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95.25" customHeight="1">
      <c r="A33" s="131" t="s">
        <v>207</v>
      </c>
      <c r="B33" s="81">
        <v>45686</v>
      </c>
      <c r="C33" s="81">
        <v>46371</v>
      </c>
      <c r="D33" s="80" t="s">
        <v>208</v>
      </c>
      <c r="E33" s="80" t="s">
        <v>26</v>
      </c>
      <c r="F33" s="80" t="s">
        <v>27</v>
      </c>
      <c r="G33" s="80" t="s">
        <v>33</v>
      </c>
      <c r="H33" s="81">
        <v>45686</v>
      </c>
      <c r="I33" s="82">
        <v>301741.09679400001</v>
      </c>
      <c r="J33" s="80" t="s">
        <v>80</v>
      </c>
      <c r="K33" s="82">
        <v>234274.60132771553</v>
      </c>
      <c r="L33" s="98">
        <v>1.9027777777777777</v>
      </c>
      <c r="M33" s="80" t="s">
        <v>29</v>
      </c>
      <c r="N33" s="80">
        <v>4</v>
      </c>
      <c r="O33" s="99"/>
      <c r="P33" s="100"/>
      <c r="Q33" s="104"/>
      <c r="R33" s="38"/>
      <c r="S33" s="38"/>
      <c r="T33" s="38"/>
      <c r="U33" s="38"/>
      <c r="V33" s="38"/>
      <c r="W33" s="38"/>
      <c r="X33" s="38"/>
      <c r="Y33" s="38"/>
      <c r="Z33" s="38"/>
    </row>
    <row r="34" spans="1:26" ht="95.25" customHeight="1">
      <c r="A34" s="131" t="s">
        <v>201</v>
      </c>
      <c r="B34" s="81">
        <v>45686</v>
      </c>
      <c r="C34" s="81">
        <v>46097</v>
      </c>
      <c r="D34" s="80" t="s">
        <v>214</v>
      </c>
      <c r="E34" s="80" t="s">
        <v>26</v>
      </c>
      <c r="F34" s="80" t="s">
        <v>27</v>
      </c>
      <c r="G34" s="80" t="s">
        <v>33</v>
      </c>
      <c r="H34" s="81">
        <v>45686</v>
      </c>
      <c r="I34" s="82">
        <v>222994.00587399999</v>
      </c>
      <c r="J34" s="80" t="s">
        <v>120</v>
      </c>
      <c r="K34" s="82">
        <v>165735.09436577556</v>
      </c>
      <c r="L34" s="98">
        <v>1.1416666666666666</v>
      </c>
      <c r="M34" s="80" t="s">
        <v>29</v>
      </c>
      <c r="N34" s="80">
        <v>4</v>
      </c>
      <c r="O34" s="99"/>
      <c r="P34" s="100"/>
      <c r="Q34" s="104"/>
      <c r="R34" s="38"/>
      <c r="S34" s="38"/>
      <c r="T34" s="38"/>
      <c r="U34" s="38"/>
      <c r="V34" s="38"/>
      <c r="W34" s="38"/>
      <c r="X34" s="38"/>
      <c r="Y34" s="38"/>
      <c r="Z34" s="38"/>
    </row>
    <row r="35" spans="1:26" ht="95.25" customHeight="1">
      <c r="A35" s="131" t="s">
        <v>203</v>
      </c>
      <c r="B35" s="81">
        <v>45686</v>
      </c>
      <c r="C35" s="81">
        <v>46203</v>
      </c>
      <c r="D35" s="80" t="s">
        <v>204</v>
      </c>
      <c r="E35" s="80" t="s">
        <v>26</v>
      </c>
      <c r="F35" s="80" t="s">
        <v>27</v>
      </c>
      <c r="G35" s="80" t="s">
        <v>33</v>
      </c>
      <c r="H35" s="81">
        <v>45686</v>
      </c>
      <c r="I35" s="82">
        <v>222994.00587399999</v>
      </c>
      <c r="J35" s="80" t="s">
        <v>120</v>
      </c>
      <c r="K35" s="82">
        <v>165735.09436577556</v>
      </c>
      <c r="L35" s="98">
        <v>1.4361111111111111</v>
      </c>
      <c r="M35" s="80" t="s">
        <v>29</v>
      </c>
      <c r="N35" s="80">
        <v>4</v>
      </c>
      <c r="O35" s="99"/>
      <c r="P35" s="100"/>
      <c r="Q35" s="104"/>
      <c r="R35" s="38"/>
      <c r="S35" s="38"/>
      <c r="T35" s="38"/>
      <c r="U35" s="38"/>
      <c r="V35" s="38"/>
      <c r="W35" s="38"/>
      <c r="X35" s="38"/>
      <c r="Y35" s="38"/>
      <c r="Z35" s="38"/>
    </row>
    <row r="36" spans="1:26" ht="95.25" customHeight="1">
      <c r="A36" s="131" t="s">
        <v>205</v>
      </c>
      <c r="B36" s="81">
        <v>45686</v>
      </c>
      <c r="C36" s="81">
        <v>46280</v>
      </c>
      <c r="D36" s="80" t="s">
        <v>206</v>
      </c>
      <c r="E36" s="80" t="s">
        <v>26</v>
      </c>
      <c r="F36" s="80" t="s">
        <v>27</v>
      </c>
      <c r="G36" s="80" t="s">
        <v>33</v>
      </c>
      <c r="H36" s="81">
        <v>45686</v>
      </c>
      <c r="I36" s="82">
        <v>222994.00587399999</v>
      </c>
      <c r="J36" s="80" t="s">
        <v>120</v>
      </c>
      <c r="K36" s="82">
        <v>165735.09436577556</v>
      </c>
      <c r="L36" s="98">
        <v>1.65</v>
      </c>
      <c r="M36" s="80" t="s">
        <v>29</v>
      </c>
      <c r="N36" s="80">
        <v>4</v>
      </c>
      <c r="O36" s="99"/>
      <c r="P36" s="100"/>
      <c r="Q36" s="104"/>
      <c r="R36" s="38"/>
      <c r="S36" s="38"/>
      <c r="T36" s="38"/>
      <c r="U36" s="38"/>
      <c r="V36" s="38"/>
      <c r="W36" s="38"/>
      <c r="X36" s="38"/>
      <c r="Y36" s="38"/>
      <c r="Z36" s="38"/>
    </row>
    <row r="37" spans="1:26" ht="95.25" customHeight="1">
      <c r="A37" s="131" t="s">
        <v>207</v>
      </c>
      <c r="B37" s="81">
        <v>45686</v>
      </c>
      <c r="C37" s="81">
        <v>46371</v>
      </c>
      <c r="D37" s="80" t="s">
        <v>208</v>
      </c>
      <c r="E37" s="80" t="s">
        <v>26</v>
      </c>
      <c r="F37" s="80" t="s">
        <v>27</v>
      </c>
      <c r="G37" s="80" t="s">
        <v>33</v>
      </c>
      <c r="H37" s="81">
        <v>45686</v>
      </c>
      <c r="I37" s="82">
        <v>222994.00552000001</v>
      </c>
      <c r="J37" s="80" t="s">
        <v>120</v>
      </c>
      <c r="K37" s="82">
        <v>165735.09410267332</v>
      </c>
      <c r="L37" s="98">
        <v>1.9027777777777777</v>
      </c>
      <c r="M37" s="80" t="s">
        <v>29</v>
      </c>
      <c r="N37" s="80">
        <v>4</v>
      </c>
      <c r="O37" s="99"/>
      <c r="P37" s="100"/>
      <c r="Q37" s="104"/>
      <c r="R37" s="38"/>
      <c r="S37" s="38"/>
      <c r="T37" s="38"/>
      <c r="U37" s="38"/>
      <c r="V37" s="38"/>
      <c r="W37" s="38"/>
      <c r="X37" s="38"/>
      <c r="Y37" s="38"/>
      <c r="Z37" s="38"/>
    </row>
    <row r="38" spans="1:26" ht="95.25" customHeight="1">
      <c r="A38" s="131" t="s">
        <v>201</v>
      </c>
      <c r="B38" s="81">
        <v>45686</v>
      </c>
      <c r="C38" s="81">
        <v>46097</v>
      </c>
      <c r="D38" s="80" t="s">
        <v>215</v>
      </c>
      <c r="E38" s="80" t="s">
        <v>26</v>
      </c>
      <c r="F38" s="80" t="s">
        <v>27</v>
      </c>
      <c r="G38" s="80" t="s">
        <v>33</v>
      </c>
      <c r="H38" s="81">
        <v>45686</v>
      </c>
      <c r="I38" s="82">
        <v>172252.26935700001</v>
      </c>
      <c r="J38" s="80" t="s">
        <v>116</v>
      </c>
      <c r="K38" s="82">
        <v>127984.45059290857</v>
      </c>
      <c r="L38" s="98">
        <v>1.1416666666666666</v>
      </c>
      <c r="M38" s="80" t="s">
        <v>29</v>
      </c>
      <c r="N38" s="80">
        <v>4</v>
      </c>
      <c r="O38" s="99"/>
      <c r="P38" s="100"/>
      <c r="Q38" s="104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95.25" customHeight="1">
      <c r="A39" s="131" t="s">
        <v>203</v>
      </c>
      <c r="B39" s="81">
        <v>45686</v>
      </c>
      <c r="C39" s="81">
        <v>46203</v>
      </c>
      <c r="D39" s="80" t="s">
        <v>204</v>
      </c>
      <c r="E39" s="80" t="s">
        <v>26</v>
      </c>
      <c r="F39" s="80" t="s">
        <v>27</v>
      </c>
      <c r="G39" s="80" t="s">
        <v>33</v>
      </c>
      <c r="H39" s="81">
        <v>45686</v>
      </c>
      <c r="I39" s="82">
        <v>172252.26935700001</v>
      </c>
      <c r="J39" s="80" t="s">
        <v>116</v>
      </c>
      <c r="K39" s="82">
        <v>127984.45059290857</v>
      </c>
      <c r="L39" s="98">
        <v>1.4361111111111111</v>
      </c>
      <c r="M39" s="80" t="s">
        <v>29</v>
      </c>
      <c r="N39" s="80">
        <v>4</v>
      </c>
      <c r="O39" s="99"/>
      <c r="P39" s="100"/>
      <c r="Q39" s="104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95.25" customHeight="1">
      <c r="A40" s="131" t="s">
        <v>205</v>
      </c>
      <c r="B40" s="81">
        <v>45686</v>
      </c>
      <c r="C40" s="81">
        <v>46280</v>
      </c>
      <c r="D40" s="80" t="s">
        <v>206</v>
      </c>
      <c r="E40" s="80" t="s">
        <v>26</v>
      </c>
      <c r="F40" s="80" t="s">
        <v>27</v>
      </c>
      <c r="G40" s="80" t="s">
        <v>33</v>
      </c>
      <c r="H40" s="81">
        <v>45686</v>
      </c>
      <c r="I40" s="82">
        <v>172252.26935700001</v>
      </c>
      <c r="J40" s="80" t="s">
        <v>116</v>
      </c>
      <c r="K40" s="82">
        <v>127984.45059290857</v>
      </c>
      <c r="L40" s="98">
        <v>1.65</v>
      </c>
      <c r="M40" s="80" t="s">
        <v>29</v>
      </c>
      <c r="N40" s="80">
        <v>4</v>
      </c>
      <c r="O40" s="99"/>
      <c r="P40" s="100"/>
      <c r="Q40" s="104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95.25" customHeight="1">
      <c r="A41" s="131" t="s">
        <v>207</v>
      </c>
      <c r="B41" s="81">
        <v>45686</v>
      </c>
      <c r="C41" s="81">
        <v>46371</v>
      </c>
      <c r="D41" s="80" t="s">
        <v>208</v>
      </c>
      <c r="E41" s="80" t="s">
        <v>26</v>
      </c>
      <c r="F41" s="80" t="s">
        <v>27</v>
      </c>
      <c r="G41" s="80" t="s">
        <v>33</v>
      </c>
      <c r="H41" s="81">
        <v>45686</v>
      </c>
      <c r="I41" s="82">
        <v>172252.269126</v>
      </c>
      <c r="J41" s="80" t="s">
        <v>116</v>
      </c>
      <c r="K41" s="82">
        <v>127984.45042127422</v>
      </c>
      <c r="L41" s="98">
        <v>1.9027777777777777</v>
      </c>
      <c r="M41" s="80" t="s">
        <v>29</v>
      </c>
      <c r="N41" s="80">
        <v>4</v>
      </c>
      <c r="O41" s="99"/>
      <c r="P41" s="100"/>
      <c r="Q41" s="104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95.25" customHeight="1">
      <c r="A42" s="131" t="s">
        <v>201</v>
      </c>
      <c r="B42" s="81">
        <v>45686</v>
      </c>
      <c r="C42" s="81">
        <v>46097</v>
      </c>
      <c r="D42" s="80" t="s">
        <v>216</v>
      </c>
      <c r="E42" s="80" t="s">
        <v>26</v>
      </c>
      <c r="F42" s="80" t="s">
        <v>27</v>
      </c>
      <c r="G42" s="80" t="s">
        <v>33</v>
      </c>
      <c r="H42" s="81">
        <v>45686</v>
      </c>
      <c r="I42" s="82">
        <v>206635.590279</v>
      </c>
      <c r="J42" s="80" t="s">
        <v>134</v>
      </c>
      <c r="K42" s="82">
        <v>154464.10255620893</v>
      </c>
      <c r="L42" s="98">
        <v>1.1416666666666666</v>
      </c>
      <c r="M42" s="80" t="s">
        <v>29</v>
      </c>
      <c r="N42" s="80">
        <v>4</v>
      </c>
      <c r="O42" s="99"/>
      <c r="P42" s="100"/>
      <c r="Q42" s="104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95.25" customHeight="1">
      <c r="A43" s="131" t="s">
        <v>203</v>
      </c>
      <c r="B43" s="81">
        <v>45686</v>
      </c>
      <c r="C43" s="81">
        <v>46203</v>
      </c>
      <c r="D43" s="80" t="s">
        <v>204</v>
      </c>
      <c r="E43" s="80" t="s">
        <v>26</v>
      </c>
      <c r="F43" s="80" t="s">
        <v>27</v>
      </c>
      <c r="G43" s="80" t="s">
        <v>33</v>
      </c>
      <c r="H43" s="81">
        <v>45686</v>
      </c>
      <c r="I43" s="82">
        <v>206635.590279</v>
      </c>
      <c r="J43" s="80" t="s">
        <v>134</v>
      </c>
      <c r="K43" s="82">
        <v>154464.10255620893</v>
      </c>
      <c r="L43" s="98">
        <v>1.4361111111111111</v>
      </c>
      <c r="M43" s="80" t="s">
        <v>29</v>
      </c>
      <c r="N43" s="80">
        <v>4</v>
      </c>
      <c r="O43" s="99"/>
      <c r="P43" s="100"/>
      <c r="Q43" s="104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95.25" customHeight="1">
      <c r="A44" s="131" t="s">
        <v>205</v>
      </c>
      <c r="B44" s="81">
        <v>45686</v>
      </c>
      <c r="C44" s="81">
        <v>46280</v>
      </c>
      <c r="D44" s="80" t="s">
        <v>206</v>
      </c>
      <c r="E44" s="80" t="s">
        <v>26</v>
      </c>
      <c r="F44" s="80" t="s">
        <v>27</v>
      </c>
      <c r="G44" s="80" t="s">
        <v>33</v>
      </c>
      <c r="H44" s="81">
        <v>45686</v>
      </c>
      <c r="I44" s="82">
        <v>206635.590279</v>
      </c>
      <c r="J44" s="80" t="s">
        <v>134</v>
      </c>
      <c r="K44" s="82">
        <v>154464.10255620893</v>
      </c>
      <c r="L44" s="98">
        <v>1.65</v>
      </c>
      <c r="M44" s="80" t="s">
        <v>29</v>
      </c>
      <c r="N44" s="80">
        <v>4</v>
      </c>
      <c r="O44" s="99"/>
      <c r="P44" s="100"/>
      <c r="Q44" s="104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95.25" customHeight="1">
      <c r="A45" s="131" t="s">
        <v>207</v>
      </c>
      <c r="B45" s="81">
        <v>45686</v>
      </c>
      <c r="C45" s="81">
        <v>46371</v>
      </c>
      <c r="D45" s="80" t="s">
        <v>208</v>
      </c>
      <c r="E45" s="80" t="s">
        <v>26</v>
      </c>
      <c r="F45" s="80" t="s">
        <v>27</v>
      </c>
      <c r="G45" s="80" t="s">
        <v>33</v>
      </c>
      <c r="H45" s="81">
        <v>45686</v>
      </c>
      <c r="I45" s="82">
        <v>206635.59011200001</v>
      </c>
      <c r="J45" s="80" t="s">
        <v>134</v>
      </c>
      <c r="K45" s="82">
        <v>154464.10243137321</v>
      </c>
      <c r="L45" s="98">
        <v>1.9027777777777777</v>
      </c>
      <c r="M45" s="80" t="s">
        <v>29</v>
      </c>
      <c r="N45" s="80">
        <v>4</v>
      </c>
      <c r="O45" s="99"/>
      <c r="P45" s="100"/>
      <c r="Q45" s="104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95.25" customHeight="1">
      <c r="A46" s="131" t="s">
        <v>201</v>
      </c>
      <c r="B46" s="81">
        <v>45686</v>
      </c>
      <c r="C46" s="81">
        <v>46097</v>
      </c>
      <c r="D46" s="80" t="s">
        <v>217</v>
      </c>
      <c r="E46" s="80" t="s">
        <v>26</v>
      </c>
      <c r="F46" s="80" t="s">
        <v>27</v>
      </c>
      <c r="G46" s="80" t="s">
        <v>33</v>
      </c>
      <c r="H46" s="81">
        <v>45686</v>
      </c>
      <c r="I46" s="82">
        <v>292080.24579900003</v>
      </c>
      <c r="J46" s="80" t="s">
        <v>49</v>
      </c>
      <c r="K46" s="82">
        <v>221928.99004862859</v>
      </c>
      <c r="L46" s="98">
        <v>1.1416666666666666</v>
      </c>
      <c r="M46" s="80" t="s">
        <v>29</v>
      </c>
      <c r="N46" s="80">
        <v>4</v>
      </c>
      <c r="O46" s="99"/>
      <c r="P46" s="100"/>
      <c r="Q46" s="104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95.25" customHeight="1">
      <c r="A47" s="131" t="s">
        <v>203</v>
      </c>
      <c r="B47" s="81">
        <v>45686</v>
      </c>
      <c r="C47" s="81">
        <v>46203</v>
      </c>
      <c r="D47" s="80" t="s">
        <v>204</v>
      </c>
      <c r="E47" s="80" t="s">
        <v>26</v>
      </c>
      <c r="F47" s="80" t="s">
        <v>27</v>
      </c>
      <c r="G47" s="80" t="s">
        <v>33</v>
      </c>
      <c r="H47" s="81">
        <v>45686</v>
      </c>
      <c r="I47" s="82">
        <v>292080.24579900003</v>
      </c>
      <c r="J47" s="80" t="s">
        <v>49</v>
      </c>
      <c r="K47" s="82">
        <v>221928.99004862859</v>
      </c>
      <c r="L47" s="98">
        <v>1.4361111111111111</v>
      </c>
      <c r="M47" s="80" t="s">
        <v>29</v>
      </c>
      <c r="N47" s="80">
        <v>4</v>
      </c>
      <c r="O47" s="99"/>
      <c r="P47" s="100"/>
      <c r="Q47" s="104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95.25" customHeight="1">
      <c r="A48" s="131" t="s">
        <v>205</v>
      </c>
      <c r="B48" s="81">
        <v>45686</v>
      </c>
      <c r="C48" s="81">
        <v>46280</v>
      </c>
      <c r="D48" s="80" t="s">
        <v>206</v>
      </c>
      <c r="E48" s="80" t="s">
        <v>26</v>
      </c>
      <c r="F48" s="80" t="s">
        <v>27</v>
      </c>
      <c r="G48" s="80" t="s">
        <v>33</v>
      </c>
      <c r="H48" s="81">
        <v>45686</v>
      </c>
      <c r="I48" s="82">
        <v>292080.24579900003</v>
      </c>
      <c r="J48" s="80" t="s">
        <v>49</v>
      </c>
      <c r="K48" s="82">
        <v>221928.99004862859</v>
      </c>
      <c r="L48" s="98">
        <v>1.65</v>
      </c>
      <c r="M48" s="80" t="s">
        <v>29</v>
      </c>
      <c r="N48" s="80">
        <v>4</v>
      </c>
      <c r="O48" s="99"/>
      <c r="P48" s="100"/>
      <c r="Q48" s="104"/>
      <c r="R48" s="38"/>
      <c r="S48" s="38"/>
      <c r="T48" s="38"/>
      <c r="U48" s="38"/>
      <c r="V48" s="38"/>
      <c r="W48" s="38"/>
      <c r="X48" s="38"/>
      <c r="Y48" s="38"/>
      <c r="Z48" s="38"/>
    </row>
    <row r="49" spans="1:26" ht="95.25" customHeight="1">
      <c r="A49" s="131" t="s">
        <v>207</v>
      </c>
      <c r="B49" s="81">
        <v>45686</v>
      </c>
      <c r="C49" s="81">
        <v>46371</v>
      </c>
      <c r="D49" s="80" t="s">
        <v>208</v>
      </c>
      <c r="E49" s="80" t="s">
        <v>26</v>
      </c>
      <c r="F49" s="80" t="s">
        <v>27</v>
      </c>
      <c r="G49" s="80" t="s">
        <v>33</v>
      </c>
      <c r="H49" s="81">
        <v>45686</v>
      </c>
      <c r="I49" s="82">
        <v>292080.245543</v>
      </c>
      <c r="J49" s="80" t="s">
        <v>49</v>
      </c>
      <c r="K49" s="82">
        <v>221928.98985411416</v>
      </c>
      <c r="L49" s="98">
        <v>1.9027777777777777</v>
      </c>
      <c r="M49" s="80" t="s">
        <v>29</v>
      </c>
      <c r="N49" s="80">
        <v>4</v>
      </c>
      <c r="O49" s="99"/>
      <c r="P49" s="100"/>
      <c r="Q49" s="104"/>
      <c r="R49" s="38"/>
      <c r="S49" s="38"/>
      <c r="T49" s="38"/>
      <c r="U49" s="38"/>
      <c r="V49" s="38"/>
      <c r="W49" s="38"/>
      <c r="X49" s="38"/>
      <c r="Y49" s="38"/>
      <c r="Z49" s="38"/>
    </row>
    <row r="50" spans="1:26" ht="95.25" customHeight="1">
      <c r="A50" s="131" t="s">
        <v>201</v>
      </c>
      <c r="B50" s="81">
        <v>45686</v>
      </c>
      <c r="C50" s="81">
        <v>46097</v>
      </c>
      <c r="D50" s="80" t="s">
        <v>218</v>
      </c>
      <c r="E50" s="80" t="s">
        <v>26</v>
      </c>
      <c r="F50" s="80" t="s">
        <v>27</v>
      </c>
      <c r="G50" s="80" t="s">
        <v>33</v>
      </c>
      <c r="H50" s="81">
        <v>45686</v>
      </c>
      <c r="I50" s="82">
        <v>771538.53110899997</v>
      </c>
      <c r="J50" s="80" t="s">
        <v>219</v>
      </c>
      <c r="K50" s="82">
        <v>69704.158075564643</v>
      </c>
      <c r="L50" s="98">
        <v>1.1416666666666666</v>
      </c>
      <c r="M50" s="80" t="s">
        <v>29</v>
      </c>
      <c r="N50" s="80">
        <v>4</v>
      </c>
      <c r="O50" s="99"/>
      <c r="P50" s="100"/>
      <c r="Q50" s="104"/>
      <c r="R50" s="38"/>
      <c r="S50" s="38"/>
      <c r="T50" s="38"/>
      <c r="U50" s="38"/>
      <c r="V50" s="38"/>
      <c r="W50" s="38"/>
      <c r="X50" s="38"/>
      <c r="Y50" s="38"/>
      <c r="Z50" s="38"/>
    </row>
    <row r="51" spans="1:26" ht="95.25" customHeight="1">
      <c r="A51" s="131" t="s">
        <v>203</v>
      </c>
      <c r="B51" s="81">
        <v>45686</v>
      </c>
      <c r="C51" s="81">
        <v>46203</v>
      </c>
      <c r="D51" s="80" t="s">
        <v>204</v>
      </c>
      <c r="E51" s="80" t="s">
        <v>26</v>
      </c>
      <c r="F51" s="80" t="s">
        <v>27</v>
      </c>
      <c r="G51" s="80" t="s">
        <v>33</v>
      </c>
      <c r="H51" s="81">
        <v>45686</v>
      </c>
      <c r="I51" s="82">
        <v>771538.53110899997</v>
      </c>
      <c r="J51" s="80" t="s">
        <v>219</v>
      </c>
      <c r="K51" s="82">
        <v>69704.158075564643</v>
      </c>
      <c r="L51" s="98">
        <v>1.4361111111111111</v>
      </c>
      <c r="M51" s="80" t="s">
        <v>29</v>
      </c>
      <c r="N51" s="80">
        <v>4</v>
      </c>
      <c r="O51" s="99"/>
      <c r="P51" s="100"/>
      <c r="Q51" s="104"/>
      <c r="R51" s="99"/>
      <c r="S51" s="38"/>
      <c r="T51" s="38"/>
      <c r="U51" s="38"/>
      <c r="V51" s="38"/>
      <c r="W51" s="38"/>
      <c r="X51" s="38"/>
      <c r="Y51" s="38"/>
      <c r="Z51" s="38"/>
    </row>
    <row r="52" spans="1:26" ht="95.25" customHeight="1">
      <c r="A52" s="131" t="s">
        <v>205</v>
      </c>
      <c r="B52" s="81">
        <v>45686</v>
      </c>
      <c r="C52" s="81">
        <v>46280</v>
      </c>
      <c r="D52" s="80" t="s">
        <v>206</v>
      </c>
      <c r="E52" s="80" t="s">
        <v>26</v>
      </c>
      <c r="F52" s="80" t="s">
        <v>27</v>
      </c>
      <c r="G52" s="80" t="s">
        <v>33</v>
      </c>
      <c r="H52" s="81">
        <v>45686</v>
      </c>
      <c r="I52" s="82">
        <v>771538.53110899997</v>
      </c>
      <c r="J52" s="80" t="s">
        <v>219</v>
      </c>
      <c r="K52" s="82">
        <v>69704.158075564643</v>
      </c>
      <c r="L52" s="98">
        <v>1.65</v>
      </c>
      <c r="M52" s="80" t="s">
        <v>29</v>
      </c>
      <c r="N52" s="80">
        <v>4</v>
      </c>
      <c r="O52" s="99"/>
      <c r="P52" s="100"/>
      <c r="Q52" s="104"/>
      <c r="R52" s="105"/>
      <c r="S52" s="38"/>
      <c r="T52" s="38"/>
      <c r="U52" s="38"/>
      <c r="V52" s="38"/>
      <c r="W52" s="38"/>
      <c r="X52" s="38"/>
      <c r="Y52" s="38"/>
      <c r="Z52" s="38"/>
    </row>
    <row r="53" spans="1:26" ht="95.25" customHeight="1">
      <c r="A53" s="131" t="s">
        <v>207</v>
      </c>
      <c r="B53" s="81">
        <v>45686</v>
      </c>
      <c r="C53" s="81">
        <v>46371</v>
      </c>
      <c r="D53" s="80" t="s">
        <v>208</v>
      </c>
      <c r="E53" s="80" t="s">
        <v>26</v>
      </c>
      <c r="F53" s="80" t="s">
        <v>27</v>
      </c>
      <c r="G53" s="80" t="s">
        <v>33</v>
      </c>
      <c r="H53" s="81">
        <v>45686</v>
      </c>
      <c r="I53" s="82">
        <v>771538.53108400002</v>
      </c>
      <c r="J53" s="80" t="s">
        <v>219</v>
      </c>
      <c r="K53" s="82">
        <v>69704.158073306055</v>
      </c>
      <c r="L53" s="98">
        <v>1.9027777777777777</v>
      </c>
      <c r="M53" s="80" t="s">
        <v>29</v>
      </c>
      <c r="N53" s="80">
        <v>4</v>
      </c>
      <c r="O53" s="99"/>
      <c r="P53" s="100"/>
      <c r="Q53" s="104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95.25" customHeight="1">
      <c r="A54" s="132" t="s">
        <v>137</v>
      </c>
      <c r="B54" s="81">
        <v>45691</v>
      </c>
      <c r="C54" s="106">
        <v>45971</v>
      </c>
      <c r="D54" s="80" t="s">
        <v>138</v>
      </c>
      <c r="E54" s="80" t="s">
        <v>26</v>
      </c>
      <c r="F54" s="80" t="s">
        <v>27</v>
      </c>
      <c r="G54" s="80" t="s">
        <v>33</v>
      </c>
      <c r="H54" s="81">
        <v>45691</v>
      </c>
      <c r="I54" s="29">
        <v>1178125.1914530001</v>
      </c>
      <c r="J54" s="80" t="s">
        <v>220</v>
      </c>
      <c r="K54" s="82">
        <v>179143.304195</v>
      </c>
      <c r="L54" s="83">
        <v>0.77777777777777779</v>
      </c>
      <c r="M54" s="80" t="s">
        <v>29</v>
      </c>
      <c r="N54" s="80">
        <v>6</v>
      </c>
      <c r="O54" s="105"/>
      <c r="P54" s="100"/>
      <c r="Q54" s="104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15.75" customHeight="1">
      <c r="A55" s="114" t="s">
        <v>137</v>
      </c>
      <c r="B55" s="81">
        <v>45691</v>
      </c>
      <c r="C55" s="81">
        <v>45971</v>
      </c>
      <c r="D55" s="80" t="s">
        <v>138</v>
      </c>
      <c r="E55" s="80" t="s">
        <v>82</v>
      </c>
      <c r="F55" s="80" t="s">
        <v>27</v>
      </c>
      <c r="G55" s="80" t="s">
        <v>33</v>
      </c>
      <c r="H55" s="81">
        <v>45702</v>
      </c>
      <c r="I55" s="29">
        <v>467019.61887900002</v>
      </c>
      <c r="J55" s="80" t="s">
        <v>100</v>
      </c>
      <c r="K55" s="82">
        <v>311724.637445</v>
      </c>
      <c r="L55" s="83">
        <v>0.77777777777777779</v>
      </c>
      <c r="M55" s="80" t="s">
        <v>29</v>
      </c>
      <c r="N55" s="80">
        <v>9</v>
      </c>
      <c r="O55" s="105"/>
      <c r="P55" s="100"/>
      <c r="Q55" s="104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15.75" customHeight="1">
      <c r="A56" s="114" t="s">
        <v>123</v>
      </c>
      <c r="B56" s="81">
        <v>45534</v>
      </c>
      <c r="C56" s="81">
        <v>45838</v>
      </c>
      <c r="D56" s="80" t="s">
        <v>221</v>
      </c>
      <c r="E56" s="80" t="s">
        <v>82</v>
      </c>
      <c r="F56" s="80" t="s">
        <v>27</v>
      </c>
      <c r="G56" s="80" t="s">
        <v>33</v>
      </c>
      <c r="H56" s="81">
        <v>45741</v>
      </c>
      <c r="I56" s="29">
        <v>2151347.3640430002</v>
      </c>
      <c r="J56" s="80" t="s">
        <v>100</v>
      </c>
      <c r="K56" s="82">
        <v>1873063.6254110001</v>
      </c>
      <c r="L56" s="83">
        <v>0.84444444444444444</v>
      </c>
      <c r="M56" s="80" t="s">
        <v>29</v>
      </c>
      <c r="N56" s="80">
        <v>13</v>
      </c>
      <c r="O56" s="105"/>
      <c r="P56" s="100"/>
      <c r="Q56" s="104"/>
      <c r="R56" s="38"/>
      <c r="S56" s="38"/>
      <c r="T56" s="38"/>
      <c r="U56" s="38"/>
      <c r="V56" s="38"/>
      <c r="W56" s="38"/>
      <c r="X56" s="38"/>
      <c r="Y56" s="38"/>
      <c r="Z56" s="38"/>
    </row>
    <row r="57" spans="1:26" ht="15.75" customHeight="1">
      <c r="A57" s="114" t="s">
        <v>222</v>
      </c>
      <c r="B57" s="27">
        <v>45686</v>
      </c>
      <c r="C57" s="27">
        <v>46006</v>
      </c>
      <c r="D57" s="26" t="s">
        <v>221</v>
      </c>
      <c r="E57" s="26" t="s">
        <v>82</v>
      </c>
      <c r="F57" s="26" t="s">
        <v>27</v>
      </c>
      <c r="G57" s="26" t="s">
        <v>33</v>
      </c>
      <c r="H57" s="27">
        <v>45796</v>
      </c>
      <c r="I57" s="29">
        <v>5700388.0900659999</v>
      </c>
      <c r="J57" s="26" t="s">
        <v>223</v>
      </c>
      <c r="K57" s="29">
        <v>2345144.2234209999</v>
      </c>
      <c r="L57" s="63">
        <v>0.88888888888888884</v>
      </c>
      <c r="M57" s="26" t="s">
        <v>29</v>
      </c>
      <c r="N57" s="26">
        <v>23</v>
      </c>
      <c r="O57" s="41"/>
      <c r="P57" s="107"/>
      <c r="Q57" s="108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5.75" customHeight="1">
      <c r="A58" s="114" t="s">
        <v>120</v>
      </c>
      <c r="B58" s="27">
        <v>45534</v>
      </c>
      <c r="C58" s="27">
        <v>45898</v>
      </c>
      <c r="D58" s="26" t="s">
        <v>121</v>
      </c>
      <c r="E58" s="26" t="s">
        <v>82</v>
      </c>
      <c r="F58" s="26" t="s">
        <v>27</v>
      </c>
      <c r="G58" s="26" t="s">
        <v>33</v>
      </c>
      <c r="H58" s="27">
        <v>45818</v>
      </c>
      <c r="I58" s="29">
        <v>833028.0970680801</v>
      </c>
      <c r="J58" s="26" t="s">
        <v>103</v>
      </c>
      <c r="K58" s="29">
        <v>848741.13315400004</v>
      </c>
      <c r="L58" s="63">
        <f>+(C58-B58)/360</f>
        <v>1.0111111111111111</v>
      </c>
      <c r="M58" s="26" t="s">
        <v>29</v>
      </c>
      <c r="N58" s="26">
        <v>25</v>
      </c>
      <c r="O58" s="41"/>
      <c r="P58" s="107"/>
      <c r="Q58" s="108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5.75" customHeight="1">
      <c r="A59" s="114" t="s">
        <v>120</v>
      </c>
      <c r="B59" s="27">
        <v>45534</v>
      </c>
      <c r="C59" s="27">
        <v>45898</v>
      </c>
      <c r="D59" s="26" t="s">
        <v>121</v>
      </c>
      <c r="E59" s="26" t="s">
        <v>82</v>
      </c>
      <c r="F59" s="26" t="s">
        <v>27</v>
      </c>
      <c r="G59" s="26" t="s">
        <v>33</v>
      </c>
      <c r="H59" s="27">
        <v>45818</v>
      </c>
      <c r="I59" s="29">
        <v>2118884.7888009199</v>
      </c>
      <c r="J59" s="26" t="s">
        <v>123</v>
      </c>
      <c r="K59" s="29">
        <v>2158852.3640430002</v>
      </c>
      <c r="L59" s="63">
        <f>+(C59-B59)/360</f>
        <v>1.0111111111111111</v>
      </c>
      <c r="M59" s="26" t="s">
        <v>29</v>
      </c>
      <c r="N59" s="26">
        <v>25</v>
      </c>
      <c r="O59" s="41"/>
      <c r="P59" s="107"/>
      <c r="Q59" s="108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5.75" customHeight="1">
      <c r="A60" s="114" t="s">
        <v>115</v>
      </c>
      <c r="B60" s="27">
        <v>45579</v>
      </c>
      <c r="C60" s="27">
        <v>45884</v>
      </c>
      <c r="D60" s="26" t="s">
        <v>50</v>
      </c>
      <c r="E60" s="26" t="s">
        <v>82</v>
      </c>
      <c r="F60" s="26" t="s">
        <v>27</v>
      </c>
      <c r="G60" s="26" t="s">
        <v>33</v>
      </c>
      <c r="H60" s="27">
        <v>45852</v>
      </c>
      <c r="I60" s="29">
        <v>6213951.6359099997</v>
      </c>
      <c r="J60" s="26" t="s">
        <v>224</v>
      </c>
      <c r="K60" s="29">
        <v>6600000.0000001909</v>
      </c>
      <c r="L60" s="63">
        <v>0.84722222222222221</v>
      </c>
      <c r="M60" s="26" t="s">
        <v>29</v>
      </c>
      <c r="N60" s="26">
        <v>32</v>
      </c>
      <c r="O60" s="41"/>
      <c r="P60" s="107"/>
      <c r="Q60" s="108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5.75" customHeight="1">
      <c r="A61" s="114" t="s">
        <v>116</v>
      </c>
      <c r="B61" s="27">
        <v>45548</v>
      </c>
      <c r="C61" s="27">
        <v>45912</v>
      </c>
      <c r="D61" s="26" t="s">
        <v>90</v>
      </c>
      <c r="E61" s="26" t="s">
        <v>82</v>
      </c>
      <c r="F61" s="26" t="s">
        <v>27</v>
      </c>
      <c r="G61" s="26" t="s">
        <v>33</v>
      </c>
      <c r="H61" s="27">
        <v>45852</v>
      </c>
      <c r="I61" s="29">
        <v>6213951.6359099997</v>
      </c>
      <c r="J61" s="26" t="s">
        <v>224</v>
      </c>
      <c r="K61" s="29">
        <v>6600000.0000001909</v>
      </c>
      <c r="L61" s="63">
        <v>1.0111111111111111</v>
      </c>
      <c r="M61" s="26" t="s">
        <v>29</v>
      </c>
      <c r="N61" s="26">
        <v>32</v>
      </c>
      <c r="O61" s="41"/>
      <c r="P61" s="107"/>
      <c r="Q61" s="108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5.75" customHeight="1">
      <c r="A62" s="114" t="s">
        <v>49</v>
      </c>
      <c r="B62" s="27">
        <v>45579</v>
      </c>
      <c r="C62" s="27">
        <v>45947</v>
      </c>
      <c r="D62" s="26" t="s">
        <v>50</v>
      </c>
      <c r="E62" s="26" t="s">
        <v>26</v>
      </c>
      <c r="F62" s="26" t="s">
        <v>27</v>
      </c>
      <c r="G62" s="26" t="s">
        <v>33</v>
      </c>
      <c r="H62" s="27">
        <v>45852</v>
      </c>
      <c r="I62" s="29">
        <v>6402253.2006339999</v>
      </c>
      <c r="J62" s="26" t="s">
        <v>224</v>
      </c>
      <c r="K62" s="29">
        <v>6799999.9999996172</v>
      </c>
      <c r="L62" s="63">
        <v>1.0222222222222221</v>
      </c>
      <c r="M62" s="26" t="s">
        <v>29</v>
      </c>
      <c r="N62" s="26">
        <v>32</v>
      </c>
      <c r="O62" s="41"/>
      <c r="P62" s="107"/>
      <c r="Q62" s="108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5.75" customHeight="1">
      <c r="A63" s="38"/>
      <c r="B63" s="39"/>
      <c r="C63" s="39"/>
      <c r="D63" s="38"/>
      <c r="E63" s="38"/>
      <c r="F63" s="38"/>
      <c r="G63" s="38"/>
      <c r="H63" s="39"/>
      <c r="I63" s="109"/>
      <c r="J63" s="110"/>
      <c r="K63" s="109"/>
      <c r="L63" s="38"/>
      <c r="M63" s="38"/>
      <c r="N63" s="38"/>
      <c r="O63" s="105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ht="15.75" customHeight="1">
      <c r="A64" s="38" t="s">
        <v>77</v>
      </c>
      <c r="B64" s="111"/>
      <c r="C64" s="111"/>
      <c r="D64" s="38"/>
      <c r="E64" s="38"/>
      <c r="F64" s="38"/>
      <c r="G64" s="38"/>
      <c r="H64" s="111"/>
      <c r="I64" s="109"/>
      <c r="J64" s="110"/>
      <c r="K64" s="109"/>
      <c r="L64" s="38"/>
      <c r="M64" s="38"/>
      <c r="N64" s="38"/>
      <c r="O64" s="105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ht="15.75" customHeight="1">
      <c r="A65" s="38" t="s">
        <v>225</v>
      </c>
      <c r="B65" s="111"/>
      <c r="C65" s="111"/>
      <c r="D65" s="38"/>
      <c r="E65" s="38"/>
      <c r="F65" s="38"/>
      <c r="G65" s="38"/>
      <c r="H65" s="111"/>
      <c r="I65" s="109"/>
      <c r="J65" s="112"/>
      <c r="K65" s="38"/>
      <c r="L65" s="38"/>
      <c r="M65" s="38"/>
      <c r="N65" s="38"/>
      <c r="O65" s="105"/>
      <c r="P65" s="113"/>
      <c r="Q65" s="113"/>
      <c r="R65" s="113"/>
      <c r="S65" s="38"/>
      <c r="T65" s="38"/>
      <c r="U65" s="38"/>
      <c r="V65" s="38"/>
      <c r="W65" s="38"/>
      <c r="X65" s="38"/>
      <c r="Y65" s="38"/>
      <c r="Z65" s="38"/>
    </row>
    <row r="66" spans="1:26" ht="15.75" customHeight="1">
      <c r="A66" s="38"/>
      <c r="B66" s="111"/>
      <c r="C66" s="111"/>
      <c r="D66" s="38"/>
      <c r="E66" s="38"/>
      <c r="F66" s="38"/>
      <c r="G66" s="38"/>
      <c r="H66" s="111"/>
      <c r="I66" s="38"/>
      <c r="J66" s="112"/>
      <c r="K66" s="38"/>
      <c r="L66" s="38"/>
      <c r="M66" s="38"/>
      <c r="N66" s="38"/>
      <c r="O66" s="105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ht="15.75" customHeight="1">
      <c r="A67" s="38"/>
      <c r="B67" s="111"/>
      <c r="C67" s="111"/>
      <c r="D67" s="38"/>
      <c r="E67" s="38"/>
      <c r="F67" s="38"/>
      <c r="G67" s="38"/>
      <c r="H67" s="111"/>
      <c r="I67" s="38"/>
      <c r="J67" s="112"/>
      <c r="K67" s="38"/>
      <c r="L67" s="38"/>
      <c r="M67" s="38"/>
      <c r="N67" s="38"/>
      <c r="O67" s="105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ht="15.75" customHeight="1">
      <c r="A68" s="19"/>
      <c r="B68" s="20"/>
      <c r="C68" s="20"/>
      <c r="D68" s="19"/>
      <c r="E68" s="19"/>
      <c r="F68" s="19"/>
      <c r="G68" s="19"/>
      <c r="H68" s="20"/>
      <c r="I68" s="19"/>
      <c r="J68" s="89"/>
      <c r="K68" s="19"/>
      <c r="L68" s="19"/>
      <c r="M68" s="19"/>
      <c r="N68" s="19"/>
      <c r="O68" s="41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5.75" customHeight="1">
      <c r="A69" s="19"/>
      <c r="B69" s="20"/>
      <c r="C69" s="20"/>
      <c r="D69" s="19"/>
      <c r="E69" s="19"/>
      <c r="F69" s="19"/>
      <c r="G69" s="19"/>
      <c r="H69" s="20"/>
      <c r="I69" s="19"/>
      <c r="J69" s="89"/>
      <c r="K69" s="19"/>
      <c r="L69" s="19"/>
      <c r="M69" s="19"/>
      <c r="N69" s="19"/>
      <c r="O69" s="41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5.75" customHeight="1">
      <c r="A70" s="19"/>
      <c r="B70" s="20"/>
      <c r="C70" s="20"/>
      <c r="D70" s="19"/>
      <c r="E70" s="19"/>
      <c r="F70" s="19"/>
      <c r="G70" s="19"/>
      <c r="H70" s="20"/>
      <c r="I70" s="19"/>
      <c r="J70" s="89"/>
      <c r="K70" s="19"/>
      <c r="L70" s="19"/>
      <c r="M70" s="19"/>
      <c r="N70" s="19"/>
      <c r="O70" s="41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5.75" customHeight="1">
      <c r="A71" s="19"/>
      <c r="B71" s="20"/>
      <c r="C71" s="20"/>
      <c r="D71" s="19"/>
      <c r="E71" s="19"/>
      <c r="F71" s="19"/>
      <c r="G71" s="19"/>
      <c r="H71" s="20"/>
      <c r="I71" s="19"/>
      <c r="J71" s="89"/>
      <c r="K71" s="19"/>
      <c r="L71" s="19"/>
      <c r="M71" s="19"/>
      <c r="N71" s="19"/>
      <c r="O71" s="41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5.75" customHeight="1">
      <c r="A72" s="19"/>
      <c r="B72" s="20"/>
      <c r="C72" s="20"/>
      <c r="D72" s="19"/>
      <c r="E72" s="19"/>
      <c r="F72" s="19"/>
      <c r="G72" s="19"/>
      <c r="H72" s="20"/>
      <c r="I72" s="19"/>
      <c r="J72" s="89"/>
      <c r="K72" s="19"/>
      <c r="L72" s="19"/>
      <c r="M72" s="19"/>
      <c r="N72" s="19"/>
      <c r="O72" s="41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5.75" customHeight="1">
      <c r="A73" s="19"/>
      <c r="B73" s="20"/>
      <c r="C73" s="20"/>
      <c r="D73" s="19"/>
      <c r="E73" s="19"/>
      <c r="F73" s="19"/>
      <c r="G73" s="19"/>
      <c r="H73" s="20"/>
      <c r="I73" s="19"/>
      <c r="J73" s="89"/>
      <c r="K73" s="19"/>
      <c r="L73" s="19"/>
      <c r="M73" s="19"/>
      <c r="N73" s="19"/>
      <c r="O73" s="41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5.75" customHeight="1">
      <c r="A74" s="19"/>
      <c r="B74" s="20"/>
      <c r="C74" s="20"/>
      <c r="D74" s="19"/>
      <c r="E74" s="19"/>
      <c r="F74" s="19"/>
      <c r="G74" s="19"/>
      <c r="H74" s="20"/>
      <c r="I74" s="19"/>
      <c r="K74" s="19"/>
      <c r="L74" s="19"/>
      <c r="M74" s="19"/>
      <c r="N74" s="19"/>
      <c r="O74" s="41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5.75" customHeight="1">
      <c r="A75" s="19"/>
      <c r="B75" s="20"/>
      <c r="C75" s="20"/>
      <c r="D75" s="19"/>
      <c r="E75" s="19"/>
      <c r="F75" s="19"/>
      <c r="G75" s="19"/>
      <c r="H75" s="89"/>
      <c r="I75" s="19"/>
      <c r="J75" s="89"/>
      <c r="K75" s="19"/>
      <c r="L75" s="19"/>
      <c r="M75" s="19"/>
      <c r="N75" s="19"/>
      <c r="O75" s="41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5.75" customHeight="1">
      <c r="A76" s="19"/>
      <c r="B76" s="20"/>
      <c r="C76" s="20"/>
      <c r="D76" s="19"/>
      <c r="E76" s="19"/>
      <c r="F76" s="19"/>
      <c r="G76" s="19"/>
      <c r="H76" s="20"/>
      <c r="I76" s="19"/>
      <c r="J76" s="89"/>
      <c r="K76" s="19"/>
      <c r="L76" s="19"/>
      <c r="M76" s="19"/>
      <c r="N76" s="19"/>
      <c r="O76" s="41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5.75" customHeight="1">
      <c r="A77" s="19"/>
      <c r="B77" s="20"/>
      <c r="C77" s="20"/>
      <c r="D77" s="19"/>
      <c r="E77" s="19"/>
      <c r="F77" s="19"/>
      <c r="G77" s="19"/>
      <c r="H77" s="20"/>
      <c r="I77" s="19"/>
      <c r="J77" s="89"/>
      <c r="K77" s="19"/>
      <c r="L77" s="19"/>
      <c r="M77" s="19"/>
      <c r="N77" s="19"/>
      <c r="O77" s="41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5.75" customHeight="1">
      <c r="A78" s="19"/>
      <c r="B78" s="20"/>
      <c r="C78" s="20"/>
      <c r="D78" s="19"/>
      <c r="E78" s="19"/>
      <c r="F78" s="19"/>
      <c r="G78" s="19"/>
      <c r="H78" s="20"/>
      <c r="I78" s="19"/>
      <c r="J78" s="89"/>
      <c r="K78" s="19"/>
      <c r="L78" s="19"/>
      <c r="M78" s="19"/>
      <c r="N78" s="19"/>
      <c r="O78" s="41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5.75" customHeight="1">
      <c r="A79" s="19"/>
      <c r="B79" s="20"/>
      <c r="C79" s="20"/>
      <c r="D79" s="19"/>
      <c r="E79" s="19"/>
      <c r="F79" s="19"/>
      <c r="G79" s="19"/>
      <c r="H79" s="20"/>
      <c r="I79" s="19"/>
      <c r="J79" s="89"/>
      <c r="K79" s="19"/>
      <c r="L79" s="19"/>
      <c r="M79" s="19"/>
      <c r="N79" s="19"/>
      <c r="O79" s="41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5.75" customHeight="1">
      <c r="A80" s="19"/>
      <c r="B80" s="20"/>
      <c r="C80" s="20"/>
      <c r="D80" s="19"/>
      <c r="E80" s="19"/>
      <c r="F80" s="19"/>
      <c r="G80" s="19"/>
      <c r="H80" s="20"/>
      <c r="I80" s="19"/>
      <c r="J80" s="89"/>
      <c r="K80" s="19"/>
      <c r="L80" s="19"/>
      <c r="M80" s="19"/>
      <c r="N80" s="19"/>
      <c r="O80" s="41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15.75" customHeight="1">
      <c r="A81" s="19"/>
      <c r="B81" s="20"/>
      <c r="C81" s="20"/>
      <c r="D81" s="19"/>
      <c r="E81" s="19"/>
      <c r="F81" s="19"/>
      <c r="G81" s="19"/>
      <c r="H81" s="20"/>
      <c r="I81" s="19"/>
      <c r="J81" s="89"/>
      <c r="K81" s="19"/>
      <c r="L81" s="19"/>
      <c r="M81" s="19"/>
      <c r="N81" s="19"/>
      <c r="O81" s="41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5.75" customHeight="1">
      <c r="A82" s="19"/>
      <c r="B82" s="20"/>
      <c r="C82" s="20"/>
      <c r="D82" s="19"/>
      <c r="E82" s="19"/>
      <c r="F82" s="19"/>
      <c r="G82" s="19"/>
      <c r="H82" s="20"/>
      <c r="I82" s="19"/>
      <c r="J82" s="89"/>
      <c r="K82" s="19"/>
      <c r="L82" s="19"/>
      <c r="M82" s="19"/>
      <c r="N82" s="19"/>
      <c r="O82" s="41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5.75" customHeight="1">
      <c r="A83" s="19"/>
      <c r="B83" s="20"/>
      <c r="C83" s="20"/>
      <c r="D83" s="19"/>
      <c r="E83" s="19"/>
      <c r="F83" s="19"/>
      <c r="G83" s="19"/>
      <c r="H83" s="20"/>
      <c r="I83" s="19"/>
      <c r="J83" s="89"/>
      <c r="K83" s="19"/>
      <c r="L83" s="19"/>
      <c r="M83" s="19"/>
      <c r="N83" s="19"/>
      <c r="O83" s="41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5.75" customHeight="1">
      <c r="A84" s="19"/>
      <c r="B84" s="20"/>
      <c r="C84" s="20"/>
      <c r="D84" s="19"/>
      <c r="E84" s="19"/>
      <c r="F84" s="19"/>
      <c r="G84" s="19"/>
      <c r="H84" s="20"/>
      <c r="I84" s="19"/>
      <c r="J84" s="89"/>
      <c r="K84" s="19"/>
      <c r="L84" s="19"/>
      <c r="M84" s="19"/>
      <c r="N84" s="19"/>
      <c r="O84" s="41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5.75" customHeight="1">
      <c r="A85" s="19"/>
      <c r="B85" s="20"/>
      <c r="C85" s="20"/>
      <c r="D85" s="19"/>
      <c r="E85" s="19"/>
      <c r="F85" s="19"/>
      <c r="G85" s="19"/>
      <c r="H85" s="20"/>
      <c r="I85" s="19"/>
      <c r="J85" s="89"/>
      <c r="K85" s="19"/>
      <c r="L85" s="19"/>
      <c r="M85" s="19"/>
      <c r="N85" s="19"/>
      <c r="O85" s="41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5.75" customHeight="1">
      <c r="A86" s="19"/>
      <c r="B86" s="20"/>
      <c r="C86" s="20"/>
      <c r="D86" s="19"/>
      <c r="E86" s="19"/>
      <c r="F86" s="19"/>
      <c r="G86" s="19"/>
      <c r="H86" s="20"/>
      <c r="I86" s="19"/>
      <c r="J86" s="89"/>
      <c r="K86" s="19"/>
      <c r="L86" s="19"/>
      <c r="M86" s="19"/>
      <c r="N86" s="19"/>
      <c r="O86" s="41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5.75" customHeight="1">
      <c r="A87" s="19"/>
      <c r="B87" s="20"/>
      <c r="C87" s="20"/>
      <c r="D87" s="19"/>
      <c r="E87" s="19"/>
      <c r="F87" s="19"/>
      <c r="G87" s="19"/>
      <c r="H87" s="20"/>
      <c r="I87" s="19"/>
      <c r="J87" s="89"/>
      <c r="K87" s="19"/>
      <c r="L87" s="19"/>
      <c r="M87" s="19"/>
      <c r="N87" s="19"/>
      <c r="O87" s="41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5.75" customHeight="1">
      <c r="A88" s="19"/>
      <c r="B88" s="20"/>
      <c r="C88" s="20"/>
      <c r="D88" s="19"/>
      <c r="E88" s="19"/>
      <c r="F88" s="19"/>
      <c r="G88" s="19"/>
      <c r="H88" s="20"/>
      <c r="I88" s="19"/>
      <c r="J88" s="89"/>
      <c r="K88" s="19"/>
      <c r="L88" s="19"/>
      <c r="M88" s="19"/>
      <c r="N88" s="19"/>
      <c r="O88" s="41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5.75" customHeight="1">
      <c r="A89" s="19"/>
      <c r="B89" s="20"/>
      <c r="C89" s="20"/>
      <c r="D89" s="19"/>
      <c r="E89" s="19"/>
      <c r="F89" s="19"/>
      <c r="G89" s="19"/>
      <c r="H89" s="20"/>
      <c r="I89" s="19"/>
      <c r="J89" s="89"/>
      <c r="K89" s="19"/>
      <c r="L89" s="19"/>
      <c r="M89" s="19"/>
      <c r="N89" s="19"/>
      <c r="O89" s="41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5.75" customHeight="1">
      <c r="A90" s="19"/>
      <c r="B90" s="20"/>
      <c r="C90" s="20"/>
      <c r="D90" s="19"/>
      <c r="E90" s="19"/>
      <c r="F90" s="19"/>
      <c r="G90" s="19"/>
      <c r="H90" s="20"/>
      <c r="I90" s="19"/>
      <c r="J90" s="89"/>
      <c r="K90" s="19"/>
      <c r="L90" s="19"/>
      <c r="M90" s="19"/>
      <c r="N90" s="19"/>
      <c r="O90" s="41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5.75" customHeight="1">
      <c r="A91" s="19"/>
      <c r="B91" s="20"/>
      <c r="C91" s="20"/>
      <c r="D91" s="19"/>
      <c r="E91" s="19"/>
      <c r="F91" s="19"/>
      <c r="G91" s="19"/>
      <c r="H91" s="20"/>
      <c r="I91" s="19"/>
      <c r="J91" s="89"/>
      <c r="K91" s="19"/>
      <c r="L91" s="19"/>
      <c r="M91" s="19"/>
      <c r="N91" s="19"/>
      <c r="O91" s="41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5.75" customHeight="1">
      <c r="A92" s="19"/>
      <c r="B92" s="20"/>
      <c r="C92" s="20"/>
      <c r="D92" s="19"/>
      <c r="E92" s="19"/>
      <c r="F92" s="19"/>
      <c r="G92" s="19"/>
      <c r="H92" s="20"/>
      <c r="I92" s="19"/>
      <c r="J92" s="89"/>
      <c r="K92" s="19"/>
      <c r="L92" s="19"/>
      <c r="M92" s="19"/>
      <c r="N92" s="19"/>
      <c r="O92" s="41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5.75" customHeight="1">
      <c r="A93" s="19"/>
      <c r="B93" s="20"/>
      <c r="C93" s="20"/>
      <c r="D93" s="19"/>
      <c r="E93" s="19"/>
      <c r="F93" s="19"/>
      <c r="G93" s="19"/>
      <c r="H93" s="20"/>
      <c r="I93" s="19"/>
      <c r="J93" s="89"/>
      <c r="K93" s="19"/>
      <c r="L93" s="19"/>
      <c r="M93" s="19"/>
      <c r="N93" s="19"/>
      <c r="O93" s="41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5.75" customHeight="1">
      <c r="A94" s="19"/>
      <c r="B94" s="20"/>
      <c r="C94" s="20"/>
      <c r="D94" s="19"/>
      <c r="E94" s="19"/>
      <c r="F94" s="19"/>
      <c r="G94" s="19"/>
      <c r="H94" s="20"/>
      <c r="I94" s="19"/>
      <c r="J94" s="89"/>
      <c r="K94" s="19"/>
      <c r="L94" s="19"/>
      <c r="M94" s="19"/>
      <c r="N94" s="19"/>
      <c r="O94" s="41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15.75" customHeight="1">
      <c r="A95" s="19"/>
      <c r="B95" s="20"/>
      <c r="C95" s="20"/>
      <c r="D95" s="19"/>
      <c r="E95" s="19"/>
      <c r="F95" s="19"/>
      <c r="G95" s="19"/>
      <c r="H95" s="20"/>
      <c r="I95" s="19"/>
      <c r="J95" s="89"/>
      <c r="K95" s="19"/>
      <c r="L95" s="19"/>
      <c r="M95" s="19"/>
      <c r="N95" s="19"/>
      <c r="O95" s="41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5.75" customHeight="1">
      <c r="A96" s="19"/>
      <c r="B96" s="20"/>
      <c r="C96" s="20"/>
      <c r="D96" s="19"/>
      <c r="E96" s="19"/>
      <c r="F96" s="19"/>
      <c r="G96" s="19"/>
      <c r="H96" s="20"/>
      <c r="I96" s="19"/>
      <c r="J96" s="89"/>
      <c r="K96" s="19"/>
      <c r="L96" s="19"/>
      <c r="M96" s="19"/>
      <c r="N96" s="19"/>
      <c r="O96" s="41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5.75" customHeight="1">
      <c r="A97" s="19"/>
      <c r="B97" s="20"/>
      <c r="C97" s="20"/>
      <c r="D97" s="19"/>
      <c r="E97" s="19"/>
      <c r="F97" s="19"/>
      <c r="G97" s="19"/>
      <c r="H97" s="20"/>
      <c r="I97" s="19"/>
      <c r="J97" s="89"/>
      <c r="K97" s="19"/>
      <c r="L97" s="19"/>
      <c r="M97" s="19"/>
      <c r="N97" s="19"/>
      <c r="O97" s="41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5.75" customHeight="1">
      <c r="A98" s="19"/>
      <c r="B98" s="20"/>
      <c r="C98" s="20"/>
      <c r="D98" s="19"/>
      <c r="E98" s="19"/>
      <c r="F98" s="19"/>
      <c r="G98" s="19"/>
      <c r="H98" s="20"/>
      <c r="I98" s="19"/>
      <c r="J98" s="89"/>
      <c r="K98" s="19"/>
      <c r="L98" s="19"/>
      <c r="M98" s="19"/>
      <c r="N98" s="19"/>
      <c r="O98" s="41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5.75" customHeight="1">
      <c r="A99" s="19"/>
      <c r="B99" s="20"/>
      <c r="C99" s="20"/>
      <c r="D99" s="19"/>
      <c r="E99" s="19"/>
      <c r="F99" s="19"/>
      <c r="G99" s="19"/>
      <c r="H99" s="20"/>
      <c r="I99" s="19"/>
      <c r="J99" s="89"/>
      <c r="K99" s="19"/>
      <c r="L99" s="19"/>
      <c r="M99" s="19"/>
      <c r="N99" s="19"/>
      <c r="O99" s="41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5.75" customHeight="1">
      <c r="A100" s="19"/>
      <c r="B100" s="20"/>
      <c r="C100" s="20"/>
      <c r="D100" s="19"/>
      <c r="E100" s="19"/>
      <c r="F100" s="19"/>
      <c r="G100" s="19"/>
      <c r="H100" s="20"/>
      <c r="I100" s="19"/>
      <c r="J100" s="89"/>
      <c r="K100" s="19"/>
      <c r="L100" s="19"/>
      <c r="M100" s="19"/>
      <c r="N100" s="19"/>
      <c r="O100" s="41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5.75" customHeight="1">
      <c r="A101" s="19"/>
      <c r="B101" s="20"/>
      <c r="C101" s="20"/>
      <c r="D101" s="19"/>
      <c r="E101" s="19"/>
      <c r="F101" s="19"/>
      <c r="G101" s="19"/>
      <c r="H101" s="20"/>
      <c r="I101" s="19"/>
      <c r="J101" s="89"/>
      <c r="K101" s="19"/>
      <c r="L101" s="19"/>
      <c r="M101" s="19"/>
      <c r="N101" s="19"/>
      <c r="O101" s="41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5.75" customHeight="1">
      <c r="A102" s="19"/>
      <c r="B102" s="20"/>
      <c r="C102" s="20"/>
      <c r="D102" s="19"/>
      <c r="E102" s="19"/>
      <c r="F102" s="19"/>
      <c r="G102" s="19"/>
      <c r="H102" s="20"/>
      <c r="I102" s="19"/>
      <c r="J102" s="89"/>
      <c r="K102" s="19"/>
      <c r="L102" s="19"/>
      <c r="M102" s="19"/>
      <c r="N102" s="19"/>
      <c r="O102" s="41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5.75" customHeight="1">
      <c r="A103" s="19"/>
      <c r="B103" s="20"/>
      <c r="C103" s="20"/>
      <c r="D103" s="19"/>
      <c r="E103" s="19"/>
      <c r="F103" s="19"/>
      <c r="G103" s="19"/>
      <c r="H103" s="20"/>
      <c r="I103" s="19"/>
      <c r="J103" s="89"/>
      <c r="K103" s="19"/>
      <c r="L103" s="19"/>
      <c r="M103" s="19"/>
      <c r="N103" s="19"/>
      <c r="O103" s="41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5.75" customHeight="1">
      <c r="A104" s="19"/>
      <c r="B104" s="20"/>
      <c r="C104" s="20"/>
      <c r="D104" s="19"/>
      <c r="E104" s="19"/>
      <c r="F104" s="19"/>
      <c r="G104" s="19"/>
      <c r="H104" s="20"/>
      <c r="I104" s="19"/>
      <c r="J104" s="89"/>
      <c r="K104" s="19"/>
      <c r="L104" s="19"/>
      <c r="M104" s="19"/>
      <c r="N104" s="19"/>
      <c r="O104" s="41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5.75" customHeight="1">
      <c r="A105" s="19"/>
      <c r="B105" s="20"/>
      <c r="C105" s="20"/>
      <c r="D105" s="19"/>
      <c r="E105" s="19"/>
      <c r="F105" s="19"/>
      <c r="G105" s="19"/>
      <c r="H105" s="20"/>
      <c r="I105" s="19"/>
      <c r="J105" s="89"/>
      <c r="K105" s="19"/>
      <c r="L105" s="19"/>
      <c r="M105" s="19"/>
      <c r="N105" s="19"/>
      <c r="O105" s="41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5.75" customHeight="1">
      <c r="A106" s="19"/>
      <c r="B106" s="20"/>
      <c r="C106" s="20"/>
      <c r="D106" s="19"/>
      <c r="E106" s="19"/>
      <c r="F106" s="19"/>
      <c r="G106" s="19"/>
      <c r="H106" s="20"/>
      <c r="I106" s="19"/>
      <c r="J106" s="89"/>
      <c r="K106" s="19"/>
      <c r="L106" s="19"/>
      <c r="M106" s="19"/>
      <c r="N106" s="19"/>
      <c r="O106" s="41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5.75" customHeight="1">
      <c r="A107" s="19"/>
      <c r="B107" s="20"/>
      <c r="C107" s="20"/>
      <c r="D107" s="19"/>
      <c r="E107" s="19"/>
      <c r="F107" s="19"/>
      <c r="G107" s="19"/>
      <c r="H107" s="20"/>
      <c r="I107" s="19"/>
      <c r="J107" s="89"/>
      <c r="K107" s="19"/>
      <c r="L107" s="19"/>
      <c r="M107" s="19"/>
      <c r="N107" s="19"/>
      <c r="O107" s="41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5.75" customHeight="1">
      <c r="A108" s="19"/>
      <c r="B108" s="20"/>
      <c r="C108" s="20"/>
      <c r="D108" s="19"/>
      <c r="E108" s="19"/>
      <c r="F108" s="19"/>
      <c r="G108" s="19"/>
      <c r="H108" s="20"/>
      <c r="I108" s="19"/>
      <c r="J108" s="89"/>
      <c r="K108" s="19"/>
      <c r="L108" s="19"/>
      <c r="M108" s="19"/>
      <c r="N108" s="19"/>
      <c r="O108" s="41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5.75" customHeight="1">
      <c r="A109" s="19"/>
      <c r="B109" s="20"/>
      <c r="C109" s="20"/>
      <c r="D109" s="19"/>
      <c r="E109" s="19"/>
      <c r="F109" s="19"/>
      <c r="G109" s="19"/>
      <c r="H109" s="20"/>
      <c r="I109" s="19"/>
      <c r="J109" s="89"/>
      <c r="K109" s="19"/>
      <c r="L109" s="19"/>
      <c r="M109" s="19"/>
      <c r="N109" s="19"/>
      <c r="O109" s="41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5.75" customHeight="1">
      <c r="A110" s="19"/>
      <c r="B110" s="20"/>
      <c r="C110" s="20"/>
      <c r="D110" s="19"/>
      <c r="E110" s="19"/>
      <c r="F110" s="19"/>
      <c r="G110" s="19"/>
      <c r="H110" s="20"/>
      <c r="I110" s="19"/>
      <c r="J110" s="89"/>
      <c r="K110" s="19"/>
      <c r="L110" s="19"/>
      <c r="M110" s="19"/>
      <c r="N110" s="19"/>
      <c r="O110" s="41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5.75" customHeight="1">
      <c r="A111" s="19"/>
      <c r="B111" s="20"/>
      <c r="C111" s="20"/>
      <c r="D111" s="19"/>
      <c r="E111" s="19"/>
      <c r="F111" s="19"/>
      <c r="G111" s="19"/>
      <c r="H111" s="20"/>
      <c r="I111" s="19"/>
      <c r="J111" s="89"/>
      <c r="K111" s="19"/>
      <c r="L111" s="19"/>
      <c r="M111" s="19"/>
      <c r="N111" s="19"/>
      <c r="O111" s="41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5.75" customHeight="1">
      <c r="A112" s="19"/>
      <c r="B112" s="20"/>
      <c r="C112" s="20"/>
      <c r="D112" s="19"/>
      <c r="E112" s="19"/>
      <c r="F112" s="19"/>
      <c r="G112" s="19"/>
      <c r="H112" s="20"/>
      <c r="I112" s="19"/>
      <c r="J112" s="89"/>
      <c r="K112" s="19"/>
      <c r="L112" s="19"/>
      <c r="M112" s="19"/>
      <c r="N112" s="19"/>
      <c r="O112" s="41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15.75" customHeight="1">
      <c r="A113" s="19"/>
      <c r="B113" s="20"/>
      <c r="C113" s="20"/>
      <c r="D113" s="19"/>
      <c r="E113" s="19"/>
      <c r="F113" s="19"/>
      <c r="G113" s="19"/>
      <c r="H113" s="20"/>
      <c r="I113" s="19"/>
      <c r="J113" s="89"/>
      <c r="K113" s="19"/>
      <c r="L113" s="19"/>
      <c r="M113" s="19"/>
      <c r="N113" s="19"/>
      <c r="O113" s="41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5.75" customHeight="1">
      <c r="A114" s="19"/>
      <c r="B114" s="20"/>
      <c r="C114" s="20"/>
      <c r="D114" s="19"/>
      <c r="E114" s="19"/>
      <c r="F114" s="19"/>
      <c r="G114" s="19"/>
      <c r="H114" s="20"/>
      <c r="I114" s="19"/>
      <c r="J114" s="89"/>
      <c r="K114" s="19"/>
      <c r="L114" s="19"/>
      <c r="M114" s="19"/>
      <c r="N114" s="19"/>
      <c r="O114" s="41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5.75" customHeight="1">
      <c r="A115" s="19"/>
      <c r="B115" s="20"/>
      <c r="C115" s="20"/>
      <c r="D115" s="19"/>
      <c r="E115" s="19"/>
      <c r="F115" s="19"/>
      <c r="G115" s="19"/>
      <c r="H115" s="20"/>
      <c r="I115" s="19"/>
      <c r="J115" s="89"/>
      <c r="K115" s="19"/>
      <c r="L115" s="19"/>
      <c r="M115" s="19"/>
      <c r="N115" s="19"/>
      <c r="O115" s="41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5.75" customHeight="1">
      <c r="A116" s="19"/>
      <c r="B116" s="20"/>
      <c r="C116" s="20"/>
      <c r="D116" s="19"/>
      <c r="E116" s="19"/>
      <c r="F116" s="19"/>
      <c r="G116" s="19"/>
      <c r="H116" s="20"/>
      <c r="I116" s="19"/>
      <c r="J116" s="89"/>
      <c r="K116" s="19"/>
      <c r="L116" s="19"/>
      <c r="M116" s="19"/>
      <c r="N116" s="19"/>
      <c r="O116" s="41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5.75" customHeight="1">
      <c r="A117" s="19"/>
      <c r="B117" s="20"/>
      <c r="C117" s="20"/>
      <c r="D117" s="19"/>
      <c r="E117" s="19"/>
      <c r="F117" s="19"/>
      <c r="G117" s="19"/>
      <c r="H117" s="20"/>
      <c r="I117" s="19"/>
      <c r="J117" s="89"/>
      <c r="K117" s="19"/>
      <c r="L117" s="19"/>
      <c r="M117" s="19"/>
      <c r="N117" s="19"/>
      <c r="O117" s="41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5.75" customHeight="1">
      <c r="A118" s="19"/>
      <c r="B118" s="20"/>
      <c r="C118" s="20"/>
      <c r="D118" s="19"/>
      <c r="E118" s="19"/>
      <c r="F118" s="19"/>
      <c r="G118" s="19"/>
      <c r="H118" s="20"/>
      <c r="I118" s="19"/>
      <c r="J118" s="89"/>
      <c r="K118" s="19"/>
      <c r="L118" s="19"/>
      <c r="M118" s="19"/>
      <c r="N118" s="19"/>
      <c r="O118" s="41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5.75" customHeight="1">
      <c r="A119" s="19"/>
      <c r="B119" s="20"/>
      <c r="C119" s="20"/>
      <c r="D119" s="19"/>
      <c r="E119" s="19"/>
      <c r="F119" s="19"/>
      <c r="G119" s="19"/>
      <c r="H119" s="20"/>
      <c r="I119" s="19"/>
      <c r="J119" s="89"/>
      <c r="K119" s="19"/>
      <c r="L119" s="19"/>
      <c r="M119" s="19"/>
      <c r="N119" s="19"/>
      <c r="O119" s="41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5.75" customHeight="1">
      <c r="A120" s="19"/>
      <c r="B120" s="20"/>
      <c r="C120" s="20"/>
      <c r="D120" s="19"/>
      <c r="E120" s="19"/>
      <c r="F120" s="19"/>
      <c r="G120" s="19"/>
      <c r="H120" s="20"/>
      <c r="I120" s="19"/>
      <c r="J120" s="89"/>
      <c r="K120" s="19"/>
      <c r="L120" s="19"/>
      <c r="M120" s="19"/>
      <c r="N120" s="19"/>
      <c r="O120" s="41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5.75" customHeight="1">
      <c r="A121" s="19"/>
      <c r="B121" s="20"/>
      <c r="C121" s="20"/>
      <c r="D121" s="19"/>
      <c r="E121" s="19"/>
      <c r="F121" s="19"/>
      <c r="G121" s="19"/>
      <c r="H121" s="20"/>
      <c r="I121" s="19"/>
      <c r="J121" s="89"/>
      <c r="K121" s="19"/>
      <c r="L121" s="19"/>
      <c r="M121" s="19"/>
      <c r="N121" s="19"/>
      <c r="O121" s="41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5.75" customHeight="1">
      <c r="A122" s="19"/>
      <c r="B122" s="20"/>
      <c r="C122" s="20"/>
      <c r="D122" s="19"/>
      <c r="E122" s="19"/>
      <c r="F122" s="19"/>
      <c r="G122" s="19"/>
      <c r="H122" s="20"/>
      <c r="I122" s="19"/>
      <c r="J122" s="89"/>
      <c r="K122" s="19"/>
      <c r="L122" s="19"/>
      <c r="M122" s="19"/>
      <c r="N122" s="19"/>
      <c r="O122" s="41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5.75" customHeight="1">
      <c r="A123" s="19"/>
      <c r="B123" s="20"/>
      <c r="C123" s="20"/>
      <c r="D123" s="19"/>
      <c r="E123" s="19"/>
      <c r="F123" s="19"/>
      <c r="G123" s="19"/>
      <c r="H123" s="20"/>
      <c r="I123" s="19"/>
      <c r="J123" s="89"/>
      <c r="K123" s="19"/>
      <c r="L123" s="19"/>
      <c r="M123" s="19"/>
      <c r="N123" s="19"/>
      <c r="O123" s="41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5.75" customHeight="1">
      <c r="A124" s="19"/>
      <c r="B124" s="20"/>
      <c r="C124" s="20"/>
      <c r="D124" s="19"/>
      <c r="E124" s="19"/>
      <c r="F124" s="19"/>
      <c r="G124" s="19"/>
      <c r="H124" s="20"/>
      <c r="I124" s="19"/>
      <c r="J124" s="89"/>
      <c r="K124" s="19"/>
      <c r="L124" s="19"/>
      <c r="M124" s="19"/>
      <c r="N124" s="19"/>
      <c r="O124" s="41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5.75" customHeight="1">
      <c r="A125" s="19"/>
      <c r="B125" s="20"/>
      <c r="C125" s="20"/>
      <c r="D125" s="19"/>
      <c r="E125" s="19"/>
      <c r="F125" s="19"/>
      <c r="G125" s="19"/>
      <c r="H125" s="20"/>
      <c r="I125" s="19"/>
      <c r="J125" s="89"/>
      <c r="K125" s="19"/>
      <c r="L125" s="19"/>
      <c r="M125" s="19"/>
      <c r="N125" s="19"/>
      <c r="O125" s="41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15.75" customHeight="1">
      <c r="A126" s="19"/>
      <c r="B126" s="20"/>
      <c r="C126" s="20"/>
      <c r="D126" s="19"/>
      <c r="E126" s="19"/>
      <c r="F126" s="19"/>
      <c r="G126" s="19"/>
      <c r="H126" s="20"/>
      <c r="I126" s="19"/>
      <c r="J126" s="89"/>
      <c r="K126" s="19"/>
      <c r="L126" s="19"/>
      <c r="M126" s="19"/>
      <c r="N126" s="19"/>
      <c r="O126" s="41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5.75" customHeight="1">
      <c r="A127" s="19"/>
      <c r="B127" s="20"/>
      <c r="C127" s="20"/>
      <c r="D127" s="19"/>
      <c r="E127" s="19"/>
      <c r="F127" s="19"/>
      <c r="G127" s="19"/>
      <c r="H127" s="20"/>
      <c r="I127" s="19"/>
      <c r="J127" s="89"/>
      <c r="K127" s="19"/>
      <c r="L127" s="19"/>
      <c r="M127" s="19"/>
      <c r="N127" s="19"/>
      <c r="O127" s="41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5.75" customHeight="1">
      <c r="A128" s="19"/>
      <c r="B128" s="20"/>
      <c r="C128" s="20"/>
      <c r="D128" s="19"/>
      <c r="E128" s="19"/>
      <c r="F128" s="19"/>
      <c r="G128" s="19"/>
      <c r="H128" s="20"/>
      <c r="I128" s="19"/>
      <c r="J128" s="89"/>
      <c r="K128" s="19"/>
      <c r="L128" s="19"/>
      <c r="M128" s="19"/>
      <c r="N128" s="19"/>
      <c r="O128" s="41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15.75" customHeight="1">
      <c r="A129" s="19"/>
      <c r="B129" s="20"/>
      <c r="C129" s="20"/>
      <c r="D129" s="19"/>
      <c r="E129" s="19"/>
      <c r="F129" s="19"/>
      <c r="G129" s="19"/>
      <c r="H129" s="20"/>
      <c r="I129" s="19"/>
      <c r="J129" s="89"/>
      <c r="K129" s="19"/>
      <c r="L129" s="19"/>
      <c r="M129" s="19"/>
      <c r="N129" s="19"/>
      <c r="O129" s="41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15.75" customHeight="1">
      <c r="A130" s="19"/>
      <c r="B130" s="20"/>
      <c r="C130" s="20"/>
      <c r="D130" s="19"/>
      <c r="E130" s="19"/>
      <c r="F130" s="19"/>
      <c r="G130" s="19"/>
      <c r="H130" s="20"/>
      <c r="I130" s="19"/>
      <c r="J130" s="89"/>
      <c r="K130" s="19"/>
      <c r="L130" s="19"/>
      <c r="M130" s="19"/>
      <c r="N130" s="19"/>
      <c r="O130" s="41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15.75" customHeight="1">
      <c r="A131" s="19"/>
      <c r="B131" s="20"/>
      <c r="C131" s="20"/>
      <c r="D131" s="19"/>
      <c r="E131" s="19"/>
      <c r="F131" s="19"/>
      <c r="G131" s="19"/>
      <c r="H131" s="20"/>
      <c r="I131" s="19"/>
      <c r="J131" s="89"/>
      <c r="K131" s="19"/>
      <c r="L131" s="19"/>
      <c r="M131" s="19"/>
      <c r="N131" s="19"/>
      <c r="O131" s="41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15.75" customHeight="1">
      <c r="A132" s="19"/>
      <c r="B132" s="20"/>
      <c r="C132" s="20"/>
      <c r="D132" s="19"/>
      <c r="E132" s="19"/>
      <c r="F132" s="19"/>
      <c r="G132" s="19"/>
      <c r="H132" s="20"/>
      <c r="I132" s="19"/>
      <c r="J132" s="89"/>
      <c r="K132" s="19"/>
      <c r="L132" s="19"/>
      <c r="M132" s="19"/>
      <c r="N132" s="19"/>
      <c r="O132" s="41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15.75" customHeight="1">
      <c r="A133" s="19"/>
      <c r="B133" s="20"/>
      <c r="C133" s="20"/>
      <c r="D133" s="19"/>
      <c r="E133" s="19"/>
      <c r="F133" s="19"/>
      <c r="G133" s="19"/>
      <c r="H133" s="20"/>
      <c r="I133" s="19"/>
      <c r="J133" s="89"/>
      <c r="K133" s="19"/>
      <c r="L133" s="19"/>
      <c r="M133" s="19"/>
      <c r="N133" s="19"/>
      <c r="O133" s="41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15.75" customHeight="1">
      <c r="A134" s="19"/>
      <c r="B134" s="20"/>
      <c r="C134" s="20"/>
      <c r="D134" s="19"/>
      <c r="E134" s="19"/>
      <c r="F134" s="19"/>
      <c r="G134" s="19"/>
      <c r="H134" s="20"/>
      <c r="I134" s="19"/>
      <c r="J134" s="89"/>
      <c r="K134" s="19"/>
      <c r="L134" s="19"/>
      <c r="M134" s="19"/>
      <c r="N134" s="19"/>
      <c r="O134" s="41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15.75" customHeight="1">
      <c r="A135" s="19"/>
      <c r="B135" s="20"/>
      <c r="C135" s="20"/>
      <c r="D135" s="19"/>
      <c r="E135" s="19"/>
      <c r="F135" s="19"/>
      <c r="G135" s="19"/>
      <c r="H135" s="20"/>
      <c r="I135" s="19"/>
      <c r="J135" s="89"/>
      <c r="K135" s="19"/>
      <c r="L135" s="19"/>
      <c r="M135" s="19"/>
      <c r="N135" s="19"/>
      <c r="O135" s="41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5.75" customHeight="1">
      <c r="A136" s="19"/>
      <c r="B136" s="20"/>
      <c r="C136" s="20"/>
      <c r="D136" s="19"/>
      <c r="E136" s="19"/>
      <c r="F136" s="19"/>
      <c r="G136" s="19"/>
      <c r="H136" s="20"/>
      <c r="I136" s="19"/>
      <c r="J136" s="89"/>
      <c r="K136" s="19"/>
      <c r="L136" s="19"/>
      <c r="M136" s="19"/>
      <c r="N136" s="19"/>
      <c r="O136" s="41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15.75" customHeight="1">
      <c r="A137" s="19"/>
      <c r="B137" s="20"/>
      <c r="C137" s="20"/>
      <c r="D137" s="19"/>
      <c r="E137" s="19"/>
      <c r="F137" s="19"/>
      <c r="G137" s="19"/>
      <c r="H137" s="20"/>
      <c r="I137" s="19"/>
      <c r="J137" s="89"/>
      <c r="K137" s="19"/>
      <c r="L137" s="19"/>
      <c r="M137" s="19"/>
      <c r="N137" s="19"/>
      <c r="O137" s="41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15.75" customHeight="1">
      <c r="A138" s="19"/>
      <c r="B138" s="20"/>
      <c r="C138" s="20"/>
      <c r="D138" s="19"/>
      <c r="E138" s="19"/>
      <c r="F138" s="19"/>
      <c r="G138" s="19"/>
      <c r="H138" s="20"/>
      <c r="I138" s="19"/>
      <c r="J138" s="89"/>
      <c r="K138" s="19"/>
      <c r="L138" s="19"/>
      <c r="M138" s="19"/>
      <c r="N138" s="19"/>
      <c r="O138" s="41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5.75" customHeight="1">
      <c r="A139" s="19"/>
      <c r="B139" s="20"/>
      <c r="C139" s="20"/>
      <c r="D139" s="19"/>
      <c r="E139" s="19"/>
      <c r="F139" s="19"/>
      <c r="G139" s="19"/>
      <c r="H139" s="20"/>
      <c r="I139" s="19"/>
      <c r="J139" s="89"/>
      <c r="K139" s="19"/>
      <c r="L139" s="19"/>
      <c r="M139" s="19"/>
      <c r="N139" s="19"/>
      <c r="O139" s="41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15.75" customHeight="1">
      <c r="A140" s="19"/>
      <c r="B140" s="20"/>
      <c r="C140" s="20"/>
      <c r="D140" s="19"/>
      <c r="E140" s="19"/>
      <c r="F140" s="19"/>
      <c r="G140" s="19"/>
      <c r="H140" s="20"/>
      <c r="I140" s="19"/>
      <c r="J140" s="89"/>
      <c r="K140" s="19"/>
      <c r="L140" s="19"/>
      <c r="M140" s="19"/>
      <c r="N140" s="19"/>
      <c r="O140" s="41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5.75" customHeight="1">
      <c r="A141" s="19"/>
      <c r="B141" s="20"/>
      <c r="C141" s="20"/>
      <c r="D141" s="19"/>
      <c r="E141" s="19"/>
      <c r="F141" s="19"/>
      <c r="G141" s="19"/>
      <c r="H141" s="20"/>
      <c r="I141" s="19"/>
      <c r="J141" s="89"/>
      <c r="K141" s="19"/>
      <c r="L141" s="19"/>
      <c r="M141" s="19"/>
      <c r="N141" s="19"/>
      <c r="O141" s="41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5.75" customHeight="1">
      <c r="A142" s="19"/>
      <c r="B142" s="20"/>
      <c r="C142" s="20"/>
      <c r="D142" s="19"/>
      <c r="E142" s="19"/>
      <c r="F142" s="19"/>
      <c r="G142" s="19"/>
      <c r="H142" s="20"/>
      <c r="I142" s="19"/>
      <c r="J142" s="89"/>
      <c r="K142" s="19"/>
      <c r="L142" s="19"/>
      <c r="M142" s="19"/>
      <c r="N142" s="19"/>
      <c r="O142" s="41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5.75" customHeight="1">
      <c r="A143" s="19"/>
      <c r="B143" s="20"/>
      <c r="C143" s="20"/>
      <c r="D143" s="19"/>
      <c r="E143" s="19"/>
      <c r="F143" s="19"/>
      <c r="G143" s="19"/>
      <c r="H143" s="20"/>
      <c r="I143" s="19"/>
      <c r="J143" s="89"/>
      <c r="K143" s="19"/>
      <c r="L143" s="19"/>
      <c r="M143" s="19"/>
      <c r="N143" s="19"/>
      <c r="O143" s="41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15.75" customHeight="1">
      <c r="A144" s="19"/>
      <c r="B144" s="20"/>
      <c r="C144" s="20"/>
      <c r="D144" s="19"/>
      <c r="E144" s="19"/>
      <c r="F144" s="19"/>
      <c r="G144" s="19"/>
      <c r="H144" s="20"/>
      <c r="I144" s="19"/>
      <c r="J144" s="89"/>
      <c r="K144" s="19"/>
      <c r="L144" s="19"/>
      <c r="M144" s="19"/>
      <c r="N144" s="19"/>
      <c r="O144" s="41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5.75" customHeight="1">
      <c r="A145" s="19"/>
      <c r="B145" s="20"/>
      <c r="C145" s="20"/>
      <c r="D145" s="19"/>
      <c r="E145" s="19"/>
      <c r="F145" s="19"/>
      <c r="G145" s="19"/>
      <c r="H145" s="20"/>
      <c r="I145" s="19"/>
      <c r="J145" s="89"/>
      <c r="K145" s="19"/>
      <c r="L145" s="19"/>
      <c r="M145" s="19"/>
      <c r="N145" s="19"/>
      <c r="O145" s="41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5.75" customHeight="1">
      <c r="A146" s="19"/>
      <c r="B146" s="20"/>
      <c r="C146" s="20"/>
      <c r="D146" s="19"/>
      <c r="E146" s="19"/>
      <c r="F146" s="19"/>
      <c r="G146" s="19"/>
      <c r="H146" s="20"/>
      <c r="I146" s="19"/>
      <c r="J146" s="89"/>
      <c r="K146" s="19"/>
      <c r="L146" s="19"/>
      <c r="M146" s="19"/>
      <c r="N146" s="19"/>
      <c r="O146" s="41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5.75" customHeight="1">
      <c r="A147" s="19"/>
      <c r="B147" s="20"/>
      <c r="C147" s="20"/>
      <c r="D147" s="19"/>
      <c r="E147" s="19"/>
      <c r="F147" s="19"/>
      <c r="G147" s="19"/>
      <c r="H147" s="20"/>
      <c r="I147" s="19"/>
      <c r="J147" s="89"/>
      <c r="K147" s="19"/>
      <c r="L147" s="19"/>
      <c r="M147" s="19"/>
      <c r="N147" s="19"/>
      <c r="O147" s="41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5.75" customHeight="1">
      <c r="A148" s="19"/>
      <c r="B148" s="20"/>
      <c r="C148" s="20"/>
      <c r="D148" s="19"/>
      <c r="E148" s="19"/>
      <c r="F148" s="19"/>
      <c r="G148" s="19"/>
      <c r="H148" s="20"/>
      <c r="I148" s="19"/>
      <c r="J148" s="89"/>
      <c r="K148" s="19"/>
      <c r="L148" s="19"/>
      <c r="M148" s="19"/>
      <c r="N148" s="19"/>
      <c r="O148" s="41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5.75" customHeight="1">
      <c r="A149" s="19"/>
      <c r="B149" s="20"/>
      <c r="C149" s="20"/>
      <c r="D149" s="19"/>
      <c r="E149" s="19"/>
      <c r="F149" s="19"/>
      <c r="G149" s="19"/>
      <c r="H149" s="20"/>
      <c r="I149" s="19"/>
      <c r="J149" s="89"/>
      <c r="K149" s="19"/>
      <c r="L149" s="19"/>
      <c r="M149" s="19"/>
      <c r="N149" s="19"/>
      <c r="O149" s="41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15.75" customHeight="1">
      <c r="A150" s="19"/>
      <c r="B150" s="20"/>
      <c r="C150" s="20"/>
      <c r="D150" s="19"/>
      <c r="E150" s="19"/>
      <c r="F150" s="19"/>
      <c r="G150" s="19"/>
      <c r="H150" s="20"/>
      <c r="I150" s="19"/>
      <c r="J150" s="89"/>
      <c r="K150" s="19"/>
      <c r="L150" s="19"/>
      <c r="M150" s="19"/>
      <c r="N150" s="19"/>
      <c r="O150" s="41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5.75" customHeight="1">
      <c r="A151" s="19"/>
      <c r="B151" s="20"/>
      <c r="C151" s="20"/>
      <c r="D151" s="19"/>
      <c r="E151" s="19"/>
      <c r="F151" s="19"/>
      <c r="G151" s="19"/>
      <c r="H151" s="20"/>
      <c r="I151" s="19"/>
      <c r="J151" s="89"/>
      <c r="K151" s="19"/>
      <c r="L151" s="19"/>
      <c r="M151" s="19"/>
      <c r="N151" s="19"/>
      <c r="O151" s="41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5.75" customHeight="1">
      <c r="A152" s="19"/>
      <c r="B152" s="20"/>
      <c r="C152" s="20"/>
      <c r="D152" s="19"/>
      <c r="E152" s="19"/>
      <c r="F152" s="19"/>
      <c r="G152" s="19"/>
      <c r="H152" s="20"/>
      <c r="I152" s="19"/>
      <c r="J152" s="89"/>
      <c r="K152" s="19"/>
      <c r="L152" s="19"/>
      <c r="M152" s="19"/>
      <c r="N152" s="19"/>
      <c r="O152" s="41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5.75" customHeight="1">
      <c r="A153" s="19"/>
      <c r="B153" s="20"/>
      <c r="C153" s="20"/>
      <c r="D153" s="19"/>
      <c r="E153" s="19"/>
      <c r="F153" s="19"/>
      <c r="G153" s="19"/>
      <c r="H153" s="20"/>
      <c r="I153" s="19"/>
      <c r="J153" s="89"/>
      <c r="K153" s="19"/>
      <c r="L153" s="19"/>
      <c r="M153" s="19"/>
      <c r="N153" s="19"/>
      <c r="O153" s="41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5.75" customHeight="1">
      <c r="A154" s="19"/>
      <c r="B154" s="20"/>
      <c r="C154" s="20"/>
      <c r="D154" s="19"/>
      <c r="E154" s="19"/>
      <c r="F154" s="19"/>
      <c r="G154" s="19"/>
      <c r="H154" s="20"/>
      <c r="I154" s="19"/>
      <c r="J154" s="89"/>
      <c r="K154" s="19"/>
      <c r="L154" s="19"/>
      <c r="M154" s="19"/>
      <c r="N154" s="19"/>
      <c r="O154" s="41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5.75" customHeight="1">
      <c r="A155" s="19"/>
      <c r="B155" s="20"/>
      <c r="C155" s="20"/>
      <c r="D155" s="19"/>
      <c r="E155" s="19"/>
      <c r="F155" s="19"/>
      <c r="G155" s="19"/>
      <c r="H155" s="20"/>
      <c r="I155" s="19"/>
      <c r="J155" s="89"/>
      <c r="K155" s="19"/>
      <c r="L155" s="19"/>
      <c r="M155" s="19"/>
      <c r="N155" s="19"/>
      <c r="O155" s="41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5.75" customHeight="1">
      <c r="A156" s="19"/>
      <c r="B156" s="20"/>
      <c r="C156" s="20"/>
      <c r="D156" s="19"/>
      <c r="E156" s="19"/>
      <c r="F156" s="19"/>
      <c r="G156" s="19"/>
      <c r="H156" s="20"/>
      <c r="I156" s="19"/>
      <c r="J156" s="89"/>
      <c r="K156" s="19"/>
      <c r="L156" s="19"/>
      <c r="M156" s="19"/>
      <c r="N156" s="19"/>
      <c r="O156" s="41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5.75" customHeight="1">
      <c r="A157" s="19"/>
      <c r="B157" s="20"/>
      <c r="C157" s="20"/>
      <c r="D157" s="19"/>
      <c r="E157" s="19"/>
      <c r="F157" s="19"/>
      <c r="G157" s="19"/>
      <c r="H157" s="20"/>
      <c r="I157" s="19"/>
      <c r="J157" s="89"/>
      <c r="K157" s="19"/>
      <c r="L157" s="19"/>
      <c r="M157" s="19"/>
      <c r="N157" s="19"/>
      <c r="O157" s="41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15.75" customHeight="1">
      <c r="A158" s="19"/>
      <c r="B158" s="20"/>
      <c r="C158" s="20"/>
      <c r="D158" s="19"/>
      <c r="E158" s="19"/>
      <c r="F158" s="19"/>
      <c r="G158" s="19"/>
      <c r="H158" s="20"/>
      <c r="I158" s="19"/>
      <c r="J158" s="89"/>
      <c r="K158" s="19"/>
      <c r="L158" s="19"/>
      <c r="M158" s="19"/>
      <c r="N158" s="19"/>
      <c r="O158" s="41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5.75" customHeight="1">
      <c r="A159" s="19"/>
      <c r="B159" s="20"/>
      <c r="C159" s="20"/>
      <c r="D159" s="19"/>
      <c r="E159" s="19"/>
      <c r="F159" s="19"/>
      <c r="G159" s="19"/>
      <c r="H159" s="20"/>
      <c r="I159" s="19"/>
      <c r="J159" s="89"/>
      <c r="K159" s="19"/>
      <c r="L159" s="19"/>
      <c r="M159" s="19"/>
      <c r="N159" s="19"/>
      <c r="O159" s="41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5.75" customHeight="1">
      <c r="A160" s="19"/>
      <c r="B160" s="20"/>
      <c r="C160" s="20"/>
      <c r="D160" s="19"/>
      <c r="E160" s="19"/>
      <c r="F160" s="19"/>
      <c r="G160" s="19"/>
      <c r="H160" s="20"/>
      <c r="I160" s="19"/>
      <c r="J160" s="89"/>
      <c r="K160" s="19"/>
      <c r="L160" s="19"/>
      <c r="M160" s="19"/>
      <c r="N160" s="19"/>
      <c r="O160" s="41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5.75" customHeight="1">
      <c r="A161" s="19"/>
      <c r="B161" s="20"/>
      <c r="C161" s="20"/>
      <c r="D161" s="19"/>
      <c r="E161" s="19"/>
      <c r="F161" s="19"/>
      <c r="G161" s="19"/>
      <c r="H161" s="20"/>
      <c r="I161" s="19"/>
      <c r="J161" s="89"/>
      <c r="K161" s="19"/>
      <c r="L161" s="19"/>
      <c r="M161" s="19"/>
      <c r="N161" s="19"/>
      <c r="O161" s="41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5.75" customHeight="1">
      <c r="A162" s="19"/>
      <c r="B162" s="20"/>
      <c r="C162" s="20"/>
      <c r="D162" s="19"/>
      <c r="E162" s="19"/>
      <c r="F162" s="19"/>
      <c r="G162" s="19"/>
      <c r="H162" s="20"/>
      <c r="I162" s="19"/>
      <c r="J162" s="89"/>
      <c r="K162" s="19"/>
      <c r="L162" s="19"/>
      <c r="M162" s="19"/>
      <c r="N162" s="19"/>
      <c r="O162" s="41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5.75" customHeight="1">
      <c r="A163" s="19"/>
      <c r="B163" s="20"/>
      <c r="C163" s="20"/>
      <c r="D163" s="19"/>
      <c r="E163" s="19"/>
      <c r="F163" s="19"/>
      <c r="G163" s="19"/>
      <c r="H163" s="20"/>
      <c r="I163" s="19"/>
      <c r="J163" s="89"/>
      <c r="K163" s="19"/>
      <c r="L163" s="19"/>
      <c r="M163" s="19"/>
      <c r="N163" s="19"/>
      <c r="O163" s="41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5.75" customHeight="1">
      <c r="A164" s="19"/>
      <c r="B164" s="20"/>
      <c r="C164" s="20"/>
      <c r="D164" s="19"/>
      <c r="E164" s="19"/>
      <c r="F164" s="19"/>
      <c r="G164" s="19"/>
      <c r="H164" s="20"/>
      <c r="I164" s="19"/>
      <c r="J164" s="89"/>
      <c r="K164" s="19"/>
      <c r="L164" s="19"/>
      <c r="M164" s="19"/>
      <c r="N164" s="19"/>
      <c r="O164" s="41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5.75" customHeight="1">
      <c r="A165" s="19"/>
      <c r="B165" s="20"/>
      <c r="C165" s="20"/>
      <c r="D165" s="19"/>
      <c r="E165" s="19"/>
      <c r="F165" s="19"/>
      <c r="G165" s="19"/>
      <c r="H165" s="20"/>
      <c r="I165" s="19"/>
      <c r="J165" s="89"/>
      <c r="K165" s="19"/>
      <c r="L165" s="19"/>
      <c r="M165" s="19"/>
      <c r="N165" s="19"/>
      <c r="O165" s="41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5.75" customHeight="1">
      <c r="A166" s="19"/>
      <c r="B166" s="20"/>
      <c r="C166" s="20"/>
      <c r="D166" s="19"/>
      <c r="E166" s="19"/>
      <c r="F166" s="19"/>
      <c r="G166" s="19"/>
      <c r="H166" s="20"/>
      <c r="I166" s="19"/>
      <c r="J166" s="89"/>
      <c r="K166" s="19"/>
      <c r="L166" s="19"/>
      <c r="M166" s="19"/>
      <c r="N166" s="19"/>
      <c r="O166" s="41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5.75" customHeight="1">
      <c r="A167" s="19"/>
      <c r="B167" s="20"/>
      <c r="C167" s="20"/>
      <c r="D167" s="19"/>
      <c r="E167" s="19"/>
      <c r="F167" s="19"/>
      <c r="G167" s="19"/>
      <c r="H167" s="20"/>
      <c r="I167" s="19"/>
      <c r="J167" s="89"/>
      <c r="K167" s="19"/>
      <c r="L167" s="19"/>
      <c r="M167" s="19"/>
      <c r="N167" s="19"/>
      <c r="O167" s="41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5.75" customHeight="1">
      <c r="A168" s="19"/>
      <c r="B168" s="20"/>
      <c r="C168" s="20"/>
      <c r="D168" s="19"/>
      <c r="E168" s="19"/>
      <c r="F168" s="19"/>
      <c r="G168" s="19"/>
      <c r="H168" s="20"/>
      <c r="I168" s="19"/>
      <c r="J168" s="89"/>
      <c r="K168" s="19"/>
      <c r="L168" s="19"/>
      <c r="M168" s="19"/>
      <c r="N168" s="19"/>
      <c r="O168" s="41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5.75" customHeight="1">
      <c r="A169" s="19"/>
      <c r="B169" s="20"/>
      <c r="C169" s="20"/>
      <c r="D169" s="19"/>
      <c r="E169" s="19"/>
      <c r="F169" s="19"/>
      <c r="G169" s="19"/>
      <c r="H169" s="20"/>
      <c r="I169" s="19"/>
      <c r="J169" s="89"/>
      <c r="K169" s="19"/>
      <c r="L169" s="19"/>
      <c r="M169" s="19"/>
      <c r="N169" s="19"/>
      <c r="O169" s="41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5.75" customHeight="1">
      <c r="A170" s="19"/>
      <c r="B170" s="20"/>
      <c r="C170" s="20"/>
      <c r="D170" s="19"/>
      <c r="E170" s="19"/>
      <c r="F170" s="19"/>
      <c r="G170" s="19"/>
      <c r="H170" s="20"/>
      <c r="I170" s="19"/>
      <c r="J170" s="89"/>
      <c r="K170" s="19"/>
      <c r="L170" s="19"/>
      <c r="M170" s="19"/>
      <c r="N170" s="19"/>
      <c r="O170" s="41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5.75" customHeight="1">
      <c r="A171" s="19"/>
      <c r="B171" s="20"/>
      <c r="C171" s="20"/>
      <c r="D171" s="19"/>
      <c r="E171" s="19"/>
      <c r="F171" s="19"/>
      <c r="G171" s="19"/>
      <c r="H171" s="20"/>
      <c r="I171" s="19"/>
      <c r="J171" s="89"/>
      <c r="K171" s="19"/>
      <c r="L171" s="19"/>
      <c r="M171" s="19"/>
      <c r="N171" s="19"/>
      <c r="O171" s="41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5.75" customHeight="1">
      <c r="A172" s="19"/>
      <c r="B172" s="20"/>
      <c r="C172" s="20"/>
      <c r="D172" s="19"/>
      <c r="E172" s="19"/>
      <c r="F172" s="19"/>
      <c r="G172" s="19"/>
      <c r="H172" s="20"/>
      <c r="I172" s="19"/>
      <c r="J172" s="89"/>
      <c r="K172" s="19"/>
      <c r="L172" s="19"/>
      <c r="M172" s="19"/>
      <c r="N172" s="19"/>
      <c r="O172" s="41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5.75" customHeight="1">
      <c r="A173" s="19"/>
      <c r="B173" s="20"/>
      <c r="C173" s="20"/>
      <c r="D173" s="19"/>
      <c r="E173" s="19"/>
      <c r="F173" s="19"/>
      <c r="G173" s="19"/>
      <c r="H173" s="20"/>
      <c r="I173" s="19"/>
      <c r="J173" s="89"/>
      <c r="K173" s="19"/>
      <c r="L173" s="19"/>
      <c r="M173" s="19"/>
      <c r="N173" s="19"/>
      <c r="O173" s="41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5.75" customHeight="1">
      <c r="A174" s="19"/>
      <c r="B174" s="20"/>
      <c r="C174" s="20"/>
      <c r="D174" s="19"/>
      <c r="E174" s="19"/>
      <c r="F174" s="19"/>
      <c r="G174" s="19"/>
      <c r="H174" s="20"/>
      <c r="I174" s="19"/>
      <c r="J174" s="89"/>
      <c r="K174" s="19"/>
      <c r="L174" s="19"/>
      <c r="M174" s="19"/>
      <c r="N174" s="19"/>
      <c r="O174" s="41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5.75" customHeight="1">
      <c r="A175" s="19"/>
      <c r="B175" s="20"/>
      <c r="C175" s="20"/>
      <c r="D175" s="19"/>
      <c r="E175" s="19"/>
      <c r="F175" s="19"/>
      <c r="G175" s="19"/>
      <c r="H175" s="20"/>
      <c r="I175" s="19"/>
      <c r="J175" s="89"/>
      <c r="K175" s="19"/>
      <c r="L175" s="19"/>
      <c r="M175" s="19"/>
      <c r="N175" s="19"/>
      <c r="O175" s="41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5.75" customHeight="1">
      <c r="A176" s="19"/>
      <c r="B176" s="20"/>
      <c r="C176" s="20"/>
      <c r="D176" s="19"/>
      <c r="E176" s="19"/>
      <c r="F176" s="19"/>
      <c r="G176" s="19"/>
      <c r="H176" s="20"/>
      <c r="I176" s="19"/>
      <c r="J176" s="89"/>
      <c r="K176" s="19"/>
      <c r="L176" s="19"/>
      <c r="M176" s="19"/>
      <c r="N176" s="19"/>
      <c r="O176" s="41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5.75" customHeight="1">
      <c r="A177" s="19"/>
      <c r="B177" s="20"/>
      <c r="C177" s="20"/>
      <c r="D177" s="19"/>
      <c r="E177" s="19"/>
      <c r="F177" s="19"/>
      <c r="G177" s="19"/>
      <c r="H177" s="20"/>
      <c r="I177" s="19"/>
      <c r="J177" s="89"/>
      <c r="K177" s="19"/>
      <c r="L177" s="19"/>
      <c r="M177" s="19"/>
      <c r="N177" s="19"/>
      <c r="O177" s="41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5.75" customHeight="1">
      <c r="A178" s="19"/>
      <c r="B178" s="20"/>
      <c r="C178" s="20"/>
      <c r="D178" s="19"/>
      <c r="E178" s="19"/>
      <c r="F178" s="19"/>
      <c r="G178" s="19"/>
      <c r="H178" s="20"/>
      <c r="I178" s="19"/>
      <c r="J178" s="89"/>
      <c r="K178" s="19"/>
      <c r="L178" s="19"/>
      <c r="M178" s="19"/>
      <c r="N178" s="19"/>
      <c r="O178" s="41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5.75" customHeight="1">
      <c r="A179" s="19"/>
      <c r="B179" s="20"/>
      <c r="C179" s="20"/>
      <c r="D179" s="19"/>
      <c r="E179" s="19"/>
      <c r="F179" s="19"/>
      <c r="G179" s="19"/>
      <c r="H179" s="20"/>
      <c r="I179" s="19"/>
      <c r="J179" s="89"/>
      <c r="K179" s="19"/>
      <c r="L179" s="19"/>
      <c r="M179" s="19"/>
      <c r="N179" s="19"/>
      <c r="O179" s="41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5.75" customHeight="1">
      <c r="A180" s="19"/>
      <c r="B180" s="20"/>
      <c r="C180" s="20"/>
      <c r="D180" s="19"/>
      <c r="E180" s="19"/>
      <c r="F180" s="19"/>
      <c r="G180" s="19"/>
      <c r="H180" s="20"/>
      <c r="I180" s="19"/>
      <c r="J180" s="89"/>
      <c r="K180" s="19"/>
      <c r="L180" s="19"/>
      <c r="M180" s="19"/>
      <c r="N180" s="19"/>
      <c r="O180" s="41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15.75" customHeight="1">
      <c r="A181" s="19"/>
      <c r="B181" s="20"/>
      <c r="C181" s="20"/>
      <c r="D181" s="19"/>
      <c r="E181" s="19"/>
      <c r="F181" s="19"/>
      <c r="G181" s="19"/>
      <c r="H181" s="20"/>
      <c r="I181" s="19"/>
      <c r="J181" s="89"/>
      <c r="K181" s="19"/>
      <c r="L181" s="19"/>
      <c r="M181" s="19"/>
      <c r="N181" s="19"/>
      <c r="O181" s="41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5.75" customHeight="1">
      <c r="A182" s="19"/>
      <c r="B182" s="20"/>
      <c r="C182" s="20"/>
      <c r="D182" s="19"/>
      <c r="E182" s="19"/>
      <c r="F182" s="19"/>
      <c r="G182" s="19"/>
      <c r="H182" s="20"/>
      <c r="I182" s="19"/>
      <c r="J182" s="89"/>
      <c r="K182" s="19"/>
      <c r="L182" s="19"/>
      <c r="M182" s="19"/>
      <c r="N182" s="19"/>
      <c r="O182" s="41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5.75" customHeight="1">
      <c r="A183" s="19"/>
      <c r="B183" s="20"/>
      <c r="C183" s="20"/>
      <c r="D183" s="19"/>
      <c r="E183" s="19"/>
      <c r="F183" s="19"/>
      <c r="G183" s="19"/>
      <c r="H183" s="20"/>
      <c r="I183" s="19"/>
      <c r="J183" s="89"/>
      <c r="K183" s="19"/>
      <c r="L183" s="19"/>
      <c r="M183" s="19"/>
      <c r="N183" s="19"/>
      <c r="O183" s="41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5.75" customHeight="1">
      <c r="A184" s="19"/>
      <c r="B184" s="20"/>
      <c r="C184" s="20"/>
      <c r="D184" s="19"/>
      <c r="E184" s="19"/>
      <c r="F184" s="19"/>
      <c r="G184" s="19"/>
      <c r="H184" s="20"/>
      <c r="I184" s="19"/>
      <c r="J184" s="89"/>
      <c r="K184" s="19"/>
      <c r="L184" s="19"/>
      <c r="M184" s="19"/>
      <c r="N184" s="19"/>
      <c r="O184" s="41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5.75" customHeight="1">
      <c r="A185" s="19"/>
      <c r="B185" s="20"/>
      <c r="C185" s="20"/>
      <c r="D185" s="19"/>
      <c r="E185" s="19"/>
      <c r="F185" s="19"/>
      <c r="G185" s="19"/>
      <c r="H185" s="20"/>
      <c r="I185" s="19"/>
      <c r="J185" s="89"/>
      <c r="K185" s="19"/>
      <c r="L185" s="19"/>
      <c r="M185" s="19"/>
      <c r="N185" s="19"/>
      <c r="O185" s="41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5.75" customHeight="1">
      <c r="A186" s="19"/>
      <c r="B186" s="20"/>
      <c r="C186" s="20"/>
      <c r="D186" s="19"/>
      <c r="E186" s="19"/>
      <c r="F186" s="19"/>
      <c r="G186" s="19"/>
      <c r="H186" s="20"/>
      <c r="I186" s="19"/>
      <c r="J186" s="89"/>
      <c r="K186" s="19"/>
      <c r="L186" s="19"/>
      <c r="M186" s="19"/>
      <c r="N186" s="19"/>
      <c r="O186" s="41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5.75" customHeight="1">
      <c r="A187" s="19"/>
      <c r="B187" s="20"/>
      <c r="C187" s="20"/>
      <c r="D187" s="19"/>
      <c r="E187" s="19"/>
      <c r="F187" s="19"/>
      <c r="G187" s="19"/>
      <c r="H187" s="20"/>
      <c r="I187" s="19"/>
      <c r="J187" s="89"/>
      <c r="K187" s="19"/>
      <c r="L187" s="19"/>
      <c r="M187" s="19"/>
      <c r="N187" s="19"/>
      <c r="O187" s="41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5.75" customHeight="1">
      <c r="A188" s="19"/>
      <c r="B188" s="20"/>
      <c r="C188" s="20"/>
      <c r="D188" s="19"/>
      <c r="E188" s="19"/>
      <c r="F188" s="19"/>
      <c r="G188" s="19"/>
      <c r="H188" s="20"/>
      <c r="I188" s="19"/>
      <c r="J188" s="89"/>
      <c r="K188" s="19"/>
      <c r="L188" s="19"/>
      <c r="M188" s="19"/>
      <c r="N188" s="19"/>
      <c r="O188" s="41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5.75" customHeight="1">
      <c r="A189" s="19"/>
      <c r="B189" s="20"/>
      <c r="C189" s="20"/>
      <c r="D189" s="19"/>
      <c r="E189" s="19"/>
      <c r="F189" s="19"/>
      <c r="G189" s="19"/>
      <c r="H189" s="20"/>
      <c r="I189" s="19"/>
      <c r="J189" s="89"/>
      <c r="K189" s="19"/>
      <c r="L189" s="19"/>
      <c r="M189" s="19"/>
      <c r="N189" s="19"/>
      <c r="O189" s="41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15.75" customHeight="1">
      <c r="A190" s="19"/>
      <c r="B190" s="20"/>
      <c r="C190" s="20"/>
      <c r="D190" s="19"/>
      <c r="E190" s="19"/>
      <c r="F190" s="19"/>
      <c r="G190" s="19"/>
      <c r="H190" s="20"/>
      <c r="I190" s="19"/>
      <c r="J190" s="89"/>
      <c r="K190" s="19"/>
      <c r="L190" s="19"/>
      <c r="M190" s="19"/>
      <c r="N190" s="19"/>
      <c r="O190" s="41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5.75" customHeight="1">
      <c r="A191" s="19"/>
      <c r="B191" s="20"/>
      <c r="C191" s="20"/>
      <c r="D191" s="19"/>
      <c r="E191" s="19"/>
      <c r="F191" s="19"/>
      <c r="G191" s="19"/>
      <c r="H191" s="20"/>
      <c r="I191" s="19"/>
      <c r="J191" s="89"/>
      <c r="K191" s="19"/>
      <c r="L191" s="19"/>
      <c r="M191" s="19"/>
      <c r="N191" s="19"/>
      <c r="O191" s="41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5.75" customHeight="1">
      <c r="A192" s="19"/>
      <c r="B192" s="20"/>
      <c r="C192" s="20"/>
      <c r="D192" s="19"/>
      <c r="E192" s="19"/>
      <c r="F192" s="19"/>
      <c r="G192" s="19"/>
      <c r="H192" s="20"/>
      <c r="I192" s="19"/>
      <c r="J192" s="89"/>
      <c r="K192" s="19"/>
      <c r="L192" s="19"/>
      <c r="M192" s="19"/>
      <c r="N192" s="19"/>
      <c r="O192" s="41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5.75" customHeight="1">
      <c r="A193" s="19"/>
      <c r="B193" s="20"/>
      <c r="C193" s="20"/>
      <c r="D193" s="19"/>
      <c r="E193" s="19"/>
      <c r="F193" s="19"/>
      <c r="G193" s="19"/>
      <c r="H193" s="20"/>
      <c r="I193" s="19"/>
      <c r="J193" s="89"/>
      <c r="K193" s="19"/>
      <c r="L193" s="19"/>
      <c r="M193" s="19"/>
      <c r="N193" s="19"/>
      <c r="O193" s="41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5.75" customHeight="1">
      <c r="A194" s="19"/>
      <c r="B194" s="20"/>
      <c r="C194" s="20"/>
      <c r="D194" s="19"/>
      <c r="E194" s="19"/>
      <c r="F194" s="19"/>
      <c r="G194" s="19"/>
      <c r="H194" s="20"/>
      <c r="I194" s="19"/>
      <c r="J194" s="89"/>
      <c r="K194" s="19"/>
      <c r="L194" s="19"/>
      <c r="M194" s="19"/>
      <c r="N194" s="19"/>
      <c r="O194" s="41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5.75" customHeight="1">
      <c r="A195" s="19"/>
      <c r="B195" s="20"/>
      <c r="C195" s="20"/>
      <c r="D195" s="19"/>
      <c r="E195" s="19"/>
      <c r="F195" s="19"/>
      <c r="G195" s="19"/>
      <c r="H195" s="20"/>
      <c r="I195" s="19"/>
      <c r="J195" s="89"/>
      <c r="K195" s="19"/>
      <c r="L195" s="19"/>
      <c r="M195" s="19"/>
      <c r="N195" s="19"/>
      <c r="O195" s="41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5.75" customHeight="1">
      <c r="A196" s="19"/>
      <c r="B196" s="20"/>
      <c r="C196" s="20"/>
      <c r="D196" s="19"/>
      <c r="E196" s="19"/>
      <c r="F196" s="19"/>
      <c r="G196" s="19"/>
      <c r="H196" s="20"/>
      <c r="I196" s="19"/>
      <c r="J196" s="89"/>
      <c r="K196" s="19"/>
      <c r="L196" s="19"/>
      <c r="M196" s="19"/>
      <c r="N196" s="19"/>
      <c r="O196" s="41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5.75" customHeight="1">
      <c r="A197" s="19"/>
      <c r="B197" s="20"/>
      <c r="C197" s="20"/>
      <c r="D197" s="19"/>
      <c r="E197" s="19"/>
      <c r="F197" s="19"/>
      <c r="G197" s="19"/>
      <c r="H197" s="20"/>
      <c r="I197" s="19"/>
      <c r="J197" s="89"/>
      <c r="K197" s="19"/>
      <c r="L197" s="19"/>
      <c r="M197" s="19"/>
      <c r="N197" s="19"/>
      <c r="O197" s="41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5.75" customHeight="1">
      <c r="A198" s="19"/>
      <c r="B198" s="20"/>
      <c r="C198" s="20"/>
      <c r="D198" s="19"/>
      <c r="E198" s="19"/>
      <c r="F198" s="19"/>
      <c r="G198" s="19"/>
      <c r="H198" s="20"/>
      <c r="I198" s="19"/>
      <c r="J198" s="89"/>
      <c r="K198" s="19"/>
      <c r="L198" s="19"/>
      <c r="M198" s="19"/>
      <c r="N198" s="19"/>
      <c r="O198" s="41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15.75" customHeight="1">
      <c r="A199" s="19"/>
      <c r="B199" s="20"/>
      <c r="C199" s="20"/>
      <c r="D199" s="19"/>
      <c r="E199" s="19"/>
      <c r="F199" s="19"/>
      <c r="G199" s="19"/>
      <c r="H199" s="20"/>
      <c r="I199" s="19"/>
      <c r="J199" s="89"/>
      <c r="K199" s="19"/>
      <c r="L199" s="19"/>
      <c r="M199" s="19"/>
      <c r="N199" s="19"/>
      <c r="O199" s="41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5.75" customHeight="1">
      <c r="A200" s="19"/>
      <c r="B200" s="20"/>
      <c r="C200" s="20"/>
      <c r="D200" s="19"/>
      <c r="E200" s="19"/>
      <c r="F200" s="19"/>
      <c r="G200" s="19"/>
      <c r="H200" s="20"/>
      <c r="I200" s="19"/>
      <c r="J200" s="89"/>
      <c r="K200" s="19"/>
      <c r="L200" s="19"/>
      <c r="M200" s="19"/>
      <c r="N200" s="19"/>
      <c r="O200" s="41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5.75" customHeight="1">
      <c r="A201" s="19"/>
      <c r="B201" s="20"/>
      <c r="C201" s="20"/>
      <c r="D201" s="19"/>
      <c r="E201" s="19"/>
      <c r="F201" s="19"/>
      <c r="G201" s="19"/>
      <c r="H201" s="20"/>
      <c r="I201" s="19"/>
      <c r="J201" s="89"/>
      <c r="K201" s="19"/>
      <c r="L201" s="19"/>
      <c r="M201" s="19"/>
      <c r="N201" s="19"/>
      <c r="O201" s="41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5.75" customHeight="1">
      <c r="A202" s="19"/>
      <c r="B202" s="20"/>
      <c r="C202" s="20"/>
      <c r="D202" s="19"/>
      <c r="E202" s="19"/>
      <c r="F202" s="19"/>
      <c r="G202" s="19"/>
      <c r="H202" s="20"/>
      <c r="I202" s="19"/>
      <c r="J202" s="89"/>
      <c r="K202" s="19"/>
      <c r="L202" s="19"/>
      <c r="M202" s="19"/>
      <c r="N202" s="19"/>
      <c r="O202" s="41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5.75" customHeight="1">
      <c r="A203" s="19"/>
      <c r="B203" s="20"/>
      <c r="C203" s="20"/>
      <c r="D203" s="19"/>
      <c r="E203" s="19"/>
      <c r="F203" s="19"/>
      <c r="G203" s="19"/>
      <c r="H203" s="20"/>
      <c r="I203" s="19"/>
      <c r="J203" s="89"/>
      <c r="K203" s="19"/>
      <c r="L203" s="19"/>
      <c r="M203" s="19"/>
      <c r="N203" s="19"/>
      <c r="O203" s="41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5.75" customHeight="1">
      <c r="A204" s="19"/>
      <c r="B204" s="20"/>
      <c r="C204" s="20"/>
      <c r="D204" s="19"/>
      <c r="E204" s="19"/>
      <c r="F204" s="19"/>
      <c r="G204" s="19"/>
      <c r="H204" s="20"/>
      <c r="I204" s="19"/>
      <c r="J204" s="89"/>
      <c r="K204" s="19"/>
      <c r="L204" s="19"/>
      <c r="M204" s="19"/>
      <c r="N204" s="19"/>
      <c r="O204" s="41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5.75" customHeight="1">
      <c r="A205" s="19"/>
      <c r="B205" s="20"/>
      <c r="C205" s="20"/>
      <c r="D205" s="19"/>
      <c r="E205" s="19"/>
      <c r="F205" s="19"/>
      <c r="G205" s="19"/>
      <c r="H205" s="20"/>
      <c r="I205" s="19"/>
      <c r="J205" s="89"/>
      <c r="K205" s="19"/>
      <c r="L205" s="19"/>
      <c r="M205" s="19"/>
      <c r="N205" s="19"/>
      <c r="O205" s="41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15.75" customHeight="1">
      <c r="A206" s="19"/>
      <c r="B206" s="20"/>
      <c r="C206" s="20"/>
      <c r="D206" s="19"/>
      <c r="E206" s="19"/>
      <c r="F206" s="19"/>
      <c r="G206" s="19"/>
      <c r="H206" s="20"/>
      <c r="I206" s="19"/>
      <c r="J206" s="89"/>
      <c r="K206" s="19"/>
      <c r="L206" s="19"/>
      <c r="M206" s="19"/>
      <c r="N206" s="19"/>
      <c r="O206" s="41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5.75" customHeight="1">
      <c r="A207" s="19"/>
      <c r="B207" s="20"/>
      <c r="C207" s="20"/>
      <c r="D207" s="19"/>
      <c r="E207" s="19"/>
      <c r="F207" s="19"/>
      <c r="G207" s="19"/>
      <c r="H207" s="20"/>
      <c r="I207" s="19"/>
      <c r="J207" s="89"/>
      <c r="K207" s="19"/>
      <c r="L207" s="19"/>
      <c r="M207" s="19"/>
      <c r="N207" s="19"/>
      <c r="O207" s="41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15.75" customHeight="1">
      <c r="A208" s="19"/>
      <c r="B208" s="20"/>
      <c r="C208" s="20"/>
      <c r="D208" s="19"/>
      <c r="E208" s="19"/>
      <c r="F208" s="19"/>
      <c r="G208" s="19"/>
      <c r="H208" s="20"/>
      <c r="I208" s="19"/>
      <c r="J208" s="89"/>
      <c r="K208" s="19"/>
      <c r="L208" s="19"/>
      <c r="M208" s="19"/>
      <c r="N208" s="19"/>
      <c r="O208" s="41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15.75" customHeight="1">
      <c r="A209" s="19"/>
      <c r="B209" s="20"/>
      <c r="C209" s="20"/>
      <c r="D209" s="19"/>
      <c r="E209" s="19"/>
      <c r="F209" s="19"/>
      <c r="G209" s="19"/>
      <c r="H209" s="20"/>
      <c r="I209" s="19"/>
      <c r="J209" s="89"/>
      <c r="K209" s="19"/>
      <c r="L209" s="19"/>
      <c r="M209" s="19"/>
      <c r="N209" s="19"/>
      <c r="O209" s="41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15.75" customHeight="1">
      <c r="A210" s="19"/>
      <c r="B210" s="20"/>
      <c r="C210" s="20"/>
      <c r="D210" s="19"/>
      <c r="E210" s="19"/>
      <c r="F210" s="19"/>
      <c r="G210" s="19"/>
      <c r="H210" s="20"/>
      <c r="I210" s="19"/>
      <c r="J210" s="89"/>
      <c r="K210" s="19"/>
      <c r="L210" s="19"/>
      <c r="M210" s="19"/>
      <c r="N210" s="19"/>
      <c r="O210" s="41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15.75" customHeight="1">
      <c r="A211" s="19"/>
      <c r="B211" s="20"/>
      <c r="C211" s="20"/>
      <c r="D211" s="19"/>
      <c r="E211" s="19"/>
      <c r="F211" s="19"/>
      <c r="G211" s="19"/>
      <c r="H211" s="20"/>
      <c r="I211" s="19"/>
      <c r="J211" s="89"/>
      <c r="K211" s="19"/>
      <c r="L211" s="19"/>
      <c r="M211" s="19"/>
      <c r="N211" s="19"/>
      <c r="O211" s="41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15.75" customHeight="1">
      <c r="A212" s="19"/>
      <c r="B212" s="20"/>
      <c r="C212" s="20"/>
      <c r="D212" s="19"/>
      <c r="E212" s="19"/>
      <c r="F212" s="19"/>
      <c r="G212" s="19"/>
      <c r="H212" s="20"/>
      <c r="I212" s="19"/>
      <c r="J212" s="89"/>
      <c r="K212" s="19"/>
      <c r="L212" s="19"/>
      <c r="M212" s="19"/>
      <c r="N212" s="19"/>
      <c r="O212" s="41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15.75" customHeight="1">
      <c r="A213" s="19"/>
      <c r="B213" s="20"/>
      <c r="C213" s="20"/>
      <c r="D213" s="19"/>
      <c r="E213" s="19"/>
      <c r="F213" s="19"/>
      <c r="G213" s="19"/>
      <c r="H213" s="20"/>
      <c r="I213" s="19"/>
      <c r="J213" s="89"/>
      <c r="K213" s="19"/>
      <c r="L213" s="19"/>
      <c r="M213" s="19"/>
      <c r="N213" s="19"/>
      <c r="O213" s="41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15.75" customHeight="1">
      <c r="A214" s="19"/>
      <c r="B214" s="20"/>
      <c r="C214" s="20"/>
      <c r="D214" s="19"/>
      <c r="E214" s="19"/>
      <c r="F214" s="19"/>
      <c r="G214" s="19"/>
      <c r="H214" s="20"/>
      <c r="I214" s="19"/>
      <c r="J214" s="89"/>
      <c r="K214" s="19"/>
      <c r="L214" s="19"/>
      <c r="M214" s="19"/>
      <c r="N214" s="19"/>
      <c r="O214" s="41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15.75" customHeight="1">
      <c r="A215" s="19"/>
      <c r="B215" s="20"/>
      <c r="C215" s="20"/>
      <c r="D215" s="19"/>
      <c r="E215" s="19"/>
      <c r="F215" s="19"/>
      <c r="G215" s="19"/>
      <c r="H215" s="20"/>
      <c r="I215" s="19"/>
      <c r="J215" s="89"/>
      <c r="K215" s="19"/>
      <c r="L215" s="19"/>
      <c r="M215" s="19"/>
      <c r="N215" s="19"/>
      <c r="O215" s="41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15.75" customHeight="1">
      <c r="A216" s="19"/>
      <c r="B216" s="20"/>
      <c r="C216" s="20"/>
      <c r="D216" s="19"/>
      <c r="E216" s="19"/>
      <c r="F216" s="19"/>
      <c r="G216" s="19"/>
      <c r="H216" s="20"/>
      <c r="I216" s="19"/>
      <c r="J216" s="89"/>
      <c r="K216" s="19"/>
      <c r="L216" s="19"/>
      <c r="M216" s="19"/>
      <c r="N216" s="19"/>
      <c r="O216" s="41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15.75" customHeight="1">
      <c r="A217" s="19"/>
      <c r="B217" s="20"/>
      <c r="C217" s="20"/>
      <c r="D217" s="19"/>
      <c r="E217" s="19"/>
      <c r="F217" s="19"/>
      <c r="G217" s="19"/>
      <c r="H217" s="20"/>
      <c r="I217" s="19"/>
      <c r="J217" s="89"/>
      <c r="K217" s="19"/>
      <c r="L217" s="19"/>
      <c r="M217" s="19"/>
      <c r="N217" s="19"/>
      <c r="O217" s="41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15.75" customHeight="1">
      <c r="A218" s="19"/>
      <c r="B218" s="20"/>
      <c r="C218" s="20"/>
      <c r="D218" s="19"/>
      <c r="E218" s="19"/>
      <c r="F218" s="19"/>
      <c r="G218" s="19"/>
      <c r="H218" s="20"/>
      <c r="I218" s="19"/>
      <c r="J218" s="89"/>
      <c r="K218" s="19"/>
      <c r="L218" s="19"/>
      <c r="M218" s="19"/>
      <c r="N218" s="19"/>
      <c r="O218" s="41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5.75" customHeight="1">
      <c r="A219" s="19"/>
      <c r="B219" s="20"/>
      <c r="C219" s="20"/>
      <c r="D219" s="19"/>
      <c r="E219" s="19"/>
      <c r="F219" s="19"/>
      <c r="G219" s="19"/>
      <c r="H219" s="20"/>
      <c r="I219" s="19"/>
      <c r="J219" s="89"/>
      <c r="K219" s="19"/>
      <c r="L219" s="19"/>
      <c r="M219" s="19"/>
      <c r="N219" s="19"/>
      <c r="O219" s="41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5.75" customHeight="1">
      <c r="A220" s="19"/>
      <c r="B220" s="20"/>
      <c r="C220" s="20"/>
      <c r="D220" s="19"/>
      <c r="E220" s="19"/>
      <c r="F220" s="19"/>
      <c r="G220" s="19"/>
      <c r="H220" s="20"/>
      <c r="I220" s="19"/>
      <c r="J220" s="89"/>
      <c r="K220" s="19"/>
      <c r="L220" s="19"/>
      <c r="M220" s="19"/>
      <c r="N220" s="19"/>
      <c r="O220" s="41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5.75" customHeight="1">
      <c r="A221" s="19"/>
      <c r="B221" s="20"/>
      <c r="C221" s="20"/>
      <c r="D221" s="19"/>
      <c r="E221" s="19"/>
      <c r="F221" s="19"/>
      <c r="G221" s="19"/>
      <c r="H221" s="20"/>
      <c r="I221" s="19"/>
      <c r="J221" s="89"/>
      <c r="K221" s="19"/>
      <c r="L221" s="19"/>
      <c r="M221" s="19"/>
      <c r="N221" s="19"/>
      <c r="O221" s="41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5.75" customHeight="1">
      <c r="A222" s="19"/>
      <c r="B222" s="20"/>
      <c r="C222" s="20"/>
      <c r="D222" s="19"/>
      <c r="E222" s="19"/>
      <c r="F222" s="19"/>
      <c r="G222" s="19"/>
      <c r="H222" s="20"/>
      <c r="I222" s="19"/>
      <c r="J222" s="89"/>
      <c r="K222" s="19"/>
      <c r="L222" s="19"/>
      <c r="M222" s="19"/>
      <c r="N222" s="19"/>
      <c r="O222" s="41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5.75" customHeight="1">
      <c r="A223" s="19"/>
      <c r="B223" s="20"/>
      <c r="C223" s="20"/>
      <c r="D223" s="19"/>
      <c r="E223" s="19"/>
      <c r="F223" s="19"/>
      <c r="G223" s="19"/>
      <c r="H223" s="20"/>
      <c r="I223" s="19"/>
      <c r="J223" s="89"/>
      <c r="K223" s="19"/>
      <c r="L223" s="19"/>
      <c r="M223" s="19"/>
      <c r="N223" s="19"/>
      <c r="O223" s="41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5.75" customHeight="1">
      <c r="A224" s="19"/>
      <c r="B224" s="20"/>
      <c r="C224" s="20"/>
      <c r="D224" s="19"/>
      <c r="E224" s="19"/>
      <c r="F224" s="19"/>
      <c r="G224" s="19"/>
      <c r="H224" s="20"/>
      <c r="I224" s="19"/>
      <c r="J224" s="89"/>
      <c r="K224" s="19"/>
      <c r="L224" s="19"/>
      <c r="M224" s="19"/>
      <c r="N224" s="19"/>
      <c r="O224" s="41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5.75" customHeight="1">
      <c r="A225" s="19"/>
      <c r="B225" s="20"/>
      <c r="C225" s="20"/>
      <c r="D225" s="19"/>
      <c r="E225" s="19"/>
      <c r="F225" s="19"/>
      <c r="G225" s="19"/>
      <c r="H225" s="20"/>
      <c r="I225" s="19"/>
      <c r="J225" s="89"/>
      <c r="K225" s="19"/>
      <c r="L225" s="19"/>
      <c r="M225" s="19"/>
      <c r="N225" s="19"/>
      <c r="O225" s="41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5.75" customHeight="1">
      <c r="A226" s="19"/>
      <c r="B226" s="20"/>
      <c r="C226" s="20"/>
      <c r="D226" s="19"/>
      <c r="E226" s="19"/>
      <c r="F226" s="19"/>
      <c r="G226" s="19"/>
      <c r="H226" s="20"/>
      <c r="I226" s="19"/>
      <c r="J226" s="89"/>
      <c r="K226" s="19"/>
      <c r="L226" s="19"/>
      <c r="M226" s="19"/>
      <c r="N226" s="19"/>
      <c r="O226" s="41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5.75" customHeight="1">
      <c r="A227" s="19"/>
      <c r="B227" s="20"/>
      <c r="C227" s="20"/>
      <c r="D227" s="19"/>
      <c r="E227" s="19"/>
      <c r="F227" s="19"/>
      <c r="G227" s="19"/>
      <c r="H227" s="20"/>
      <c r="I227" s="19"/>
      <c r="J227" s="89"/>
      <c r="K227" s="19"/>
      <c r="L227" s="19"/>
      <c r="M227" s="19"/>
      <c r="N227" s="19"/>
      <c r="O227" s="41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5.75" customHeight="1">
      <c r="A228" s="19"/>
      <c r="B228" s="20"/>
      <c r="C228" s="20"/>
      <c r="D228" s="19"/>
      <c r="E228" s="19"/>
      <c r="F228" s="19"/>
      <c r="G228" s="19"/>
      <c r="H228" s="20"/>
      <c r="I228" s="19"/>
      <c r="J228" s="89"/>
      <c r="K228" s="19"/>
      <c r="L228" s="19"/>
      <c r="M228" s="19"/>
      <c r="N228" s="19"/>
      <c r="O228" s="41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5.75" customHeight="1">
      <c r="A229" s="19"/>
      <c r="B229" s="20"/>
      <c r="C229" s="20"/>
      <c r="D229" s="19"/>
      <c r="E229" s="19"/>
      <c r="F229" s="19"/>
      <c r="G229" s="19"/>
      <c r="H229" s="20"/>
      <c r="I229" s="19"/>
      <c r="J229" s="89"/>
      <c r="K229" s="19"/>
      <c r="L229" s="19"/>
      <c r="M229" s="19"/>
      <c r="N229" s="19"/>
      <c r="O229" s="41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5.75" customHeight="1">
      <c r="A230" s="19"/>
      <c r="B230" s="20"/>
      <c r="C230" s="20"/>
      <c r="D230" s="19"/>
      <c r="E230" s="19"/>
      <c r="F230" s="19"/>
      <c r="G230" s="19"/>
      <c r="H230" s="20"/>
      <c r="I230" s="19"/>
      <c r="J230" s="89"/>
      <c r="K230" s="19"/>
      <c r="L230" s="19"/>
      <c r="M230" s="19"/>
      <c r="N230" s="19"/>
      <c r="O230" s="41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5.75" customHeight="1">
      <c r="A231" s="19"/>
      <c r="B231" s="20"/>
      <c r="C231" s="20"/>
      <c r="D231" s="19"/>
      <c r="E231" s="19"/>
      <c r="F231" s="19"/>
      <c r="G231" s="19"/>
      <c r="H231" s="20"/>
      <c r="I231" s="19"/>
      <c r="J231" s="89"/>
      <c r="K231" s="19"/>
      <c r="L231" s="19"/>
      <c r="M231" s="19"/>
      <c r="N231" s="19"/>
      <c r="O231" s="41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5.75" customHeight="1">
      <c r="A232" s="19"/>
      <c r="B232" s="20"/>
      <c r="C232" s="20"/>
      <c r="D232" s="19"/>
      <c r="E232" s="19"/>
      <c r="F232" s="19"/>
      <c r="G232" s="19"/>
      <c r="H232" s="20"/>
      <c r="I232" s="19"/>
      <c r="J232" s="89"/>
      <c r="K232" s="19"/>
      <c r="L232" s="19"/>
      <c r="M232" s="19"/>
      <c r="N232" s="19"/>
      <c r="O232" s="41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15.75" customHeight="1">
      <c r="A233" s="19"/>
      <c r="B233" s="20"/>
      <c r="C233" s="20"/>
      <c r="D233" s="19"/>
      <c r="E233" s="19"/>
      <c r="F233" s="19"/>
      <c r="G233" s="19"/>
      <c r="H233" s="20"/>
      <c r="I233" s="19"/>
      <c r="J233" s="89"/>
      <c r="K233" s="19"/>
      <c r="L233" s="19"/>
      <c r="M233" s="19"/>
      <c r="N233" s="19"/>
      <c r="O233" s="41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15.75" customHeight="1">
      <c r="A234" s="19"/>
      <c r="B234" s="20"/>
      <c r="C234" s="20"/>
      <c r="D234" s="19"/>
      <c r="E234" s="19"/>
      <c r="F234" s="19"/>
      <c r="G234" s="19"/>
      <c r="H234" s="20"/>
      <c r="I234" s="19"/>
      <c r="J234" s="89"/>
      <c r="K234" s="19"/>
      <c r="L234" s="19"/>
      <c r="M234" s="19"/>
      <c r="N234" s="19"/>
      <c r="O234" s="41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15.75" customHeight="1">
      <c r="A235" s="19"/>
      <c r="B235" s="20"/>
      <c r="C235" s="20"/>
      <c r="D235" s="19"/>
      <c r="E235" s="19"/>
      <c r="F235" s="19"/>
      <c r="G235" s="19"/>
      <c r="H235" s="20"/>
      <c r="I235" s="19"/>
      <c r="J235" s="89"/>
      <c r="K235" s="19"/>
      <c r="L235" s="19"/>
      <c r="M235" s="19"/>
      <c r="N235" s="19"/>
      <c r="O235" s="41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15.75" customHeight="1">
      <c r="A236" s="19"/>
      <c r="B236" s="20"/>
      <c r="C236" s="20"/>
      <c r="D236" s="19"/>
      <c r="E236" s="19"/>
      <c r="F236" s="19"/>
      <c r="G236" s="19"/>
      <c r="H236" s="20"/>
      <c r="I236" s="19"/>
      <c r="J236" s="89"/>
      <c r="K236" s="19"/>
      <c r="L236" s="19"/>
      <c r="M236" s="19"/>
      <c r="N236" s="19"/>
      <c r="O236" s="41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15.75" customHeight="1">
      <c r="A237" s="19"/>
      <c r="B237" s="20"/>
      <c r="C237" s="20"/>
      <c r="D237" s="19"/>
      <c r="E237" s="19"/>
      <c r="F237" s="19"/>
      <c r="G237" s="19"/>
      <c r="H237" s="20"/>
      <c r="I237" s="19"/>
      <c r="J237" s="89"/>
      <c r="K237" s="19"/>
      <c r="L237" s="19"/>
      <c r="M237" s="19"/>
      <c r="N237" s="19"/>
      <c r="O237" s="41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15.75" customHeight="1">
      <c r="A238" s="19"/>
      <c r="B238" s="20"/>
      <c r="C238" s="20"/>
      <c r="D238" s="19"/>
      <c r="E238" s="19"/>
      <c r="F238" s="19"/>
      <c r="G238" s="19"/>
      <c r="H238" s="20"/>
      <c r="I238" s="19"/>
      <c r="J238" s="89"/>
      <c r="K238" s="19"/>
      <c r="L238" s="19"/>
      <c r="M238" s="19"/>
      <c r="N238" s="19"/>
      <c r="O238" s="41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15.75" customHeight="1">
      <c r="A239" s="19"/>
      <c r="B239" s="20"/>
      <c r="C239" s="20"/>
      <c r="D239" s="19"/>
      <c r="E239" s="19"/>
      <c r="F239" s="19"/>
      <c r="G239" s="19"/>
      <c r="H239" s="20"/>
      <c r="I239" s="19"/>
      <c r="J239" s="89"/>
      <c r="K239" s="19"/>
      <c r="L239" s="19"/>
      <c r="M239" s="19"/>
      <c r="N239" s="19"/>
      <c r="O239" s="41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15.75" customHeight="1">
      <c r="A240" s="19"/>
      <c r="B240" s="20"/>
      <c r="C240" s="20"/>
      <c r="D240" s="19"/>
      <c r="E240" s="19"/>
      <c r="F240" s="19"/>
      <c r="G240" s="19"/>
      <c r="H240" s="20"/>
      <c r="I240" s="19"/>
      <c r="J240" s="89"/>
      <c r="K240" s="19"/>
      <c r="L240" s="19"/>
      <c r="M240" s="19"/>
      <c r="N240" s="19"/>
      <c r="O240" s="41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15.75" customHeight="1">
      <c r="A241" s="19"/>
      <c r="B241" s="20"/>
      <c r="C241" s="20"/>
      <c r="D241" s="19"/>
      <c r="E241" s="19"/>
      <c r="F241" s="19"/>
      <c r="G241" s="19"/>
      <c r="H241" s="20"/>
      <c r="I241" s="19"/>
      <c r="J241" s="89"/>
      <c r="K241" s="19"/>
      <c r="L241" s="19"/>
      <c r="M241" s="19"/>
      <c r="N241" s="19"/>
      <c r="O241" s="41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15.75" customHeight="1">
      <c r="A242" s="19"/>
      <c r="B242" s="20"/>
      <c r="C242" s="20"/>
      <c r="D242" s="19"/>
      <c r="E242" s="19"/>
      <c r="F242" s="19"/>
      <c r="G242" s="19"/>
      <c r="H242" s="20"/>
      <c r="I242" s="19"/>
      <c r="J242" s="89"/>
      <c r="K242" s="19"/>
      <c r="L242" s="19"/>
      <c r="M242" s="19"/>
      <c r="N242" s="19"/>
      <c r="O242" s="41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15.75" customHeight="1">
      <c r="A243" s="19"/>
      <c r="B243" s="20"/>
      <c r="C243" s="20"/>
      <c r="D243" s="19"/>
      <c r="E243" s="19"/>
      <c r="F243" s="19"/>
      <c r="G243" s="19"/>
      <c r="H243" s="20"/>
      <c r="I243" s="19"/>
      <c r="J243" s="89"/>
      <c r="K243" s="19"/>
      <c r="L243" s="19"/>
      <c r="M243" s="19"/>
      <c r="N243" s="19"/>
      <c r="O243" s="41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15.75" customHeight="1">
      <c r="A244" s="19"/>
      <c r="B244" s="20"/>
      <c r="C244" s="20"/>
      <c r="D244" s="19"/>
      <c r="E244" s="19"/>
      <c r="F244" s="19"/>
      <c r="G244" s="19"/>
      <c r="H244" s="20"/>
      <c r="I244" s="19"/>
      <c r="J244" s="89"/>
      <c r="K244" s="19"/>
      <c r="L244" s="19"/>
      <c r="M244" s="19"/>
      <c r="N244" s="19"/>
      <c r="O244" s="41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15.75" customHeight="1">
      <c r="A245" s="19"/>
      <c r="B245" s="20"/>
      <c r="C245" s="20"/>
      <c r="D245" s="19"/>
      <c r="E245" s="19"/>
      <c r="F245" s="19"/>
      <c r="G245" s="19"/>
      <c r="H245" s="20"/>
      <c r="I245" s="19"/>
      <c r="J245" s="89"/>
      <c r="K245" s="19"/>
      <c r="L245" s="19"/>
      <c r="M245" s="19"/>
      <c r="N245" s="19"/>
      <c r="O245" s="41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15.75" customHeight="1">
      <c r="A246" s="19"/>
      <c r="B246" s="20"/>
      <c r="C246" s="20"/>
      <c r="D246" s="19"/>
      <c r="E246" s="19"/>
      <c r="F246" s="19"/>
      <c r="G246" s="19"/>
      <c r="H246" s="20"/>
      <c r="I246" s="19"/>
      <c r="J246" s="89"/>
      <c r="K246" s="19"/>
      <c r="L246" s="19"/>
      <c r="M246" s="19"/>
      <c r="N246" s="19"/>
      <c r="O246" s="41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15.75" customHeight="1">
      <c r="A247" s="19"/>
      <c r="B247" s="20"/>
      <c r="C247" s="20"/>
      <c r="D247" s="19"/>
      <c r="E247" s="19"/>
      <c r="F247" s="19"/>
      <c r="G247" s="19"/>
      <c r="H247" s="20"/>
      <c r="I247" s="19"/>
      <c r="J247" s="89"/>
      <c r="K247" s="19"/>
      <c r="L247" s="19"/>
      <c r="M247" s="19"/>
      <c r="N247" s="19"/>
      <c r="O247" s="41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5.75" customHeight="1">
      <c r="A248" s="19"/>
      <c r="B248" s="20"/>
      <c r="C248" s="20"/>
      <c r="D248" s="19"/>
      <c r="E248" s="19"/>
      <c r="F248" s="19"/>
      <c r="G248" s="19"/>
      <c r="H248" s="20"/>
      <c r="I248" s="19"/>
      <c r="J248" s="89"/>
      <c r="K248" s="19"/>
      <c r="L248" s="19"/>
      <c r="M248" s="19"/>
      <c r="N248" s="19"/>
      <c r="O248" s="41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15.75" customHeight="1">
      <c r="A249" s="19"/>
      <c r="B249" s="20"/>
      <c r="C249" s="20"/>
      <c r="D249" s="19"/>
      <c r="E249" s="19"/>
      <c r="F249" s="19"/>
      <c r="G249" s="19"/>
      <c r="H249" s="20"/>
      <c r="I249" s="19"/>
      <c r="J249" s="89"/>
      <c r="K249" s="19"/>
      <c r="L249" s="19"/>
      <c r="M249" s="19"/>
      <c r="N249" s="19"/>
      <c r="O249" s="41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15.75" customHeight="1">
      <c r="A250" s="19"/>
      <c r="B250" s="20"/>
      <c r="C250" s="20"/>
      <c r="D250" s="19"/>
      <c r="E250" s="19"/>
      <c r="F250" s="19"/>
      <c r="G250" s="19"/>
      <c r="H250" s="20"/>
      <c r="I250" s="19"/>
      <c r="J250" s="89"/>
      <c r="K250" s="19"/>
      <c r="L250" s="19"/>
      <c r="M250" s="19"/>
      <c r="N250" s="19"/>
      <c r="O250" s="41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15.75" customHeight="1">
      <c r="A251" s="19"/>
      <c r="B251" s="20"/>
      <c r="C251" s="20"/>
      <c r="D251" s="19"/>
      <c r="E251" s="19"/>
      <c r="F251" s="19"/>
      <c r="G251" s="19"/>
      <c r="H251" s="20"/>
      <c r="I251" s="19"/>
      <c r="J251" s="89"/>
      <c r="K251" s="19"/>
      <c r="L251" s="19"/>
      <c r="M251" s="19"/>
      <c r="N251" s="19"/>
      <c r="O251" s="41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15.75" customHeight="1">
      <c r="A252" s="19"/>
      <c r="B252" s="20"/>
      <c r="C252" s="20"/>
      <c r="D252" s="19"/>
      <c r="E252" s="19"/>
      <c r="F252" s="19"/>
      <c r="G252" s="19"/>
      <c r="H252" s="20"/>
      <c r="I252" s="19"/>
      <c r="J252" s="89"/>
      <c r="K252" s="19"/>
      <c r="L252" s="19"/>
      <c r="M252" s="19"/>
      <c r="N252" s="19"/>
      <c r="O252" s="41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15.75" customHeight="1">
      <c r="A253" s="19"/>
      <c r="B253" s="20"/>
      <c r="C253" s="20"/>
      <c r="D253" s="19"/>
      <c r="E253" s="19"/>
      <c r="F253" s="19"/>
      <c r="G253" s="19"/>
      <c r="H253" s="20"/>
      <c r="I253" s="19"/>
      <c r="J253" s="89"/>
      <c r="K253" s="19"/>
      <c r="L253" s="19"/>
      <c r="M253" s="19"/>
      <c r="N253" s="19"/>
      <c r="O253" s="41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5.75" customHeight="1">
      <c r="A254" s="19"/>
      <c r="B254" s="20"/>
      <c r="C254" s="20"/>
      <c r="D254" s="19"/>
      <c r="E254" s="19"/>
      <c r="F254" s="19"/>
      <c r="G254" s="19"/>
      <c r="H254" s="20"/>
      <c r="I254" s="19"/>
      <c r="J254" s="89"/>
      <c r="K254" s="19"/>
      <c r="L254" s="19"/>
      <c r="M254" s="19"/>
      <c r="N254" s="19"/>
      <c r="O254" s="41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15.75" customHeight="1">
      <c r="A255" s="19"/>
      <c r="B255" s="20"/>
      <c r="C255" s="20"/>
      <c r="D255" s="19"/>
      <c r="E255" s="19"/>
      <c r="F255" s="19"/>
      <c r="G255" s="19"/>
      <c r="H255" s="20"/>
      <c r="I255" s="19"/>
      <c r="J255" s="89"/>
      <c r="K255" s="19"/>
      <c r="L255" s="19"/>
      <c r="M255" s="19"/>
      <c r="N255" s="19"/>
      <c r="O255" s="41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5.75" customHeight="1">
      <c r="A256" s="19"/>
      <c r="B256" s="20"/>
      <c r="C256" s="20"/>
      <c r="D256" s="19"/>
      <c r="E256" s="19"/>
      <c r="F256" s="19"/>
      <c r="G256" s="19"/>
      <c r="H256" s="20"/>
      <c r="I256" s="19"/>
      <c r="J256" s="89"/>
      <c r="K256" s="19"/>
      <c r="L256" s="19"/>
      <c r="M256" s="19"/>
      <c r="N256" s="19"/>
      <c r="O256" s="41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5.75" customHeight="1">
      <c r="A257" s="19"/>
      <c r="B257" s="20"/>
      <c r="C257" s="20"/>
      <c r="D257" s="19"/>
      <c r="E257" s="19"/>
      <c r="F257" s="19"/>
      <c r="G257" s="19"/>
      <c r="H257" s="20"/>
      <c r="I257" s="19"/>
      <c r="J257" s="89"/>
      <c r="K257" s="19"/>
      <c r="L257" s="19"/>
      <c r="M257" s="19"/>
      <c r="N257" s="19"/>
      <c r="O257" s="41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5.75" customHeight="1">
      <c r="A258" s="19"/>
      <c r="B258" s="20"/>
      <c r="C258" s="20"/>
      <c r="D258" s="19"/>
      <c r="E258" s="19"/>
      <c r="F258" s="19"/>
      <c r="G258" s="19"/>
      <c r="H258" s="20"/>
      <c r="I258" s="19"/>
      <c r="J258" s="89"/>
      <c r="K258" s="19"/>
      <c r="L258" s="19"/>
      <c r="M258" s="19"/>
      <c r="N258" s="19"/>
      <c r="O258" s="41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5.75" customHeight="1">
      <c r="A259" s="19"/>
      <c r="B259" s="20"/>
      <c r="C259" s="20"/>
      <c r="D259" s="19"/>
      <c r="E259" s="19"/>
      <c r="F259" s="19"/>
      <c r="G259" s="19"/>
      <c r="H259" s="20"/>
      <c r="I259" s="19"/>
      <c r="J259" s="89"/>
      <c r="K259" s="19"/>
      <c r="L259" s="19"/>
      <c r="M259" s="19"/>
      <c r="N259" s="19"/>
      <c r="O259" s="41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5.75" customHeight="1">
      <c r="A260" s="19"/>
      <c r="B260" s="20"/>
      <c r="C260" s="20"/>
      <c r="D260" s="19"/>
      <c r="E260" s="19"/>
      <c r="F260" s="19"/>
      <c r="G260" s="19"/>
      <c r="H260" s="20"/>
      <c r="I260" s="19"/>
      <c r="J260" s="89"/>
      <c r="K260" s="19"/>
      <c r="L260" s="19"/>
      <c r="M260" s="19"/>
      <c r="N260" s="19"/>
      <c r="O260" s="41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15.75" customHeight="1">
      <c r="A261" s="19"/>
      <c r="B261" s="20"/>
      <c r="C261" s="20"/>
      <c r="D261" s="19"/>
      <c r="E261" s="19"/>
      <c r="F261" s="19"/>
      <c r="G261" s="19"/>
      <c r="H261" s="20"/>
      <c r="I261" s="19"/>
      <c r="J261" s="89"/>
      <c r="K261" s="19"/>
      <c r="L261" s="19"/>
      <c r="M261" s="19"/>
      <c r="N261" s="19"/>
      <c r="O261" s="41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5.75" customHeight="1">
      <c r="A262" s="19"/>
      <c r="B262" s="20"/>
      <c r="C262" s="20"/>
      <c r="D262" s="19"/>
      <c r="E262" s="19"/>
      <c r="F262" s="19"/>
      <c r="G262" s="19"/>
      <c r="H262" s="20"/>
      <c r="I262" s="19"/>
      <c r="J262" s="89"/>
      <c r="K262" s="19"/>
      <c r="L262" s="19"/>
      <c r="M262" s="19"/>
      <c r="N262" s="19"/>
      <c r="O262" s="41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15.75" customHeight="1">
      <c r="A263" s="19"/>
      <c r="B263" s="20"/>
      <c r="C263" s="20"/>
      <c r="D263" s="19"/>
      <c r="E263" s="19"/>
      <c r="F263" s="19"/>
      <c r="G263" s="19"/>
      <c r="H263" s="20"/>
      <c r="I263" s="19"/>
      <c r="J263" s="89"/>
      <c r="K263" s="19"/>
      <c r="L263" s="19"/>
      <c r="M263" s="19"/>
      <c r="N263" s="19"/>
      <c r="O263" s="41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5.75" customHeight="1">
      <c r="A264" s="19"/>
      <c r="B264" s="20"/>
      <c r="C264" s="20"/>
      <c r="D264" s="19"/>
      <c r="E264" s="19"/>
      <c r="F264" s="19"/>
      <c r="G264" s="19"/>
      <c r="H264" s="20"/>
      <c r="I264" s="19"/>
      <c r="J264" s="89"/>
      <c r="K264" s="19"/>
      <c r="L264" s="19"/>
      <c r="M264" s="19"/>
      <c r="N264" s="19"/>
      <c r="O264" s="41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5.75" customHeight="1">
      <c r="A265" s="19"/>
      <c r="B265" s="20"/>
      <c r="C265" s="20"/>
      <c r="D265" s="19"/>
      <c r="E265" s="19"/>
      <c r="F265" s="19"/>
      <c r="G265" s="19"/>
      <c r="H265" s="20"/>
      <c r="I265" s="19"/>
      <c r="J265" s="89"/>
      <c r="K265" s="19"/>
      <c r="L265" s="19"/>
      <c r="M265" s="19"/>
      <c r="N265" s="19"/>
      <c r="O265" s="41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9:N62"/>
  <mergeCells count="1">
    <mergeCell ref="M1:N1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Portada</vt:lpstr>
      <vt:lpstr>Bonos</vt:lpstr>
      <vt:lpstr>Letras</vt:lpstr>
      <vt:lpstr>Letras ISP</vt:lpstr>
      <vt:lpstr>Otras Operaciones</vt:lpstr>
      <vt:lpstr>Canjes- Conversiones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Ministerio</cp:lastModifiedBy>
  <dcterms:created xsi:type="dcterms:W3CDTF">2025-11-05T18:18:34Z</dcterms:created>
  <dcterms:modified xsi:type="dcterms:W3CDTF">2026-04-10T17:06:10Z</dcterms:modified>
</cp:coreProperties>
</file>